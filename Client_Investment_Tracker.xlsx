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Instructions" sheetId="1" state="visible" r:id="rId1"/>
    <sheet name="Clients" sheetId="2" state="visible" r:id="rId2"/>
    <sheet name="Import Report" sheetId="3" state="visible" r:id="rId3"/>
    <sheet name="Investments" sheetId="4" state="visible" r:id="rId4"/>
    <sheet name="Total Review" sheetId="5" state="visible" r:id="rId5"/>
    <sheet name="Client Report" sheetId="6" state="visible" r:id="rId6"/>
    <sheet name="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-MMM-YY"/>
    <numFmt numFmtId="165" formatCode="[&gt;=10000000]₹ ##\,##\,##\,##0.00;[&gt;=100000]₹ ##\,##\,##0.00;₹ #,##0.00"/>
    <numFmt numFmtId="166" formatCode="#,##0.0000;(#,##0.0000);-"/>
    <numFmt numFmtId="167" formatCode="0.00%;(0.00%);-"/>
    <numFmt numFmtId="168" formatCode="#,##0;(#,##0);-"/>
    <numFmt numFmtId="169" formatCode="#,##0.00;(#,##0.00);-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  <font>
      <name val="Arial"/>
      <i val="1"/>
      <color rgb="00808080"/>
      <sz val="9"/>
    </font>
    <font>
      <name val="Arial"/>
      <color rgb="000000FF"/>
      <sz val="10"/>
    </font>
    <font>
      <name val="Arial"/>
      <i val="1"/>
      <color rgb="000000FF"/>
      <sz val="10"/>
    </font>
    <font>
      <name val="Arial"/>
      <i val="1"/>
      <color rgb="00808080"/>
      <sz val="8"/>
    </font>
    <font>
      <name val="Arial"/>
      <color rgb="00000000"/>
      <sz val="10"/>
    </font>
    <font>
      <name val="Arial"/>
      <color rgb="00A6A6A6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49" fontId="9" fillId="3" borderId="1" applyAlignment="1" pivotButton="0" quotePrefix="0" xfId="0">
      <alignment vertical="center"/>
    </xf>
    <xf numFmtId="164" fontId="9" fillId="3" borderId="1" applyAlignment="1" pivotButton="0" quotePrefix="0" xfId="0">
      <alignment vertical="center"/>
    </xf>
    <xf numFmtId="49" fontId="8" fillId="3" borderId="1" applyAlignment="1" pivotButton="0" quotePrefix="0" xfId="0">
      <alignment vertical="center"/>
    </xf>
    <xf numFmtId="164" fontId="8" fillId="3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indent="1"/>
    </xf>
    <xf numFmtId="0" fontId="4" fillId="6" borderId="1" applyAlignment="1" pivotButton="0" quotePrefix="0" xfId="0">
      <alignment vertical="center" indent="1"/>
    </xf>
    <xf numFmtId="0" fontId="8" fillId="3" borderId="1" applyAlignment="1" pivotButton="0" quotePrefix="0" xfId="0">
      <alignment vertical="center" indent="1"/>
    </xf>
    <xf numFmtId="0" fontId="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indent="1"/>
    </xf>
    <xf numFmtId="0" fontId="14" fillId="2" borderId="0" applyAlignment="1" pivotButton="0" quotePrefix="0" xfId="0">
      <alignment vertical="center" indent="1"/>
    </xf>
    <xf numFmtId="0" fontId="6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49" fontId="11" fillId="7" borderId="1" applyAlignment="1" pivotButton="0" quotePrefix="0" xfId="0">
      <alignment vertical="center"/>
    </xf>
    <xf numFmtId="164" fontId="11" fillId="7" borderId="1" applyAlignment="1" pivotButton="0" quotePrefix="0" xfId="0">
      <alignment vertical="center"/>
    </xf>
    <xf numFmtId="169" fontId="11" fillId="7" borderId="1" applyAlignment="1" pivotButton="0" quotePrefix="0" xfId="0">
      <alignment vertical="center"/>
    </xf>
    <xf numFmtId="166" fontId="11" fillId="7" borderId="1" applyAlignment="1" pivotButton="0" quotePrefix="0" xfId="0">
      <alignment vertical="center"/>
    </xf>
    <xf numFmtId="167" fontId="11" fillId="7" borderId="1" applyAlignment="1" pivotButton="0" quotePrefix="0" xfId="0">
      <alignment vertical="center"/>
    </xf>
    <xf numFmtId="49" fontId="11" fillId="4" borderId="1" applyAlignment="1" pivotButton="0" quotePrefix="0" xfId="0">
      <alignment vertical="center"/>
    </xf>
    <xf numFmtId="164" fontId="11" fillId="4" borderId="1" applyAlignment="1" pivotButton="0" quotePrefix="0" xfId="0">
      <alignment vertical="center"/>
    </xf>
    <xf numFmtId="169" fontId="11" fillId="4" borderId="1" applyAlignment="1" pivotButton="0" quotePrefix="0" xfId="0">
      <alignment vertical="center"/>
    </xf>
    <xf numFmtId="166" fontId="11" fillId="4" borderId="1" applyAlignment="1" pivotButton="0" quotePrefix="0" xfId="0">
      <alignment vertical="center"/>
    </xf>
    <xf numFmtId="167" fontId="11" fillId="4" borderId="1" applyAlignment="1" pivotButton="0" quotePrefix="0" xfId="0">
      <alignment vertical="center"/>
    </xf>
    <xf numFmtId="0" fontId="7" fillId="0" borderId="0" pivotButton="0" quotePrefix="0" xfId="0"/>
    <xf numFmtId="0" fontId="10" fillId="0" borderId="0" pivotButton="0" quotePrefix="0" xfId="0"/>
    <xf numFmtId="165" fontId="8" fillId="3" borderId="1" applyAlignment="1" pivotButton="0" quotePrefix="0" xfId="0">
      <alignment vertical="center"/>
    </xf>
    <xf numFmtId="165" fontId="9" fillId="3" borderId="1" applyAlignment="1" pivotButton="0" quotePrefix="0" xfId="0">
      <alignment vertical="center"/>
    </xf>
    <xf numFmtId="166" fontId="8" fillId="3" borderId="1" applyAlignment="1" pivotButton="0" quotePrefix="0" xfId="0">
      <alignment vertical="center"/>
    </xf>
    <xf numFmtId="166" fontId="9" fillId="3" borderId="1" applyAlignment="1" pivotButton="0" quotePrefix="0" xfId="0">
      <alignment vertical="center"/>
    </xf>
    <xf numFmtId="167" fontId="9" fillId="3" borderId="1" applyAlignment="1" pivotButton="0" quotePrefix="0" xfId="0">
      <alignment vertical="center"/>
    </xf>
    <xf numFmtId="165" fontId="11" fillId="4" borderId="1" applyAlignment="1" pivotButton="0" quotePrefix="0" xfId="0">
      <alignment vertical="center"/>
    </xf>
    <xf numFmtId="168" fontId="12" fillId="4" borderId="1" applyAlignment="1" pivotButton="0" quotePrefix="0" xfId="0">
      <alignment vertical="center"/>
    </xf>
    <xf numFmtId="167" fontId="8" fillId="3" borderId="1" applyAlignment="1" pivotButton="0" quotePrefix="0" xfId="0">
      <alignment vertical="center"/>
    </xf>
    <xf numFmtId="0" fontId="13" fillId="2" borderId="0" applyAlignment="1" pivotButton="0" quotePrefix="0" xfId="0">
      <alignment vertical="center" indent="1"/>
    </xf>
    <xf numFmtId="168" fontId="4" fillId="4" borderId="1" applyAlignment="1" pivotButton="0" quotePrefix="0" xfId="0">
      <alignment horizontal="right" vertical="center" indent="1"/>
    </xf>
    <xf numFmtId="0" fontId="0" fillId="0" borderId="1" pivotButton="0" quotePrefix="0" xfId="0"/>
    <xf numFmtId="165" fontId="4" fillId="4" borderId="1" applyAlignment="1" pivotButton="0" quotePrefix="0" xfId="0">
      <alignment horizontal="right" vertical="center" indent="1"/>
    </xf>
    <xf numFmtId="167" fontId="4" fillId="4" borderId="1" applyAlignment="1" pivotButton="0" quotePrefix="0" xfId="0">
      <alignment horizontal="right" vertical="center" indent="1"/>
    </xf>
    <xf numFmtId="49" fontId="4" fillId="4" borderId="1" applyAlignment="1" pivotButton="0" quotePrefix="0" xfId="0">
      <alignment horizontal="right" vertical="center" indent="1"/>
    </xf>
    <xf numFmtId="168" fontId="11" fillId="7" borderId="1" applyAlignment="1" pivotButton="0" quotePrefix="0" xfId="0">
      <alignment vertical="center"/>
    </xf>
    <xf numFmtId="165" fontId="11" fillId="7" borderId="1" applyAlignment="1" pivotButton="0" quotePrefix="0" xfId="0">
      <alignment vertical="center"/>
    </xf>
    <xf numFmtId="168" fontId="11" fillId="4" borderId="1" applyAlignment="1" pivotButton="0" quotePrefix="0" xfId="0">
      <alignment vertical="center"/>
    </xf>
    <xf numFmtId="49" fontId="14" fillId="2" borderId="1" pivotButton="0" quotePrefix="0" xfId="0"/>
    <xf numFmtId="168" fontId="14" fillId="2" borderId="1" pivotButton="0" quotePrefix="0" xfId="0"/>
    <xf numFmtId="165" fontId="14" fillId="2" borderId="1" pivotButton="0" quotePrefix="0" xfId="0"/>
    <xf numFmtId="167" fontId="14" fillId="2" borderId="1" pivotButton="0" quotePrefix="0" xfId="0"/>
    <xf numFmtId="0" fontId="15" fillId="3" borderId="1" applyAlignment="1" pivotButton="0" quotePrefix="0" xfId="0">
      <alignment vertical="center" indent="1"/>
    </xf>
    <xf numFmtId="49" fontId="11" fillId="4" borderId="1" applyAlignment="1" pivotButton="0" quotePrefix="0" xfId="0">
      <alignment vertical="center" indent="1"/>
    </xf>
    <xf numFmtId="164" fontId="11" fillId="4" borderId="1" applyAlignment="1" pivotButton="0" quotePrefix="0" xfId="0">
      <alignment vertical="center" indent="1"/>
    </xf>
    <xf numFmtId="168" fontId="11" fillId="7" borderId="1" applyAlignment="1" pivotButton="0" quotePrefix="0" xfId="0">
      <alignment horizontal="center" vertical="center"/>
    </xf>
    <xf numFmtId="168" fontId="11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dxfs count="2">
    <dxf>
      <font>
        <name val="Arial"/>
        <color rgb="009C0006"/>
        <sz val="10"/>
      </font>
    </dxf>
    <dxf>
      <font>
        <name val="Arial"/>
        <color rgb="000061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Value by Asset Class</a:t>
            </a:r>
          </a:p>
        </rich>
      </tx>
    </title>
    <plotArea>
      <pieChart>
        <varyColors val="1"/>
        <ser>
          <idx val="0"/>
          <order val="0"/>
          <tx>
            <strRef>
              <f>'Total Review'!H222</f>
            </strRef>
          </tx>
          <spPr>
            <a:ln>
              <a:prstDash val="solid"/>
            </a:ln>
          </spPr>
          <cat>
            <numRef>
              <f>'Total Review'!$B$223:$B$226</f>
            </numRef>
          </cat>
          <val>
            <numRef>
              <f>'Total Review'!$H$223:$H$226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Invested vs Current Value  (first 20 clients)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'Total Review'!F18</f>
            </strRef>
          </tx>
          <spPr>
            <a:ln>
              <a:prstDash val="solid"/>
            </a:ln>
          </spPr>
          <cat>
            <strRef>
              <f>'Total Review'!$B$19:$B$38</f>
            </strRef>
          </cat>
          <val>
            <numRef>
              <f>'Total Review'!$F$19:$F$38</f>
            </numRef>
          </val>
        </ser>
        <ser>
          <idx val="1"/>
          <order val="1"/>
          <tx>
            <strRef>
              <f>'Total Review'!H18</f>
            </strRef>
          </tx>
          <spPr>
            <a:ln>
              <a:prstDash val="solid"/>
            </a:ln>
          </spPr>
          <cat>
            <strRef>
              <f>'Total Review'!$B$19:$B$38</f>
            </strRef>
          </cat>
          <val>
            <numRef>
              <f>'Total Review'!$H$19:$H$38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out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4</row>
      <rowOff>0</rowOff>
    </from>
    <ext cx="46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24</row>
      <rowOff>0</rowOff>
    </from>
    <ext cx="468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8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CLIENT INVESTMENT TRACKER  -  TOTAL REVIEW</t>
        </is>
      </c>
    </row>
    <row r="2" ht="16" customHeight="1">
      <c r="A2" s="2" t="inlineStr">
        <is>
          <t>Built to match the scheme-wise Profit &amp; Loss export from the portfolio software.</t>
        </is>
      </c>
    </row>
    <row r="4">
      <c r="B4" s="3" t="inlineStr">
        <is>
          <t>HOW TO USE</t>
        </is>
      </c>
    </row>
    <row r="5" ht="30" customHeight="1">
      <c r="B5" s="4" t="inlineStr">
        <is>
          <t>1. Clients</t>
        </is>
      </c>
      <c r="C5" s="5" t="inlineStr">
        <is>
          <t>Enter every client once - code, name, PAN, address, mobile, email, DOB, 'Rep By' / family head. This list drives the dropdowns, the client-wise review and the Client Report header.</t>
        </is>
      </c>
    </row>
    <row r="6" ht="30" customHeight="1">
      <c r="B6" s="4" t="inlineStr">
        <is>
          <t>2. Import Report</t>
        </is>
      </c>
      <c r="C6" s="5" t="inlineStr">
        <is>
          <t>The easy way to load data. Paste a whole Profit &amp; Loss export on the left of that sheet; clean register rows appear on the right, ready to copy into Investments. Category headings, transaction sub-tables and total lines are dropped for you, and the scheme name and folio are split apart.</t>
        </is>
      </c>
    </row>
    <row r="7" ht="30" customHeight="1">
      <c r="B7" s="4" t="inlineStr">
        <is>
          <t>3. Investments</t>
        </is>
      </c>
      <c r="C7" s="5" t="inlineStr">
        <is>
          <t>One row per scheme per client. Columns A to O are one unbroken block, in the same order as the Import Report output, so a whole report goes in with a single Paste Special &gt; Values on cell A6. Columns P to V are formulas - never paste over them.</t>
        </is>
      </c>
    </row>
    <row r="8" ht="30" customHeight="1">
      <c r="B8" s="4" t="inlineStr">
        <is>
          <t>4. Total Review</t>
        </is>
      </c>
      <c r="C8" s="5" t="inlineStr">
        <is>
          <t>Read-only dashboard: firm-level snapshot, client-wise review, asset-class review and category-wise review, with charts.</t>
        </is>
      </c>
    </row>
    <row r="9" ht="30" customHeight="1">
      <c r="B9" s="4" t="inlineStr">
        <is>
          <t>5. Client Report</t>
        </is>
      </c>
      <c r="C9" s="5" t="inlineStr">
        <is>
          <t>Pick one client from the dropdown to get that client's header block, summary and scheme list - the single-client view your software prints.</t>
        </is>
      </c>
    </row>
    <row r="11">
      <c r="B11" s="3" t="inlineStr">
        <is>
          <t>HOW THE MATHS WORKS</t>
        </is>
      </c>
    </row>
    <row r="12" ht="30" customHeight="1">
      <c r="B12" s="4" t="inlineStr">
        <is>
          <t>Total Invested</t>
        </is>
      </c>
      <c r="C12" s="5" t="inlineStr">
        <is>
          <t>Purchase + Switch In + Div Reinv</t>
        </is>
      </c>
    </row>
    <row r="13" ht="30" customHeight="1">
      <c r="B13" s="4" t="inlineStr">
        <is>
          <t>Withdrawn</t>
        </is>
      </c>
      <c r="C13" s="5" t="inlineStr">
        <is>
          <t>Redemption + Switch Out + Div Pay</t>
        </is>
      </c>
    </row>
    <row r="14" ht="30" customHeight="1">
      <c r="B14" s="4" t="inlineStr">
        <is>
          <t>Gain / Loss</t>
        </is>
      </c>
      <c r="C14" s="5" t="inlineStr">
        <is>
          <t>(Cur. Value + Withdrawn) - Total Invested</t>
        </is>
      </c>
    </row>
    <row r="15" ht="30" customHeight="1">
      <c r="B15" s="4" t="inlineStr">
        <is>
          <t>Abs. Rtn.</t>
        </is>
      </c>
      <c r="C15" s="5" t="inlineStr">
        <is>
          <t>Gain / Loss ÷ Total Invested</t>
        </is>
      </c>
    </row>
    <row r="16" ht="30" customHeight="1">
      <c r="B16" s="4" t="inlineStr">
        <is>
          <t>Net Invested</t>
        </is>
      </c>
      <c r="C16" s="5" t="inlineStr">
        <is>
          <t>Total Invested - Withdrawn (money still at work; shown for reference)</t>
        </is>
      </c>
    </row>
    <row r="17" ht="30" customHeight="1">
      <c r="B17" s="4" t="inlineStr">
        <is>
          <t>Status</t>
        </is>
      </c>
      <c r="C17" s="5" t="inlineStr">
        <is>
          <t>Live when Cur. Value is above zero, otherwise Exited.</t>
        </is>
      </c>
    </row>
    <row r="18" ht="30" customHeight="1">
      <c r="B18" s="4" t="inlineStr">
        <is>
          <t>XIRR</t>
        </is>
      </c>
      <c r="C18" s="5" t="inlineStr">
        <is>
          <t>Typed in from the software - it needs every cash-flow date, which this sheet does not hold. Client, category and firm level XIRR is a current-value-weighted average of the scheme XIRRs, so treat it as indicative, not as a recomputed XIRR.</t>
        </is>
      </c>
    </row>
    <row r="20">
      <c r="B20" s="3" t="inlineStr">
        <is>
          <t>WHAT YOU EDIT</t>
        </is>
      </c>
    </row>
    <row r="21" ht="30" customHeight="1">
      <c r="B21" s="4" t="inlineStr">
        <is>
          <t>Blue text on yellow fill</t>
        </is>
      </c>
      <c r="C21" s="5" t="inlineStr">
        <is>
          <t>Input cells - type or paste here.</t>
        </is>
      </c>
    </row>
    <row r="22" ht="30" customHeight="1">
      <c r="B22" s="4" t="inlineStr">
        <is>
          <t>Black text on grey fill</t>
        </is>
      </c>
      <c r="C22" s="5" t="inlineStr">
        <is>
          <t>Formula cells - do not overwrite, they will stop calculating.</t>
        </is>
      </c>
    </row>
    <row r="23" ht="30" customHeight="1">
      <c r="B23" s="4" t="inlineStr">
        <is>
          <t>EXAMPLE rows</t>
        </is>
      </c>
      <c r="C23" s="5" t="inlineStr">
        <is>
          <t>Clients row 4 and Investments row 6 are filled in as a format guide. Delete both before real use.</t>
        </is>
      </c>
    </row>
    <row r="24" ht="30" customHeight="1">
      <c r="B24" s="4" t="inlineStr">
        <is>
          <t>Paste Special &gt; Values</t>
        </is>
      </c>
      <c r="C24" s="5" t="inlineStr">
        <is>
          <t>Use this rather than a plain Ctrl+V when pasting into Investments: a plain paste drags the source formatting across and can wreck the column widths, fills and dropdowns.</t>
        </is>
      </c>
      <c r="D24" s="6" t="n"/>
    </row>
    <row r="25">
      <c r="D25" s="7" t="n"/>
    </row>
    <row r="26">
      <c r="B26" s="3" t="inlineStr">
        <is>
          <t>GOOD TO KNOW</t>
        </is>
      </c>
    </row>
    <row r="27" ht="30" customHeight="1">
      <c r="B27" s="4" t="inlineStr">
        <is>
          <t>Capacity</t>
        </is>
      </c>
      <c r="C27" s="5" t="inlineStr">
        <is>
          <t>200 clients, 1000 scheme rows, 100 schemes per client in the Client Report. To add rows, insert them INSIDE the existing table so the formulas extend with them.</t>
        </is>
      </c>
    </row>
    <row r="28" ht="30" customHeight="1">
      <c r="B28" s="4" t="inlineStr">
        <is>
          <t>Asset Class</t>
        </is>
      </c>
      <c r="C28" s="5" t="inlineStr">
        <is>
          <t>Derived from the text before the ' - ' in Category, which is why categories are named 'Equity - Flexi Cap Fund' exactly as in the software.</t>
        </is>
      </c>
    </row>
    <row r="29" ht="30" customHeight="1">
      <c r="B29" s="4" t="inlineStr">
        <is>
          <t>New categories</t>
        </is>
      </c>
      <c r="C29" s="5" t="inlineStr">
        <is>
          <t>Add them on the Lists sheet; the dropdown and the category-wise review pick them up. Keep the 'Asset - Category' naming.</t>
        </is>
      </c>
    </row>
    <row r="30" ht="30" customHeight="1">
      <c r="B30" s="4" t="inlineStr">
        <is>
          <t>Currency</t>
        </is>
      </c>
      <c r="C30" s="5" t="inlineStr">
        <is>
          <t>Indian Rupee with lakh / crore grouping. To switch, select the amount columns &gt; Format Cells &gt; Custom and edit the symbol.</t>
        </is>
      </c>
    </row>
    <row r="31" ht="30" customHeight="1">
      <c r="B31" s="4" t="inlineStr">
        <is>
          <t>Blank amounts</t>
        </is>
      </c>
      <c r="C31" s="5" t="inlineStr">
        <is>
          <t>Leave a column blank where the software prints 0.00 - blanks and zeros both total correctly.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4" customWidth="1" min="3" max="3"/>
    <col width="30" customWidth="1" min="4" max="4"/>
    <col width="12" customWidth="1" min="5" max="5"/>
    <col width="15" customWidth="1" min="6" max="6"/>
    <col width="28" customWidth="1" min="7" max="7"/>
    <col width="13" customWidth="1" min="8" max="8"/>
    <col width="46" customWidth="1" min="9" max="9"/>
    <col width="20" customWidth="1" min="10" max="10"/>
    <col width="15" customWidth="1" min="11" max="11"/>
    <col width="26" customWidth="1" min="12" max="12"/>
  </cols>
  <sheetData>
    <row r="1" ht="26" customHeight="1">
      <c r="A1" s="1" t="inlineStr">
        <is>
          <t>CLIENT MASTER</t>
        </is>
      </c>
    </row>
    <row r="2" ht="16" customHeight="1">
      <c r="A2" s="2" t="inlineStr">
        <is>
          <t>One row per client. The name entered here is the key used by every other sheet.</t>
        </is>
      </c>
    </row>
    <row r="3" ht="34" customHeight="1">
      <c r="A3" s="8" t="inlineStr">
        <is>
          <t>Client Code</t>
        </is>
      </c>
      <c r="B3" s="8" t="inlineStr">
        <is>
          <t>Client Name</t>
        </is>
      </c>
      <c r="C3" s="8" t="inlineStr">
        <is>
          <t>PAN</t>
        </is>
      </c>
      <c r="D3" s="8" t="inlineStr">
        <is>
          <t>Rep By / Family Head</t>
        </is>
      </c>
      <c r="E3" s="8" t="inlineStr">
        <is>
          <t>Segment</t>
        </is>
      </c>
      <c r="F3" s="8" t="inlineStr">
        <is>
          <t>Mobile No.</t>
        </is>
      </c>
      <c r="G3" s="8" t="inlineStr">
        <is>
          <t>Email</t>
        </is>
      </c>
      <c r="H3" s="8" t="inlineStr">
        <is>
          <t>DOB</t>
        </is>
      </c>
      <c r="I3" s="8" t="inlineStr">
        <is>
          <t>Address</t>
        </is>
      </c>
      <c r="J3" s="8" t="inlineStr">
        <is>
          <t>Advisor / RM</t>
        </is>
      </c>
      <c r="K3" s="8" t="inlineStr">
        <is>
          <t>Onboarding Date</t>
        </is>
      </c>
      <c r="L3" s="8" t="inlineStr">
        <is>
          <t>Remarks</t>
        </is>
      </c>
    </row>
    <row r="4">
      <c r="A4" s="9" t="inlineStr">
        <is>
          <t>CL-0001</t>
        </is>
      </c>
      <c r="B4" s="9" t="inlineStr">
        <is>
          <t>Sample Client (EXAMPLE)</t>
        </is>
      </c>
      <c r="C4" s="9" t="inlineStr">
        <is>
          <t>ABCDE1234F</t>
        </is>
      </c>
      <c r="D4" s="9" t="inlineStr">
        <is>
          <t>Rep By Family Head Name</t>
        </is>
      </c>
      <c r="E4" s="9" t="inlineStr">
        <is>
          <t>HNI</t>
        </is>
      </c>
      <c r="F4" s="9" t="inlineStr">
        <is>
          <t>98xxxxxx61</t>
        </is>
      </c>
      <c r="G4" s="9" t="inlineStr">
        <is>
          <t>client@example.com</t>
        </is>
      </c>
      <c r="H4" s="10" t="inlineStr">
        <is>
          <t>2008-06-05</t>
        </is>
      </c>
      <c r="I4" s="9" t="inlineStr">
        <is>
          <t>Flat 301, Sample Residency, Kothrud, Pune 411038</t>
        </is>
      </c>
      <c r="J4" s="9" t="inlineStr">
        <is>
          <t>S. Kadam</t>
        </is>
      </c>
      <c r="K4" s="10" t="inlineStr">
        <is>
          <t>2020-08-31</t>
        </is>
      </c>
      <c r="L4" s="9" t="inlineStr">
        <is>
          <t>Delete this EXAMPLE row before use</t>
        </is>
      </c>
    </row>
    <row r="5">
      <c r="A5" s="11" t="n"/>
      <c r="B5" s="11" t="n"/>
      <c r="C5" s="11" t="n"/>
      <c r="D5" s="11" t="n"/>
      <c r="E5" s="11" t="n"/>
      <c r="F5" s="11" t="n"/>
      <c r="G5" s="11" t="n"/>
      <c r="H5" s="12" t="n"/>
      <c r="I5" s="11" t="n"/>
      <c r="J5" s="11" t="n"/>
      <c r="K5" s="12" t="n"/>
      <c r="L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2" t="n"/>
      <c r="I6" s="11" t="n"/>
      <c r="J6" s="11" t="n"/>
      <c r="K6" s="12" t="n"/>
      <c r="L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2" t="n"/>
      <c r="I7" s="11" t="n"/>
      <c r="J7" s="11" t="n"/>
      <c r="K7" s="12" t="n"/>
      <c r="L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2" t="n"/>
      <c r="I8" s="11" t="n"/>
      <c r="J8" s="11" t="n"/>
      <c r="K8" s="12" t="n"/>
      <c r="L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2" t="n"/>
      <c r="I9" s="11" t="n"/>
      <c r="J9" s="11" t="n"/>
      <c r="K9" s="12" t="n"/>
      <c r="L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1" t="n"/>
      <c r="J10" s="11" t="n"/>
      <c r="K10" s="12" t="n"/>
      <c r="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1" t="n"/>
      <c r="J11" s="11" t="n"/>
      <c r="K11" s="12" t="n"/>
      <c r="L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1" t="n"/>
      <c r="J12" s="11" t="n"/>
      <c r="K12" s="12" t="n"/>
      <c r="L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2" t="n"/>
      <c r="I13" s="11" t="n"/>
      <c r="J13" s="11" t="n"/>
      <c r="K13" s="12" t="n"/>
      <c r="L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2" t="n"/>
      <c r="I14" s="11" t="n"/>
      <c r="J14" s="11" t="n"/>
      <c r="K14" s="12" t="n"/>
      <c r="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2" t="n"/>
      <c r="I15" s="11" t="n"/>
      <c r="J15" s="11" t="n"/>
      <c r="K15" s="12" t="n"/>
      <c r="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2" t="n"/>
      <c r="I16" s="11" t="n"/>
      <c r="J16" s="11" t="n"/>
      <c r="K16" s="12" t="n"/>
      <c r="L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2" t="n"/>
      <c r="I17" s="11" t="n"/>
      <c r="J17" s="11" t="n"/>
      <c r="K17" s="12" t="n"/>
      <c r="L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2" t="n"/>
      <c r="I18" s="11" t="n"/>
      <c r="J18" s="11" t="n"/>
      <c r="K18" s="12" t="n"/>
      <c r="L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2" t="n"/>
      <c r="I19" s="11" t="n"/>
      <c r="J19" s="11" t="n"/>
      <c r="K19" s="12" t="n"/>
      <c r="L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2" t="n"/>
      <c r="I20" s="11" t="n"/>
      <c r="J20" s="11" t="n"/>
      <c r="K20" s="12" t="n"/>
      <c r="L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2" t="n"/>
      <c r="I21" s="11" t="n"/>
      <c r="J21" s="11" t="n"/>
      <c r="K21" s="12" t="n"/>
      <c r="L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2" t="n"/>
      <c r="I22" s="11" t="n"/>
      <c r="J22" s="11" t="n"/>
      <c r="K22" s="12" t="n"/>
      <c r="L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2" t="n"/>
      <c r="I23" s="11" t="n"/>
      <c r="J23" s="11" t="n"/>
      <c r="K23" s="12" t="n"/>
      <c r="L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2" t="n"/>
      <c r="I24" s="11" t="n"/>
      <c r="J24" s="11" t="n"/>
      <c r="K24" s="12" t="n"/>
      <c r="L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2" t="n"/>
      <c r="I25" s="11" t="n"/>
      <c r="J25" s="11" t="n"/>
      <c r="K25" s="12" t="n"/>
      <c r="L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2" t="n"/>
      <c r="I26" s="11" t="n"/>
      <c r="J26" s="11" t="n"/>
      <c r="K26" s="12" t="n"/>
      <c r="L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2" t="n"/>
      <c r="I27" s="11" t="n"/>
      <c r="J27" s="11" t="n"/>
      <c r="K27" s="12" t="n"/>
      <c r="L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2" t="n"/>
      <c r="I28" s="11" t="n"/>
      <c r="J28" s="11" t="n"/>
      <c r="K28" s="12" t="n"/>
      <c r="L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2" t="n"/>
      <c r="I29" s="11" t="n"/>
      <c r="J29" s="11" t="n"/>
      <c r="K29" s="12" t="n"/>
      <c r="L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2" t="n"/>
      <c r="I30" s="11" t="n"/>
      <c r="J30" s="11" t="n"/>
      <c r="K30" s="12" t="n"/>
      <c r="L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2" t="n"/>
      <c r="I31" s="11" t="n"/>
      <c r="J31" s="11" t="n"/>
      <c r="K31" s="12" t="n"/>
      <c r="L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2" t="n"/>
      <c r="I32" s="11" t="n"/>
      <c r="J32" s="11" t="n"/>
      <c r="K32" s="12" t="n"/>
      <c r="L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2" t="n"/>
      <c r="I33" s="11" t="n"/>
      <c r="J33" s="11" t="n"/>
      <c r="K33" s="12" t="n"/>
      <c r="L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2" t="n"/>
      <c r="I34" s="11" t="n"/>
      <c r="J34" s="11" t="n"/>
      <c r="K34" s="12" t="n"/>
      <c r="L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2" t="n"/>
      <c r="I35" s="11" t="n"/>
      <c r="J35" s="11" t="n"/>
      <c r="K35" s="12" t="n"/>
      <c r="L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2" t="n"/>
      <c r="I36" s="11" t="n"/>
      <c r="J36" s="11" t="n"/>
      <c r="K36" s="12" t="n"/>
      <c r="L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2" t="n"/>
      <c r="I37" s="11" t="n"/>
      <c r="J37" s="11" t="n"/>
      <c r="K37" s="12" t="n"/>
      <c r="L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2" t="n"/>
      <c r="I38" s="11" t="n"/>
      <c r="J38" s="11" t="n"/>
      <c r="K38" s="12" t="n"/>
      <c r="L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2" t="n"/>
      <c r="I39" s="11" t="n"/>
      <c r="J39" s="11" t="n"/>
      <c r="K39" s="12" t="n"/>
      <c r="L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2" t="n"/>
      <c r="I40" s="11" t="n"/>
      <c r="J40" s="11" t="n"/>
      <c r="K40" s="12" t="n"/>
      <c r="L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2" t="n"/>
      <c r="I41" s="11" t="n"/>
      <c r="J41" s="11" t="n"/>
      <c r="K41" s="12" t="n"/>
      <c r="L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2" t="n"/>
      <c r="I42" s="11" t="n"/>
      <c r="J42" s="11" t="n"/>
      <c r="K42" s="12" t="n"/>
      <c r="L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2" t="n"/>
      <c r="I43" s="11" t="n"/>
      <c r="J43" s="11" t="n"/>
      <c r="K43" s="12" t="n"/>
      <c r="L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2" t="n"/>
      <c r="I44" s="11" t="n"/>
      <c r="J44" s="11" t="n"/>
      <c r="K44" s="12" t="n"/>
      <c r="L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2" t="n"/>
      <c r="I45" s="11" t="n"/>
      <c r="J45" s="11" t="n"/>
      <c r="K45" s="12" t="n"/>
      <c r="L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2" t="n"/>
      <c r="I46" s="11" t="n"/>
      <c r="J46" s="11" t="n"/>
      <c r="K46" s="12" t="n"/>
      <c r="L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2" t="n"/>
      <c r="I47" s="11" t="n"/>
      <c r="J47" s="11" t="n"/>
      <c r="K47" s="12" t="n"/>
      <c r="L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2" t="n"/>
      <c r="I48" s="11" t="n"/>
      <c r="J48" s="11" t="n"/>
      <c r="K48" s="12" t="n"/>
      <c r="L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2" t="n"/>
      <c r="I49" s="11" t="n"/>
      <c r="J49" s="11" t="n"/>
      <c r="K49" s="12" t="n"/>
      <c r="L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2" t="n"/>
      <c r="I50" s="11" t="n"/>
      <c r="J50" s="11" t="n"/>
      <c r="K50" s="12" t="n"/>
      <c r="L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2" t="n"/>
      <c r="I51" s="11" t="n"/>
      <c r="J51" s="11" t="n"/>
      <c r="K51" s="12" t="n"/>
      <c r="L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2" t="n"/>
      <c r="I52" s="11" t="n"/>
      <c r="J52" s="11" t="n"/>
      <c r="K52" s="12" t="n"/>
      <c r="L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2" t="n"/>
      <c r="I53" s="11" t="n"/>
      <c r="J53" s="11" t="n"/>
      <c r="K53" s="12" t="n"/>
      <c r="L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2" t="n"/>
      <c r="I54" s="11" t="n"/>
      <c r="J54" s="11" t="n"/>
      <c r="K54" s="12" t="n"/>
      <c r="L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2" t="n"/>
      <c r="I55" s="11" t="n"/>
      <c r="J55" s="11" t="n"/>
      <c r="K55" s="12" t="n"/>
      <c r="L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2" t="n"/>
      <c r="I56" s="11" t="n"/>
      <c r="J56" s="11" t="n"/>
      <c r="K56" s="12" t="n"/>
      <c r="L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2" t="n"/>
      <c r="I57" s="11" t="n"/>
      <c r="J57" s="11" t="n"/>
      <c r="K57" s="12" t="n"/>
      <c r="L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2" t="n"/>
      <c r="I58" s="11" t="n"/>
      <c r="J58" s="11" t="n"/>
      <c r="K58" s="12" t="n"/>
      <c r="L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2" t="n"/>
      <c r="I59" s="11" t="n"/>
      <c r="J59" s="11" t="n"/>
      <c r="K59" s="12" t="n"/>
      <c r="L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2" t="n"/>
      <c r="I60" s="11" t="n"/>
      <c r="J60" s="11" t="n"/>
      <c r="K60" s="12" t="n"/>
      <c r="L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2" t="n"/>
      <c r="I61" s="11" t="n"/>
      <c r="J61" s="11" t="n"/>
      <c r="K61" s="12" t="n"/>
      <c r="L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2" t="n"/>
      <c r="I62" s="11" t="n"/>
      <c r="J62" s="11" t="n"/>
      <c r="K62" s="12" t="n"/>
      <c r="L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2" t="n"/>
      <c r="I63" s="11" t="n"/>
      <c r="J63" s="11" t="n"/>
      <c r="K63" s="12" t="n"/>
      <c r="L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2" t="n"/>
      <c r="I64" s="11" t="n"/>
      <c r="J64" s="11" t="n"/>
      <c r="K64" s="12" t="n"/>
      <c r="L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2" t="n"/>
      <c r="I65" s="11" t="n"/>
      <c r="J65" s="11" t="n"/>
      <c r="K65" s="12" t="n"/>
      <c r="L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2" t="n"/>
      <c r="I66" s="11" t="n"/>
      <c r="J66" s="11" t="n"/>
      <c r="K66" s="12" t="n"/>
      <c r="L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2" t="n"/>
      <c r="I67" s="11" t="n"/>
      <c r="J67" s="11" t="n"/>
      <c r="K67" s="12" t="n"/>
      <c r="L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2" t="n"/>
      <c r="I68" s="11" t="n"/>
      <c r="J68" s="11" t="n"/>
      <c r="K68" s="12" t="n"/>
      <c r="L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2" t="n"/>
      <c r="I69" s="11" t="n"/>
      <c r="J69" s="11" t="n"/>
      <c r="K69" s="12" t="n"/>
      <c r="L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2" t="n"/>
      <c r="I70" s="11" t="n"/>
      <c r="J70" s="11" t="n"/>
      <c r="K70" s="12" t="n"/>
      <c r="L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2" t="n"/>
      <c r="I71" s="11" t="n"/>
      <c r="J71" s="11" t="n"/>
      <c r="K71" s="12" t="n"/>
      <c r="L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2" t="n"/>
      <c r="I72" s="11" t="n"/>
      <c r="J72" s="11" t="n"/>
      <c r="K72" s="12" t="n"/>
      <c r="L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2" t="n"/>
      <c r="I73" s="11" t="n"/>
      <c r="J73" s="11" t="n"/>
      <c r="K73" s="12" t="n"/>
      <c r="L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2" t="n"/>
      <c r="I74" s="11" t="n"/>
      <c r="J74" s="11" t="n"/>
      <c r="K74" s="12" t="n"/>
      <c r="L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2" t="n"/>
      <c r="I75" s="11" t="n"/>
      <c r="J75" s="11" t="n"/>
      <c r="K75" s="12" t="n"/>
      <c r="L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2" t="n"/>
      <c r="I76" s="11" t="n"/>
      <c r="J76" s="11" t="n"/>
      <c r="K76" s="12" t="n"/>
      <c r="L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2" t="n"/>
      <c r="I77" s="11" t="n"/>
      <c r="J77" s="11" t="n"/>
      <c r="K77" s="12" t="n"/>
      <c r="L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2" t="n"/>
      <c r="I78" s="11" t="n"/>
      <c r="J78" s="11" t="n"/>
      <c r="K78" s="12" t="n"/>
      <c r="L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2" t="n"/>
      <c r="I79" s="11" t="n"/>
      <c r="J79" s="11" t="n"/>
      <c r="K79" s="12" t="n"/>
      <c r="L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2" t="n"/>
      <c r="I80" s="11" t="n"/>
      <c r="J80" s="11" t="n"/>
      <c r="K80" s="12" t="n"/>
      <c r="L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2" t="n"/>
      <c r="I81" s="11" t="n"/>
      <c r="J81" s="11" t="n"/>
      <c r="K81" s="12" t="n"/>
      <c r="L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2" t="n"/>
      <c r="I82" s="11" t="n"/>
      <c r="J82" s="11" t="n"/>
      <c r="K82" s="12" t="n"/>
      <c r="L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2" t="n"/>
      <c r="I83" s="11" t="n"/>
      <c r="J83" s="11" t="n"/>
      <c r="K83" s="12" t="n"/>
      <c r="L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2" t="n"/>
      <c r="I84" s="11" t="n"/>
      <c r="J84" s="11" t="n"/>
      <c r="K84" s="12" t="n"/>
      <c r="L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2" t="n"/>
      <c r="I85" s="11" t="n"/>
      <c r="J85" s="11" t="n"/>
      <c r="K85" s="12" t="n"/>
      <c r="L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2" t="n"/>
      <c r="I86" s="11" t="n"/>
      <c r="J86" s="11" t="n"/>
      <c r="K86" s="12" t="n"/>
      <c r="L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2" t="n"/>
      <c r="I87" s="11" t="n"/>
      <c r="J87" s="11" t="n"/>
      <c r="K87" s="12" t="n"/>
      <c r="L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2" t="n"/>
      <c r="I88" s="11" t="n"/>
      <c r="J88" s="11" t="n"/>
      <c r="K88" s="12" t="n"/>
      <c r="L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2" t="n"/>
      <c r="I89" s="11" t="n"/>
      <c r="J89" s="11" t="n"/>
      <c r="K89" s="12" t="n"/>
      <c r="L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2" t="n"/>
      <c r="I90" s="11" t="n"/>
      <c r="J90" s="11" t="n"/>
      <c r="K90" s="12" t="n"/>
      <c r="L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2" t="n"/>
      <c r="I91" s="11" t="n"/>
      <c r="J91" s="11" t="n"/>
      <c r="K91" s="12" t="n"/>
      <c r="L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2" t="n"/>
      <c r="I92" s="11" t="n"/>
      <c r="J92" s="11" t="n"/>
      <c r="K92" s="12" t="n"/>
      <c r="L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2" t="n"/>
      <c r="I93" s="11" t="n"/>
      <c r="J93" s="11" t="n"/>
      <c r="K93" s="12" t="n"/>
      <c r="L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2" t="n"/>
      <c r="I94" s="11" t="n"/>
      <c r="J94" s="11" t="n"/>
      <c r="K94" s="12" t="n"/>
      <c r="L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2" t="n"/>
      <c r="I95" s="11" t="n"/>
      <c r="J95" s="11" t="n"/>
      <c r="K95" s="12" t="n"/>
      <c r="L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2" t="n"/>
      <c r="I96" s="11" t="n"/>
      <c r="J96" s="11" t="n"/>
      <c r="K96" s="12" t="n"/>
      <c r="L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2" t="n"/>
      <c r="I97" s="11" t="n"/>
      <c r="J97" s="11" t="n"/>
      <c r="K97" s="12" t="n"/>
      <c r="L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2" t="n"/>
      <c r="I98" s="11" t="n"/>
      <c r="J98" s="11" t="n"/>
      <c r="K98" s="12" t="n"/>
      <c r="L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2" t="n"/>
      <c r="I99" s="11" t="n"/>
      <c r="J99" s="11" t="n"/>
      <c r="K99" s="12" t="n"/>
      <c r="L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2" t="n"/>
      <c r="I100" s="11" t="n"/>
      <c r="J100" s="11" t="n"/>
      <c r="K100" s="12" t="n"/>
      <c r="L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2" t="n"/>
      <c r="I101" s="11" t="n"/>
      <c r="J101" s="11" t="n"/>
      <c r="K101" s="12" t="n"/>
      <c r="L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2" t="n"/>
      <c r="I102" s="11" t="n"/>
      <c r="J102" s="11" t="n"/>
      <c r="K102" s="12" t="n"/>
      <c r="L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2" t="n"/>
      <c r="I103" s="11" t="n"/>
      <c r="J103" s="11" t="n"/>
      <c r="K103" s="12" t="n"/>
      <c r="L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2" t="n"/>
      <c r="I104" s="11" t="n"/>
      <c r="J104" s="11" t="n"/>
      <c r="K104" s="12" t="n"/>
      <c r="L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2" t="n"/>
      <c r="I105" s="11" t="n"/>
      <c r="J105" s="11" t="n"/>
      <c r="K105" s="12" t="n"/>
      <c r="L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2" t="n"/>
      <c r="I106" s="11" t="n"/>
      <c r="J106" s="11" t="n"/>
      <c r="K106" s="12" t="n"/>
      <c r="L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2" t="n"/>
      <c r="I107" s="11" t="n"/>
      <c r="J107" s="11" t="n"/>
      <c r="K107" s="12" t="n"/>
      <c r="L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2" t="n"/>
      <c r="I108" s="11" t="n"/>
      <c r="J108" s="11" t="n"/>
      <c r="K108" s="12" t="n"/>
      <c r="L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2" t="n"/>
      <c r="I109" s="11" t="n"/>
      <c r="J109" s="11" t="n"/>
      <c r="K109" s="12" t="n"/>
      <c r="L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2" t="n"/>
      <c r="I110" s="11" t="n"/>
      <c r="J110" s="11" t="n"/>
      <c r="K110" s="12" t="n"/>
      <c r="L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2" t="n"/>
      <c r="I111" s="11" t="n"/>
      <c r="J111" s="11" t="n"/>
      <c r="K111" s="12" t="n"/>
      <c r="L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2" t="n"/>
      <c r="I112" s="11" t="n"/>
      <c r="J112" s="11" t="n"/>
      <c r="K112" s="12" t="n"/>
      <c r="L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2" t="n"/>
      <c r="I113" s="11" t="n"/>
      <c r="J113" s="11" t="n"/>
      <c r="K113" s="12" t="n"/>
      <c r="L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2" t="n"/>
      <c r="I114" s="11" t="n"/>
      <c r="J114" s="11" t="n"/>
      <c r="K114" s="12" t="n"/>
      <c r="L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2" t="n"/>
      <c r="I115" s="11" t="n"/>
      <c r="J115" s="11" t="n"/>
      <c r="K115" s="12" t="n"/>
      <c r="L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2" t="n"/>
      <c r="I116" s="11" t="n"/>
      <c r="J116" s="11" t="n"/>
      <c r="K116" s="12" t="n"/>
      <c r="L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2" t="n"/>
      <c r="I117" s="11" t="n"/>
      <c r="J117" s="11" t="n"/>
      <c r="K117" s="12" t="n"/>
      <c r="L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2" t="n"/>
      <c r="I118" s="11" t="n"/>
      <c r="J118" s="11" t="n"/>
      <c r="K118" s="12" t="n"/>
      <c r="L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2" t="n"/>
      <c r="I119" s="11" t="n"/>
      <c r="J119" s="11" t="n"/>
      <c r="K119" s="12" t="n"/>
      <c r="L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2" t="n"/>
      <c r="I120" s="11" t="n"/>
      <c r="J120" s="11" t="n"/>
      <c r="K120" s="12" t="n"/>
      <c r="L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2" t="n"/>
      <c r="I121" s="11" t="n"/>
      <c r="J121" s="11" t="n"/>
      <c r="K121" s="12" t="n"/>
      <c r="L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2" t="n"/>
      <c r="I122" s="11" t="n"/>
      <c r="J122" s="11" t="n"/>
      <c r="K122" s="12" t="n"/>
      <c r="L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2" t="n"/>
      <c r="I123" s="11" t="n"/>
      <c r="J123" s="11" t="n"/>
      <c r="K123" s="12" t="n"/>
      <c r="L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2" t="n"/>
      <c r="I124" s="11" t="n"/>
      <c r="J124" s="11" t="n"/>
      <c r="K124" s="12" t="n"/>
      <c r="L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2" t="n"/>
      <c r="I125" s="11" t="n"/>
      <c r="J125" s="11" t="n"/>
      <c r="K125" s="12" t="n"/>
      <c r="L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2" t="n"/>
      <c r="I126" s="11" t="n"/>
      <c r="J126" s="11" t="n"/>
      <c r="K126" s="12" t="n"/>
      <c r="L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2" t="n"/>
      <c r="I127" s="11" t="n"/>
      <c r="J127" s="11" t="n"/>
      <c r="K127" s="12" t="n"/>
      <c r="L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2" t="n"/>
      <c r="I128" s="11" t="n"/>
      <c r="J128" s="11" t="n"/>
      <c r="K128" s="12" t="n"/>
      <c r="L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2" t="n"/>
      <c r="I129" s="11" t="n"/>
      <c r="J129" s="11" t="n"/>
      <c r="K129" s="12" t="n"/>
      <c r="L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2" t="n"/>
      <c r="I130" s="11" t="n"/>
      <c r="J130" s="11" t="n"/>
      <c r="K130" s="12" t="n"/>
      <c r="L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2" t="n"/>
      <c r="I131" s="11" t="n"/>
      <c r="J131" s="11" t="n"/>
      <c r="K131" s="12" t="n"/>
      <c r="L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2" t="n"/>
      <c r="I132" s="11" t="n"/>
      <c r="J132" s="11" t="n"/>
      <c r="K132" s="12" t="n"/>
      <c r="L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2" t="n"/>
      <c r="I133" s="11" t="n"/>
      <c r="J133" s="11" t="n"/>
      <c r="K133" s="12" t="n"/>
      <c r="L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2" t="n"/>
      <c r="I134" s="11" t="n"/>
      <c r="J134" s="11" t="n"/>
      <c r="K134" s="12" t="n"/>
      <c r="L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2" t="n"/>
      <c r="I135" s="11" t="n"/>
      <c r="J135" s="11" t="n"/>
      <c r="K135" s="12" t="n"/>
      <c r="L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2" t="n"/>
      <c r="I136" s="11" t="n"/>
      <c r="J136" s="11" t="n"/>
      <c r="K136" s="12" t="n"/>
      <c r="L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2" t="n"/>
      <c r="I137" s="11" t="n"/>
      <c r="J137" s="11" t="n"/>
      <c r="K137" s="12" t="n"/>
      <c r="L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2" t="n"/>
      <c r="I138" s="11" t="n"/>
      <c r="J138" s="11" t="n"/>
      <c r="K138" s="12" t="n"/>
      <c r="L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2" t="n"/>
      <c r="I139" s="11" t="n"/>
      <c r="J139" s="11" t="n"/>
      <c r="K139" s="12" t="n"/>
      <c r="L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2" t="n"/>
      <c r="I140" s="11" t="n"/>
      <c r="J140" s="11" t="n"/>
      <c r="K140" s="12" t="n"/>
      <c r="L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2" t="n"/>
      <c r="I141" s="11" t="n"/>
      <c r="J141" s="11" t="n"/>
      <c r="K141" s="12" t="n"/>
      <c r="L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2" t="n"/>
      <c r="I142" s="11" t="n"/>
      <c r="J142" s="11" t="n"/>
      <c r="K142" s="12" t="n"/>
      <c r="L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2" t="n"/>
      <c r="I143" s="11" t="n"/>
      <c r="J143" s="11" t="n"/>
      <c r="K143" s="12" t="n"/>
      <c r="L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2" t="n"/>
      <c r="I144" s="11" t="n"/>
      <c r="J144" s="11" t="n"/>
      <c r="K144" s="12" t="n"/>
      <c r="L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2" t="n"/>
      <c r="I145" s="11" t="n"/>
      <c r="J145" s="11" t="n"/>
      <c r="K145" s="12" t="n"/>
      <c r="L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2" t="n"/>
      <c r="I146" s="11" t="n"/>
      <c r="J146" s="11" t="n"/>
      <c r="K146" s="12" t="n"/>
      <c r="L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2" t="n"/>
      <c r="I147" s="11" t="n"/>
      <c r="J147" s="11" t="n"/>
      <c r="K147" s="12" t="n"/>
      <c r="L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2" t="n"/>
      <c r="I148" s="11" t="n"/>
      <c r="J148" s="11" t="n"/>
      <c r="K148" s="12" t="n"/>
      <c r="L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2" t="n"/>
      <c r="I149" s="11" t="n"/>
      <c r="J149" s="11" t="n"/>
      <c r="K149" s="12" t="n"/>
      <c r="L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2" t="n"/>
      <c r="I150" s="11" t="n"/>
      <c r="J150" s="11" t="n"/>
      <c r="K150" s="12" t="n"/>
      <c r="L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2" t="n"/>
      <c r="I151" s="11" t="n"/>
      <c r="J151" s="11" t="n"/>
      <c r="K151" s="12" t="n"/>
      <c r="L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2" t="n"/>
      <c r="I152" s="11" t="n"/>
      <c r="J152" s="11" t="n"/>
      <c r="K152" s="12" t="n"/>
      <c r="L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2" t="n"/>
      <c r="I153" s="11" t="n"/>
      <c r="J153" s="11" t="n"/>
      <c r="K153" s="12" t="n"/>
      <c r="L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2" t="n"/>
      <c r="I154" s="11" t="n"/>
      <c r="J154" s="11" t="n"/>
      <c r="K154" s="12" t="n"/>
      <c r="L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2" t="n"/>
      <c r="I155" s="11" t="n"/>
      <c r="J155" s="11" t="n"/>
      <c r="K155" s="12" t="n"/>
      <c r="L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2" t="n"/>
      <c r="I156" s="11" t="n"/>
      <c r="J156" s="11" t="n"/>
      <c r="K156" s="12" t="n"/>
      <c r="L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2" t="n"/>
      <c r="I157" s="11" t="n"/>
      <c r="J157" s="11" t="n"/>
      <c r="K157" s="12" t="n"/>
      <c r="L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2" t="n"/>
      <c r="I158" s="11" t="n"/>
      <c r="J158" s="11" t="n"/>
      <c r="K158" s="12" t="n"/>
      <c r="L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2" t="n"/>
      <c r="I159" s="11" t="n"/>
      <c r="J159" s="11" t="n"/>
      <c r="K159" s="12" t="n"/>
      <c r="L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2" t="n"/>
      <c r="I160" s="11" t="n"/>
      <c r="J160" s="11" t="n"/>
      <c r="K160" s="12" t="n"/>
      <c r="L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2" t="n"/>
      <c r="I161" s="11" t="n"/>
      <c r="J161" s="11" t="n"/>
      <c r="K161" s="12" t="n"/>
      <c r="L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2" t="n"/>
      <c r="I162" s="11" t="n"/>
      <c r="J162" s="11" t="n"/>
      <c r="K162" s="12" t="n"/>
      <c r="L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2" t="n"/>
      <c r="I163" s="11" t="n"/>
      <c r="J163" s="11" t="n"/>
      <c r="K163" s="12" t="n"/>
      <c r="L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2" t="n"/>
      <c r="I164" s="11" t="n"/>
      <c r="J164" s="11" t="n"/>
      <c r="K164" s="12" t="n"/>
      <c r="L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2" t="n"/>
      <c r="I165" s="11" t="n"/>
      <c r="J165" s="11" t="n"/>
      <c r="K165" s="12" t="n"/>
      <c r="L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2" t="n"/>
      <c r="I166" s="11" t="n"/>
      <c r="J166" s="11" t="n"/>
      <c r="K166" s="12" t="n"/>
      <c r="L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2" t="n"/>
      <c r="I167" s="11" t="n"/>
      <c r="J167" s="11" t="n"/>
      <c r="K167" s="12" t="n"/>
      <c r="L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2" t="n"/>
      <c r="I168" s="11" t="n"/>
      <c r="J168" s="11" t="n"/>
      <c r="K168" s="12" t="n"/>
      <c r="L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2" t="n"/>
      <c r="I169" s="11" t="n"/>
      <c r="J169" s="11" t="n"/>
      <c r="K169" s="12" t="n"/>
      <c r="L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2" t="n"/>
      <c r="I170" s="11" t="n"/>
      <c r="J170" s="11" t="n"/>
      <c r="K170" s="12" t="n"/>
      <c r="L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2" t="n"/>
      <c r="I171" s="11" t="n"/>
      <c r="J171" s="11" t="n"/>
      <c r="K171" s="12" t="n"/>
      <c r="L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2" t="n"/>
      <c r="I172" s="11" t="n"/>
      <c r="J172" s="11" t="n"/>
      <c r="K172" s="12" t="n"/>
      <c r="L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2" t="n"/>
      <c r="I173" s="11" t="n"/>
      <c r="J173" s="11" t="n"/>
      <c r="K173" s="12" t="n"/>
      <c r="L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2" t="n"/>
      <c r="I174" s="11" t="n"/>
      <c r="J174" s="11" t="n"/>
      <c r="K174" s="12" t="n"/>
      <c r="L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2" t="n"/>
      <c r="I175" s="11" t="n"/>
      <c r="J175" s="11" t="n"/>
      <c r="K175" s="12" t="n"/>
      <c r="L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2" t="n"/>
      <c r="I176" s="11" t="n"/>
      <c r="J176" s="11" t="n"/>
      <c r="K176" s="12" t="n"/>
      <c r="L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2" t="n"/>
      <c r="I177" s="11" t="n"/>
      <c r="J177" s="11" t="n"/>
      <c r="K177" s="12" t="n"/>
      <c r="L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2" t="n"/>
      <c r="I178" s="11" t="n"/>
      <c r="J178" s="11" t="n"/>
      <c r="K178" s="12" t="n"/>
      <c r="L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2" t="n"/>
      <c r="I179" s="11" t="n"/>
      <c r="J179" s="11" t="n"/>
      <c r="K179" s="12" t="n"/>
      <c r="L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2" t="n"/>
      <c r="I180" s="11" t="n"/>
      <c r="J180" s="11" t="n"/>
      <c r="K180" s="12" t="n"/>
      <c r="L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2" t="n"/>
      <c r="I181" s="11" t="n"/>
      <c r="J181" s="11" t="n"/>
      <c r="K181" s="12" t="n"/>
      <c r="L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2" t="n"/>
      <c r="I182" s="11" t="n"/>
      <c r="J182" s="11" t="n"/>
      <c r="K182" s="12" t="n"/>
      <c r="L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2" t="n"/>
      <c r="I183" s="11" t="n"/>
      <c r="J183" s="11" t="n"/>
      <c r="K183" s="12" t="n"/>
      <c r="L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2" t="n"/>
      <c r="I184" s="11" t="n"/>
      <c r="J184" s="11" t="n"/>
      <c r="K184" s="12" t="n"/>
      <c r="L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2" t="n"/>
      <c r="I185" s="11" t="n"/>
      <c r="J185" s="11" t="n"/>
      <c r="K185" s="12" t="n"/>
      <c r="L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2" t="n"/>
      <c r="I186" s="11" t="n"/>
      <c r="J186" s="11" t="n"/>
      <c r="K186" s="12" t="n"/>
      <c r="L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2" t="n"/>
      <c r="I187" s="11" t="n"/>
      <c r="J187" s="11" t="n"/>
      <c r="K187" s="12" t="n"/>
      <c r="L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2" t="n"/>
      <c r="I188" s="11" t="n"/>
      <c r="J188" s="11" t="n"/>
      <c r="K188" s="12" t="n"/>
      <c r="L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2" t="n"/>
      <c r="I189" s="11" t="n"/>
      <c r="J189" s="11" t="n"/>
      <c r="K189" s="12" t="n"/>
      <c r="L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2" t="n"/>
      <c r="I190" s="11" t="n"/>
      <c r="J190" s="11" t="n"/>
      <c r="K190" s="12" t="n"/>
      <c r="L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2" t="n"/>
      <c r="I191" s="11" t="n"/>
      <c r="J191" s="11" t="n"/>
      <c r="K191" s="12" t="n"/>
      <c r="L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2" t="n"/>
      <c r="I192" s="11" t="n"/>
      <c r="J192" s="11" t="n"/>
      <c r="K192" s="12" t="n"/>
      <c r="L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2" t="n"/>
      <c r="I193" s="11" t="n"/>
      <c r="J193" s="11" t="n"/>
      <c r="K193" s="12" t="n"/>
      <c r="L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2" t="n"/>
      <c r="I194" s="11" t="n"/>
      <c r="J194" s="11" t="n"/>
      <c r="K194" s="12" t="n"/>
      <c r="L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2" t="n"/>
      <c r="I195" s="11" t="n"/>
      <c r="J195" s="11" t="n"/>
      <c r="K195" s="12" t="n"/>
      <c r="L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2" t="n"/>
      <c r="I196" s="11" t="n"/>
      <c r="J196" s="11" t="n"/>
      <c r="K196" s="12" t="n"/>
      <c r="L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2" t="n"/>
      <c r="I197" s="11" t="n"/>
      <c r="J197" s="11" t="n"/>
      <c r="K197" s="12" t="n"/>
      <c r="L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2" t="n"/>
      <c r="I198" s="11" t="n"/>
      <c r="J198" s="11" t="n"/>
      <c r="K198" s="12" t="n"/>
      <c r="L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2" t="n"/>
      <c r="I199" s="11" t="n"/>
      <c r="J199" s="11" t="n"/>
      <c r="K199" s="12" t="n"/>
      <c r="L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2" t="n"/>
      <c r="I200" s="11" t="n"/>
      <c r="J200" s="11" t="n"/>
      <c r="K200" s="12" t="n"/>
      <c r="L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2" t="n"/>
      <c r="I201" s="11" t="n"/>
      <c r="J201" s="11" t="n"/>
      <c r="K201" s="12" t="n"/>
      <c r="L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2" t="n"/>
      <c r="I202" s="11" t="n"/>
      <c r="J202" s="11" t="n"/>
      <c r="K202" s="12" t="n"/>
      <c r="L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2" t="n"/>
      <c r="I203" s="11" t="n"/>
      <c r="J203" s="11" t="n"/>
      <c r="K203" s="12" t="n"/>
      <c r="L203" s="11" t="n"/>
    </row>
  </sheetData>
  <mergeCells count="2">
    <mergeCell ref="A2:L2"/>
    <mergeCell ref="A1:L1"/>
  </mergeCells>
  <dataValidations count="1">
    <dataValidation sqref="E4:E203" showDropDown="0" showInputMessage="0" showErrorMessage="0" allowBlank="1" type="list">
      <formula1>Lists!$D$2:$D$6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0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  <col width="11" customWidth="1" min="4" max="4"/>
    <col width="13" customWidth="1" min="5" max="5"/>
    <col width="13" customWidth="1" min="6" max="6"/>
    <col width="11" customWidth="1" min="7" max="7"/>
    <col width="13" customWidth="1" min="8" max="8"/>
    <col width="13" customWidth="1" min="9" max="9"/>
    <col width="11" customWidth="1" min="10" max="10"/>
    <col width="13" customWidth="1" min="11" max="11"/>
    <col width="12" customWidth="1" min="12" max="12"/>
    <col width="11" customWidth="1" min="13" max="13"/>
    <col width="13" customWidth="1" min="14" max="14"/>
    <col width="10" customWidth="1" min="15" max="15"/>
    <col width="9" customWidth="1" min="16" max="16"/>
    <col width="17" customWidth="1" min="17" max="17"/>
    <col width="30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width="30" customWidth="1" min="24" max="24"/>
    <col width="32" customWidth="1" min="25" max="25"/>
    <col width="46" customWidth="1" min="26" max="26"/>
    <col width="16" customWidth="1" min="27" max="27"/>
    <col width="12" customWidth="1" min="28" max="28"/>
    <col width="14" customWidth="1" min="29" max="29"/>
    <col width="14" customWidth="1" min="30" max="30"/>
    <col width="12" customWidth="1" min="31" max="31"/>
    <col width="14" customWidth="1" min="32" max="32"/>
    <col width="14" customWidth="1" min="33" max="33"/>
    <col width="11" customWidth="1" min="34" max="34"/>
    <col width="15" customWidth="1" min="35" max="35"/>
    <col width="13" customWidth="1" min="36" max="36"/>
    <col width="12" customWidth="1" min="37" max="37"/>
    <col width="9" customWidth="1" min="38" max="38"/>
  </cols>
  <sheetData>
    <row r="1" ht="26" customHeight="1">
      <c r="A1" s="1" t="inlineStr">
        <is>
          <t>IMPORT A PROFIT &amp; LOSS REPORT</t>
        </is>
      </c>
    </row>
    <row r="2" ht="16" customHeight="1">
      <c r="A2" s="2" t="inlineStr">
        <is>
          <t>Paste the report on the left - ready-to-paste register rows appear on the right.</t>
        </is>
      </c>
    </row>
    <row r="4">
      <c r="A4" s="13" t="inlineStr">
        <is>
          <t>STEP 1</t>
        </is>
      </c>
      <c r="B4" s="14" t="inlineStr">
        <is>
          <t>Open the client's Profit &amp; Loss report, press Ctrl+A then Ctrl+C to copy the whole sheet.</t>
        </is>
      </c>
    </row>
    <row r="5">
      <c r="A5" s="13" t="inlineStr">
        <is>
          <t>STEP 2</t>
        </is>
      </c>
      <c r="B5" s="14" t="inlineStr">
        <is>
          <t>Click cell A9 below and press Ctrl+V. Category headings, transaction rows and total lines are ignored automatically.</t>
        </is>
      </c>
      <c r="Q5" s="15" t="inlineStr">
        <is>
          <t>Client Name</t>
        </is>
      </c>
      <c r="R5" s="16" t="n"/>
      <c r="W5">
        <f>IFERROR(INDEX($A$9:$A$2008,MATCH(1,$V$9:$V$2008,0)),"")</f>
        <v/>
      </c>
    </row>
    <row r="6">
      <c r="A6" s="13" t="inlineStr">
        <is>
          <t>STEP 3</t>
        </is>
      </c>
      <c r="B6" s="14" t="inlineStr">
        <is>
          <t>Check the Client Name box on the right. It is read from the report header - type over it, or pick from the list, so it matches the Clients sheet exactly.</t>
        </is>
      </c>
      <c r="Q6" s="17" t="inlineStr">
        <is>
          <t>read from report:</t>
        </is>
      </c>
      <c r="R6" s="18">
        <f>IF($W$5="","",TRIM(IF(ISNUMBER(SEARCH(" REP BY ",$W$5)),LEFT($W$5,SEARCH(" REP BY ",$W$5)-1),SUBSTITUTE($W$5,"()",""))))</f>
        <v/>
      </c>
    </row>
    <row r="7">
      <c r="A7" s="13" t="inlineStr">
        <is>
          <t>STEP 4</t>
        </is>
      </c>
      <c r="B7" s="14" t="inlineStr">
        <is>
          <t>Select X9:AL... down to the last filled row, press Ctrl+C, then on the Investments sheet right-click cell A6 and choose Paste Special &gt; Values.</t>
        </is>
      </c>
      <c r="X7" s="19" t="inlineStr">
        <is>
          <t>READY TO PASTE  →  copy these rows, then Investments!A6 → Paste Special → Values</t>
        </is>
      </c>
    </row>
    <row r="8" ht="30" customHeight="1">
      <c r="A8" s="8" t="inlineStr">
        <is>
          <t>Scheme Name  (+ Folio)</t>
        </is>
      </c>
      <c r="B8" s="8" t="inlineStr"/>
      <c r="C8" s="8" t="inlineStr"/>
      <c r="D8" s="8" t="inlineStr">
        <is>
          <t>Inv. Since</t>
        </is>
      </c>
      <c r="E8" s="8" t="inlineStr">
        <is>
          <t>Purchase</t>
        </is>
      </c>
      <c r="F8" s="8" t="inlineStr">
        <is>
          <t>Switch In</t>
        </is>
      </c>
      <c r="G8" s="8" t="inlineStr">
        <is>
          <t>Div Reinv</t>
        </is>
      </c>
      <c r="H8" s="8" t="inlineStr">
        <is>
          <t>Redemption</t>
        </is>
      </c>
      <c r="I8" s="8" t="inlineStr">
        <is>
          <t>Switch Out</t>
        </is>
      </c>
      <c r="J8" s="8" t="inlineStr">
        <is>
          <t>Div Pay</t>
        </is>
      </c>
      <c r="K8" s="8" t="inlineStr">
        <is>
          <t>Cur. Value</t>
        </is>
      </c>
      <c r="L8" s="8" t="inlineStr">
        <is>
          <t>Cur. Units</t>
        </is>
      </c>
      <c r="M8" s="8" t="inlineStr">
        <is>
          <t>Cur. NAV</t>
        </is>
      </c>
      <c r="N8" s="8" t="inlineStr">
        <is>
          <t>Gain/Loss</t>
        </is>
      </c>
      <c r="O8" s="8" t="inlineStr">
        <is>
          <t>Abs. Rtn.</t>
        </is>
      </c>
      <c r="P8" s="8" t="inlineStr">
        <is>
          <t>XIRR</t>
        </is>
      </c>
      <c r="X8" s="20" t="inlineStr">
        <is>
          <t>Client Name</t>
        </is>
      </c>
      <c r="Y8" s="20" t="inlineStr">
        <is>
          <t>Category</t>
        </is>
      </c>
      <c r="Z8" s="20" t="inlineStr">
        <is>
          <t>Scheme Name</t>
        </is>
      </c>
      <c r="AA8" s="20" t="inlineStr">
        <is>
          <t>Folio No.</t>
        </is>
      </c>
      <c r="AB8" s="20" t="inlineStr">
        <is>
          <t>Inv. Since</t>
        </is>
      </c>
      <c r="AC8" s="20" t="inlineStr">
        <is>
          <t>Purchase</t>
        </is>
      </c>
      <c r="AD8" s="20" t="inlineStr">
        <is>
          <t>Switch In</t>
        </is>
      </c>
      <c r="AE8" s="20" t="inlineStr">
        <is>
          <t>Div Reinv</t>
        </is>
      </c>
      <c r="AF8" s="20" t="inlineStr">
        <is>
          <t>Redemption</t>
        </is>
      </c>
      <c r="AG8" s="20" t="inlineStr">
        <is>
          <t>Switch Out</t>
        </is>
      </c>
      <c r="AH8" s="20" t="inlineStr">
        <is>
          <t>Div Pay</t>
        </is>
      </c>
      <c r="AI8" s="20" t="inlineStr">
        <is>
          <t>Cur. Value</t>
        </is>
      </c>
      <c r="AJ8" s="20" t="inlineStr">
        <is>
          <t>Cur. Units</t>
        </is>
      </c>
      <c r="AK8" s="20" t="inlineStr">
        <is>
          <t>Cur. NAV</t>
        </is>
      </c>
      <c r="AL8" s="20" t="inlineStr">
        <is>
          <t>XIRR</t>
        </is>
      </c>
    </row>
    <row r="9">
      <c r="S9">
        <f>IF(AND(ISTEXT($A9),ISNUMBER(SEARCH(" - ",$A9)),ISERROR(SEARCH("Folio",$A9)),$D9=""),TRIM($A9),"")</f>
        <v/>
      </c>
      <c r="T9">
        <f>IF(AND(ISNUMBER(SEARCH("Folio",$A9)),$D9&lt;&gt;""),1,"")</f>
        <v/>
      </c>
      <c r="U9">
        <f>IF($T9=1,COUNTIF($T$9:$T9,1),"")</f>
        <v/>
      </c>
      <c r="V9">
        <f>IF(AND(ISTEXT($A9),LEFT($A10,3)="Pan"),1,"")</f>
        <v/>
      </c>
      <c r="W9" s="21">
        <f>IFERROR(MATCH(1,$U$9:$U$2008,0),"")</f>
        <v/>
      </c>
      <c r="X9" s="22">
        <f>IF($W9="","",IF($R$5&lt;&gt;"",$R$5,$R$6))</f>
        <v/>
      </c>
      <c r="Y9" s="22">
        <f>IF($W9="","",INDEX($S$9:$S$2008,$W9))</f>
        <v/>
      </c>
      <c r="Z9" s="22">
        <f>IF($W9="","",IFERROR(TRIM(LEFT(SUBSTITUTE(INDEX($A$9:$A$2008,$W9),CHAR(10)," "),SEARCH("Folio",SUBSTITUTE(INDEX($A$9:$A$2008,$W9),CHAR(10)," "))-1)),TRIM(SUBSTITUTE(INDEX($A$9:$A$2008,$W9),CHAR(10)," "))))</f>
        <v/>
      </c>
      <c r="AA9" s="22">
        <f>IF($W9="","",IFERROR(TRIM(SUBSTITUTE(MID(SUBSTITUTE(INDEX($A$9:$A$2008,$W9),CHAR(10)," "),SEARCH("Folio",SUBSTITUTE(INDEX($A$9:$A$2008,$W9),CHAR(10)," "))+5,200),":","")),""))</f>
        <v/>
      </c>
      <c r="AB9" s="23">
        <f>IF($W9="","",IF(ISNUMBER(INDEX($D$9:$D$2008,$W9)),INDEX($D$9:$D$2008,$W9),IFERROR(DATE(2000+VALUE(RIGHT(INDEX($D$9:$D$2008,$W9),2)),VALUE(MID(INDEX($D$9:$D$2008,$W9),4,2)),VALUE(LEFT(INDEX($D$9:$D$2008,$W9),2))),"")))</f>
        <v/>
      </c>
      <c r="AC9" s="24">
        <f>IF($W9="","",IFERROR(IF(ISNUMBER(INDEX($E$9:$E$2008,$W9)),INDEX($E$9:$E$2008,$W9),VALUE(SUBSTITUTE(INDEX($E$9:$E$2008,$W9),",",""))),""))</f>
        <v/>
      </c>
      <c r="AD9" s="24">
        <f>IF($W9="","",IFERROR(IF(ISNUMBER(INDEX($F$9:$F$2008,$W9)),INDEX($F$9:$F$2008,$W9),VALUE(SUBSTITUTE(INDEX($F$9:$F$2008,$W9),",",""))),""))</f>
        <v/>
      </c>
      <c r="AE9" s="24">
        <f>IF($W9="","",IFERROR(IF(ISNUMBER(INDEX($G$9:$G$2008,$W9)),INDEX($G$9:$G$2008,$W9),VALUE(SUBSTITUTE(INDEX($G$9:$G$2008,$W9),",",""))),""))</f>
        <v/>
      </c>
      <c r="AF9" s="24">
        <f>IF($W9="","",IFERROR(IF(ISNUMBER(INDEX($H$9:$H$2008,$W9)),INDEX($H$9:$H$2008,$W9),VALUE(SUBSTITUTE(INDEX($H$9:$H$2008,$W9),",",""))),""))</f>
        <v/>
      </c>
      <c r="AG9" s="24">
        <f>IF($W9="","",IFERROR(IF(ISNUMBER(INDEX($I$9:$I$2008,$W9)),INDEX($I$9:$I$2008,$W9),VALUE(SUBSTITUTE(INDEX($I$9:$I$2008,$W9),",",""))),""))</f>
        <v/>
      </c>
      <c r="AH9" s="24">
        <f>IF($W9="","",IFERROR(IF(ISNUMBER(INDEX($J$9:$J$2008,$W9)),INDEX($J$9:$J$2008,$W9),VALUE(SUBSTITUTE(INDEX($J$9:$J$2008,$W9),",",""))),""))</f>
        <v/>
      </c>
      <c r="AI9" s="24">
        <f>IF($W9="","",IFERROR(IF(ISNUMBER(INDEX($K$9:$K$2008,$W9)),INDEX($K$9:$K$2008,$W9),VALUE(SUBSTITUTE(INDEX($K$9:$K$2008,$W9),",",""))),""))</f>
        <v/>
      </c>
      <c r="AJ9" s="25">
        <f>IF($W9="","",IFERROR(IF(ISNUMBER(INDEX($L$9:$L$2008,$W9)),INDEX($L$9:$L$2008,$W9),VALUE(SUBSTITUTE(INDEX($L$9:$L$2008,$W9),",",""))),""))</f>
        <v/>
      </c>
      <c r="AK9" s="25">
        <f>IF($W9="","",IFERROR(IF(ISNUMBER(INDEX($M$9:$M$2008,$W9)),INDEX($M$9:$M$2008,$W9),VALUE(SUBSTITUTE(INDEX($M$9:$M$2008,$W9),",",""))),""))</f>
        <v/>
      </c>
      <c r="AL9" s="26">
        <f>IF($W9="","",IFERROR(IF(ISNUMBER(INDEX($P$9:$P$2008,$W9)),INDEX($P$9:$P$2008,$W9),VALUE(SUBSTITUTE(INDEX($P$9:$P$2008,$W9),"%",""))/100),""))</f>
        <v/>
      </c>
    </row>
    <row r="10">
      <c r="S10">
        <f>IF(AND(ISTEXT($A10),ISNUMBER(SEARCH(" - ",$A10)),ISERROR(SEARCH("Folio",$A10)),$D10=""),TRIM($A10),$S9)</f>
        <v/>
      </c>
      <c r="T10">
        <f>IF(AND(ISNUMBER(SEARCH("Folio",$A10)),$D10&lt;&gt;""),1,"")</f>
        <v/>
      </c>
      <c r="U10">
        <f>IF($T10=1,COUNTIF($T$9:$T10,1),"")</f>
        <v/>
      </c>
      <c r="V10">
        <f>IF(AND(ISTEXT($A10),LEFT($A11,3)="Pan"),1,"")</f>
        <v/>
      </c>
      <c r="W10" s="21">
        <f>IFERROR(MATCH(2,$U$9:$U$2008,0),"")</f>
        <v/>
      </c>
      <c r="X10" s="27">
        <f>IF($W10="","",IF($R$5&lt;&gt;"",$R$5,$R$6))</f>
        <v/>
      </c>
      <c r="Y10" s="27">
        <f>IF($W10="","",INDEX($S$9:$S$2008,$W10))</f>
        <v/>
      </c>
      <c r="Z10" s="27">
        <f>IF($W10="","",IFERROR(TRIM(LEFT(SUBSTITUTE(INDEX($A$9:$A$2008,$W10),CHAR(10)," "),SEARCH("Folio",SUBSTITUTE(INDEX($A$9:$A$2008,$W10),CHAR(10)," "))-1)),TRIM(SUBSTITUTE(INDEX($A$9:$A$2008,$W10),CHAR(10)," "))))</f>
        <v/>
      </c>
      <c r="AA10" s="27">
        <f>IF($W10="","",IFERROR(TRIM(SUBSTITUTE(MID(SUBSTITUTE(INDEX($A$9:$A$2008,$W10),CHAR(10)," "),SEARCH("Folio",SUBSTITUTE(INDEX($A$9:$A$2008,$W10),CHAR(10)," "))+5,200),":","")),""))</f>
        <v/>
      </c>
      <c r="AB10" s="28">
        <f>IF($W10="","",IF(ISNUMBER(INDEX($D$9:$D$2008,$W10)),INDEX($D$9:$D$2008,$W10),IFERROR(DATE(2000+VALUE(RIGHT(INDEX($D$9:$D$2008,$W10),2)),VALUE(MID(INDEX($D$9:$D$2008,$W10),4,2)),VALUE(LEFT(INDEX($D$9:$D$2008,$W10),2))),"")))</f>
        <v/>
      </c>
      <c r="AC10" s="29">
        <f>IF($W10="","",IFERROR(IF(ISNUMBER(INDEX($E$9:$E$2008,$W10)),INDEX($E$9:$E$2008,$W10),VALUE(SUBSTITUTE(INDEX($E$9:$E$2008,$W10),",",""))),""))</f>
        <v/>
      </c>
      <c r="AD10" s="29">
        <f>IF($W10="","",IFERROR(IF(ISNUMBER(INDEX($F$9:$F$2008,$W10)),INDEX($F$9:$F$2008,$W10),VALUE(SUBSTITUTE(INDEX($F$9:$F$2008,$W10),",",""))),""))</f>
        <v/>
      </c>
      <c r="AE10" s="29">
        <f>IF($W10="","",IFERROR(IF(ISNUMBER(INDEX($G$9:$G$2008,$W10)),INDEX($G$9:$G$2008,$W10),VALUE(SUBSTITUTE(INDEX($G$9:$G$2008,$W10),",",""))),""))</f>
        <v/>
      </c>
      <c r="AF10" s="29">
        <f>IF($W10="","",IFERROR(IF(ISNUMBER(INDEX($H$9:$H$2008,$W10)),INDEX($H$9:$H$2008,$W10),VALUE(SUBSTITUTE(INDEX($H$9:$H$2008,$W10),",",""))),""))</f>
        <v/>
      </c>
      <c r="AG10" s="29">
        <f>IF($W10="","",IFERROR(IF(ISNUMBER(INDEX($I$9:$I$2008,$W10)),INDEX($I$9:$I$2008,$W10),VALUE(SUBSTITUTE(INDEX($I$9:$I$2008,$W10),",",""))),""))</f>
        <v/>
      </c>
      <c r="AH10" s="29">
        <f>IF($W10="","",IFERROR(IF(ISNUMBER(INDEX($J$9:$J$2008,$W10)),INDEX($J$9:$J$2008,$W10),VALUE(SUBSTITUTE(INDEX($J$9:$J$2008,$W10),",",""))),""))</f>
        <v/>
      </c>
      <c r="AI10" s="29">
        <f>IF($W10="","",IFERROR(IF(ISNUMBER(INDEX($K$9:$K$2008,$W10)),INDEX($K$9:$K$2008,$W10),VALUE(SUBSTITUTE(INDEX($K$9:$K$2008,$W10),",",""))),""))</f>
        <v/>
      </c>
      <c r="AJ10" s="30">
        <f>IF($W10="","",IFERROR(IF(ISNUMBER(INDEX($L$9:$L$2008,$W10)),INDEX($L$9:$L$2008,$W10),VALUE(SUBSTITUTE(INDEX($L$9:$L$2008,$W10),",",""))),""))</f>
        <v/>
      </c>
      <c r="AK10" s="30">
        <f>IF($W10="","",IFERROR(IF(ISNUMBER(INDEX($M$9:$M$2008,$W10)),INDEX($M$9:$M$2008,$W10),VALUE(SUBSTITUTE(INDEX($M$9:$M$2008,$W10),",",""))),""))</f>
        <v/>
      </c>
      <c r="AL10" s="31">
        <f>IF($W10="","",IFERROR(IF(ISNUMBER(INDEX($P$9:$P$2008,$W10)),INDEX($P$9:$P$2008,$W10),VALUE(SUBSTITUTE(INDEX($P$9:$P$2008,$W10),"%",""))/100),""))</f>
        <v/>
      </c>
    </row>
    <row r="11">
      <c r="S11">
        <f>IF(AND(ISTEXT($A11),ISNUMBER(SEARCH(" - ",$A11)),ISERROR(SEARCH("Folio",$A11)),$D11=""),TRIM($A11),$S10)</f>
        <v/>
      </c>
      <c r="T11">
        <f>IF(AND(ISNUMBER(SEARCH("Folio",$A11)),$D11&lt;&gt;""),1,"")</f>
        <v/>
      </c>
      <c r="U11">
        <f>IF($T11=1,COUNTIF($T$9:$T11,1),"")</f>
        <v/>
      </c>
      <c r="V11">
        <f>IF(AND(ISTEXT($A11),LEFT($A12,3)="Pan"),1,"")</f>
        <v/>
      </c>
      <c r="W11" s="21">
        <f>IFERROR(MATCH(3,$U$9:$U$2008,0),"")</f>
        <v/>
      </c>
      <c r="X11" s="22">
        <f>IF($W11="","",IF($R$5&lt;&gt;"",$R$5,$R$6))</f>
        <v/>
      </c>
      <c r="Y11" s="22">
        <f>IF($W11="","",INDEX($S$9:$S$2008,$W11))</f>
        <v/>
      </c>
      <c r="Z11" s="22">
        <f>IF($W11="","",IFERROR(TRIM(LEFT(SUBSTITUTE(INDEX($A$9:$A$2008,$W11),CHAR(10)," "),SEARCH("Folio",SUBSTITUTE(INDEX($A$9:$A$2008,$W11),CHAR(10)," "))-1)),TRIM(SUBSTITUTE(INDEX($A$9:$A$2008,$W11),CHAR(10)," "))))</f>
        <v/>
      </c>
      <c r="AA11" s="22">
        <f>IF($W11="","",IFERROR(TRIM(SUBSTITUTE(MID(SUBSTITUTE(INDEX($A$9:$A$2008,$W11),CHAR(10)," "),SEARCH("Folio",SUBSTITUTE(INDEX($A$9:$A$2008,$W11),CHAR(10)," "))+5,200),":","")),""))</f>
        <v/>
      </c>
      <c r="AB11" s="23">
        <f>IF($W11="","",IF(ISNUMBER(INDEX($D$9:$D$2008,$W11)),INDEX($D$9:$D$2008,$W11),IFERROR(DATE(2000+VALUE(RIGHT(INDEX($D$9:$D$2008,$W11),2)),VALUE(MID(INDEX($D$9:$D$2008,$W11),4,2)),VALUE(LEFT(INDEX($D$9:$D$2008,$W11),2))),"")))</f>
        <v/>
      </c>
      <c r="AC11" s="24">
        <f>IF($W11="","",IFERROR(IF(ISNUMBER(INDEX($E$9:$E$2008,$W11)),INDEX($E$9:$E$2008,$W11),VALUE(SUBSTITUTE(INDEX($E$9:$E$2008,$W11),",",""))),""))</f>
        <v/>
      </c>
      <c r="AD11" s="24">
        <f>IF($W11="","",IFERROR(IF(ISNUMBER(INDEX($F$9:$F$2008,$W11)),INDEX($F$9:$F$2008,$W11),VALUE(SUBSTITUTE(INDEX($F$9:$F$2008,$W11),",",""))),""))</f>
        <v/>
      </c>
      <c r="AE11" s="24">
        <f>IF($W11="","",IFERROR(IF(ISNUMBER(INDEX($G$9:$G$2008,$W11)),INDEX($G$9:$G$2008,$W11),VALUE(SUBSTITUTE(INDEX($G$9:$G$2008,$W11),",",""))),""))</f>
        <v/>
      </c>
      <c r="AF11" s="24">
        <f>IF($W11="","",IFERROR(IF(ISNUMBER(INDEX($H$9:$H$2008,$W11)),INDEX($H$9:$H$2008,$W11),VALUE(SUBSTITUTE(INDEX($H$9:$H$2008,$W11),",",""))),""))</f>
        <v/>
      </c>
      <c r="AG11" s="24">
        <f>IF($W11="","",IFERROR(IF(ISNUMBER(INDEX($I$9:$I$2008,$W11)),INDEX($I$9:$I$2008,$W11),VALUE(SUBSTITUTE(INDEX($I$9:$I$2008,$W11),",",""))),""))</f>
        <v/>
      </c>
      <c r="AH11" s="24">
        <f>IF($W11="","",IFERROR(IF(ISNUMBER(INDEX($J$9:$J$2008,$W11)),INDEX($J$9:$J$2008,$W11),VALUE(SUBSTITUTE(INDEX($J$9:$J$2008,$W11),",",""))),""))</f>
        <v/>
      </c>
      <c r="AI11" s="24">
        <f>IF($W11="","",IFERROR(IF(ISNUMBER(INDEX($K$9:$K$2008,$W11)),INDEX($K$9:$K$2008,$W11),VALUE(SUBSTITUTE(INDEX($K$9:$K$2008,$W11),",",""))),""))</f>
        <v/>
      </c>
      <c r="AJ11" s="25">
        <f>IF($W11="","",IFERROR(IF(ISNUMBER(INDEX($L$9:$L$2008,$W11)),INDEX($L$9:$L$2008,$W11),VALUE(SUBSTITUTE(INDEX($L$9:$L$2008,$W11),",",""))),""))</f>
        <v/>
      </c>
      <c r="AK11" s="25">
        <f>IF($W11="","",IFERROR(IF(ISNUMBER(INDEX($M$9:$M$2008,$W11)),INDEX($M$9:$M$2008,$W11),VALUE(SUBSTITUTE(INDEX($M$9:$M$2008,$W11),",",""))),""))</f>
        <v/>
      </c>
      <c r="AL11" s="26">
        <f>IF($W11="","",IFERROR(IF(ISNUMBER(INDEX($P$9:$P$2008,$W11)),INDEX($P$9:$P$2008,$W11),VALUE(SUBSTITUTE(INDEX($P$9:$P$2008,$W11),"%",""))/100),""))</f>
        <v/>
      </c>
    </row>
    <row r="12">
      <c r="S12">
        <f>IF(AND(ISTEXT($A12),ISNUMBER(SEARCH(" - ",$A12)),ISERROR(SEARCH("Folio",$A12)),$D12=""),TRIM($A12),$S11)</f>
        <v/>
      </c>
      <c r="T12">
        <f>IF(AND(ISNUMBER(SEARCH("Folio",$A12)),$D12&lt;&gt;""),1,"")</f>
        <v/>
      </c>
      <c r="U12">
        <f>IF($T12=1,COUNTIF($T$9:$T12,1),"")</f>
        <v/>
      </c>
      <c r="V12">
        <f>IF(AND(ISTEXT($A12),LEFT($A13,3)="Pan"),1,"")</f>
        <v/>
      </c>
      <c r="W12" s="21">
        <f>IFERROR(MATCH(4,$U$9:$U$2008,0),"")</f>
        <v/>
      </c>
      <c r="X12" s="27">
        <f>IF($W12="","",IF($R$5&lt;&gt;"",$R$5,$R$6))</f>
        <v/>
      </c>
      <c r="Y12" s="27">
        <f>IF($W12="","",INDEX($S$9:$S$2008,$W12))</f>
        <v/>
      </c>
      <c r="Z12" s="27">
        <f>IF($W12="","",IFERROR(TRIM(LEFT(SUBSTITUTE(INDEX($A$9:$A$2008,$W12),CHAR(10)," "),SEARCH("Folio",SUBSTITUTE(INDEX($A$9:$A$2008,$W12),CHAR(10)," "))-1)),TRIM(SUBSTITUTE(INDEX($A$9:$A$2008,$W12),CHAR(10)," "))))</f>
        <v/>
      </c>
      <c r="AA12" s="27">
        <f>IF($W12="","",IFERROR(TRIM(SUBSTITUTE(MID(SUBSTITUTE(INDEX($A$9:$A$2008,$W12),CHAR(10)," "),SEARCH("Folio",SUBSTITUTE(INDEX($A$9:$A$2008,$W12),CHAR(10)," "))+5,200),":","")),""))</f>
        <v/>
      </c>
      <c r="AB12" s="28">
        <f>IF($W12="","",IF(ISNUMBER(INDEX($D$9:$D$2008,$W12)),INDEX($D$9:$D$2008,$W12),IFERROR(DATE(2000+VALUE(RIGHT(INDEX($D$9:$D$2008,$W12),2)),VALUE(MID(INDEX($D$9:$D$2008,$W12),4,2)),VALUE(LEFT(INDEX($D$9:$D$2008,$W12),2))),"")))</f>
        <v/>
      </c>
      <c r="AC12" s="29">
        <f>IF($W12="","",IFERROR(IF(ISNUMBER(INDEX($E$9:$E$2008,$W12)),INDEX($E$9:$E$2008,$W12),VALUE(SUBSTITUTE(INDEX($E$9:$E$2008,$W12),",",""))),""))</f>
        <v/>
      </c>
      <c r="AD12" s="29">
        <f>IF($W12="","",IFERROR(IF(ISNUMBER(INDEX($F$9:$F$2008,$W12)),INDEX($F$9:$F$2008,$W12),VALUE(SUBSTITUTE(INDEX($F$9:$F$2008,$W12),",",""))),""))</f>
        <v/>
      </c>
      <c r="AE12" s="29">
        <f>IF($W12="","",IFERROR(IF(ISNUMBER(INDEX($G$9:$G$2008,$W12)),INDEX($G$9:$G$2008,$W12),VALUE(SUBSTITUTE(INDEX($G$9:$G$2008,$W12),",",""))),""))</f>
        <v/>
      </c>
      <c r="AF12" s="29">
        <f>IF($W12="","",IFERROR(IF(ISNUMBER(INDEX($H$9:$H$2008,$W12)),INDEX($H$9:$H$2008,$W12),VALUE(SUBSTITUTE(INDEX($H$9:$H$2008,$W12),",",""))),""))</f>
        <v/>
      </c>
      <c r="AG12" s="29">
        <f>IF($W12="","",IFERROR(IF(ISNUMBER(INDEX($I$9:$I$2008,$W12)),INDEX($I$9:$I$2008,$W12),VALUE(SUBSTITUTE(INDEX($I$9:$I$2008,$W12),",",""))),""))</f>
        <v/>
      </c>
      <c r="AH12" s="29">
        <f>IF($W12="","",IFERROR(IF(ISNUMBER(INDEX($J$9:$J$2008,$W12)),INDEX($J$9:$J$2008,$W12),VALUE(SUBSTITUTE(INDEX($J$9:$J$2008,$W12),",",""))),""))</f>
        <v/>
      </c>
      <c r="AI12" s="29">
        <f>IF($W12="","",IFERROR(IF(ISNUMBER(INDEX($K$9:$K$2008,$W12)),INDEX($K$9:$K$2008,$W12),VALUE(SUBSTITUTE(INDEX($K$9:$K$2008,$W12),",",""))),""))</f>
        <v/>
      </c>
      <c r="AJ12" s="30">
        <f>IF($W12="","",IFERROR(IF(ISNUMBER(INDEX($L$9:$L$2008,$W12)),INDEX($L$9:$L$2008,$W12),VALUE(SUBSTITUTE(INDEX($L$9:$L$2008,$W12),",",""))),""))</f>
        <v/>
      </c>
      <c r="AK12" s="30">
        <f>IF($W12="","",IFERROR(IF(ISNUMBER(INDEX($M$9:$M$2008,$W12)),INDEX($M$9:$M$2008,$W12),VALUE(SUBSTITUTE(INDEX($M$9:$M$2008,$W12),",",""))),""))</f>
        <v/>
      </c>
      <c r="AL12" s="31">
        <f>IF($W12="","",IFERROR(IF(ISNUMBER(INDEX($P$9:$P$2008,$W12)),INDEX($P$9:$P$2008,$W12),VALUE(SUBSTITUTE(INDEX($P$9:$P$2008,$W12),"%",""))/100),""))</f>
        <v/>
      </c>
    </row>
    <row r="13">
      <c r="S13">
        <f>IF(AND(ISTEXT($A13),ISNUMBER(SEARCH(" - ",$A13)),ISERROR(SEARCH("Folio",$A13)),$D13=""),TRIM($A13),$S12)</f>
        <v/>
      </c>
      <c r="T13">
        <f>IF(AND(ISNUMBER(SEARCH("Folio",$A13)),$D13&lt;&gt;""),1,"")</f>
        <v/>
      </c>
      <c r="U13">
        <f>IF($T13=1,COUNTIF($T$9:$T13,1),"")</f>
        <v/>
      </c>
      <c r="V13">
        <f>IF(AND(ISTEXT($A13),LEFT($A14,3)="Pan"),1,"")</f>
        <v/>
      </c>
      <c r="W13" s="21">
        <f>IFERROR(MATCH(5,$U$9:$U$2008,0),"")</f>
        <v/>
      </c>
      <c r="X13" s="22">
        <f>IF($W13="","",IF($R$5&lt;&gt;"",$R$5,$R$6))</f>
        <v/>
      </c>
      <c r="Y13" s="22">
        <f>IF($W13="","",INDEX($S$9:$S$2008,$W13))</f>
        <v/>
      </c>
      <c r="Z13" s="22">
        <f>IF($W13="","",IFERROR(TRIM(LEFT(SUBSTITUTE(INDEX($A$9:$A$2008,$W13),CHAR(10)," "),SEARCH("Folio",SUBSTITUTE(INDEX($A$9:$A$2008,$W13),CHAR(10)," "))-1)),TRIM(SUBSTITUTE(INDEX($A$9:$A$2008,$W13),CHAR(10)," "))))</f>
        <v/>
      </c>
      <c r="AA13" s="22">
        <f>IF($W13="","",IFERROR(TRIM(SUBSTITUTE(MID(SUBSTITUTE(INDEX($A$9:$A$2008,$W13),CHAR(10)," "),SEARCH("Folio",SUBSTITUTE(INDEX($A$9:$A$2008,$W13),CHAR(10)," "))+5,200),":","")),""))</f>
        <v/>
      </c>
      <c r="AB13" s="23">
        <f>IF($W13="","",IF(ISNUMBER(INDEX($D$9:$D$2008,$W13)),INDEX($D$9:$D$2008,$W13),IFERROR(DATE(2000+VALUE(RIGHT(INDEX($D$9:$D$2008,$W13),2)),VALUE(MID(INDEX($D$9:$D$2008,$W13),4,2)),VALUE(LEFT(INDEX($D$9:$D$2008,$W13),2))),"")))</f>
        <v/>
      </c>
      <c r="AC13" s="24">
        <f>IF($W13="","",IFERROR(IF(ISNUMBER(INDEX($E$9:$E$2008,$W13)),INDEX($E$9:$E$2008,$W13),VALUE(SUBSTITUTE(INDEX($E$9:$E$2008,$W13),",",""))),""))</f>
        <v/>
      </c>
      <c r="AD13" s="24">
        <f>IF($W13="","",IFERROR(IF(ISNUMBER(INDEX($F$9:$F$2008,$W13)),INDEX($F$9:$F$2008,$W13),VALUE(SUBSTITUTE(INDEX($F$9:$F$2008,$W13),",",""))),""))</f>
        <v/>
      </c>
      <c r="AE13" s="24">
        <f>IF($W13="","",IFERROR(IF(ISNUMBER(INDEX($G$9:$G$2008,$W13)),INDEX($G$9:$G$2008,$W13),VALUE(SUBSTITUTE(INDEX($G$9:$G$2008,$W13),",",""))),""))</f>
        <v/>
      </c>
      <c r="AF13" s="24">
        <f>IF($W13="","",IFERROR(IF(ISNUMBER(INDEX($H$9:$H$2008,$W13)),INDEX($H$9:$H$2008,$W13),VALUE(SUBSTITUTE(INDEX($H$9:$H$2008,$W13),",",""))),""))</f>
        <v/>
      </c>
      <c r="AG13" s="24">
        <f>IF($W13="","",IFERROR(IF(ISNUMBER(INDEX($I$9:$I$2008,$W13)),INDEX($I$9:$I$2008,$W13),VALUE(SUBSTITUTE(INDEX($I$9:$I$2008,$W13),",",""))),""))</f>
        <v/>
      </c>
      <c r="AH13" s="24">
        <f>IF($W13="","",IFERROR(IF(ISNUMBER(INDEX($J$9:$J$2008,$W13)),INDEX($J$9:$J$2008,$W13),VALUE(SUBSTITUTE(INDEX($J$9:$J$2008,$W13),",",""))),""))</f>
        <v/>
      </c>
      <c r="AI13" s="24">
        <f>IF($W13="","",IFERROR(IF(ISNUMBER(INDEX($K$9:$K$2008,$W13)),INDEX($K$9:$K$2008,$W13),VALUE(SUBSTITUTE(INDEX($K$9:$K$2008,$W13),",",""))),""))</f>
        <v/>
      </c>
      <c r="AJ13" s="25">
        <f>IF($W13="","",IFERROR(IF(ISNUMBER(INDEX($L$9:$L$2008,$W13)),INDEX($L$9:$L$2008,$W13),VALUE(SUBSTITUTE(INDEX($L$9:$L$2008,$W13),",",""))),""))</f>
        <v/>
      </c>
      <c r="AK13" s="25">
        <f>IF($W13="","",IFERROR(IF(ISNUMBER(INDEX($M$9:$M$2008,$W13)),INDEX($M$9:$M$2008,$W13),VALUE(SUBSTITUTE(INDEX($M$9:$M$2008,$W13),",",""))),""))</f>
        <v/>
      </c>
      <c r="AL13" s="26">
        <f>IF($W13="","",IFERROR(IF(ISNUMBER(INDEX($P$9:$P$2008,$W13)),INDEX($P$9:$P$2008,$W13),VALUE(SUBSTITUTE(INDEX($P$9:$P$2008,$W13),"%",""))/100),""))</f>
        <v/>
      </c>
    </row>
    <row r="14">
      <c r="S14">
        <f>IF(AND(ISTEXT($A14),ISNUMBER(SEARCH(" - ",$A14)),ISERROR(SEARCH("Folio",$A14)),$D14=""),TRIM($A14),$S13)</f>
        <v/>
      </c>
      <c r="T14">
        <f>IF(AND(ISNUMBER(SEARCH("Folio",$A14)),$D14&lt;&gt;""),1,"")</f>
        <v/>
      </c>
      <c r="U14">
        <f>IF($T14=1,COUNTIF($T$9:$T14,1),"")</f>
        <v/>
      </c>
      <c r="V14">
        <f>IF(AND(ISTEXT($A14),LEFT($A15,3)="Pan"),1,"")</f>
        <v/>
      </c>
      <c r="W14" s="21">
        <f>IFERROR(MATCH(6,$U$9:$U$2008,0),"")</f>
        <v/>
      </c>
      <c r="X14" s="27">
        <f>IF($W14="","",IF($R$5&lt;&gt;"",$R$5,$R$6))</f>
        <v/>
      </c>
      <c r="Y14" s="27">
        <f>IF($W14="","",INDEX($S$9:$S$2008,$W14))</f>
        <v/>
      </c>
      <c r="Z14" s="27">
        <f>IF($W14="","",IFERROR(TRIM(LEFT(SUBSTITUTE(INDEX($A$9:$A$2008,$W14),CHAR(10)," "),SEARCH("Folio",SUBSTITUTE(INDEX($A$9:$A$2008,$W14),CHAR(10)," "))-1)),TRIM(SUBSTITUTE(INDEX($A$9:$A$2008,$W14),CHAR(10)," "))))</f>
        <v/>
      </c>
      <c r="AA14" s="27">
        <f>IF($W14="","",IFERROR(TRIM(SUBSTITUTE(MID(SUBSTITUTE(INDEX($A$9:$A$2008,$W14),CHAR(10)," "),SEARCH("Folio",SUBSTITUTE(INDEX($A$9:$A$2008,$W14),CHAR(10)," "))+5,200),":","")),""))</f>
        <v/>
      </c>
      <c r="AB14" s="28">
        <f>IF($W14="","",IF(ISNUMBER(INDEX($D$9:$D$2008,$W14)),INDEX($D$9:$D$2008,$W14),IFERROR(DATE(2000+VALUE(RIGHT(INDEX($D$9:$D$2008,$W14),2)),VALUE(MID(INDEX($D$9:$D$2008,$W14),4,2)),VALUE(LEFT(INDEX($D$9:$D$2008,$W14),2))),"")))</f>
        <v/>
      </c>
      <c r="AC14" s="29">
        <f>IF($W14="","",IFERROR(IF(ISNUMBER(INDEX($E$9:$E$2008,$W14)),INDEX($E$9:$E$2008,$W14),VALUE(SUBSTITUTE(INDEX($E$9:$E$2008,$W14),",",""))),""))</f>
        <v/>
      </c>
      <c r="AD14" s="29">
        <f>IF($W14="","",IFERROR(IF(ISNUMBER(INDEX($F$9:$F$2008,$W14)),INDEX($F$9:$F$2008,$W14),VALUE(SUBSTITUTE(INDEX($F$9:$F$2008,$W14),",",""))),""))</f>
        <v/>
      </c>
      <c r="AE14" s="29">
        <f>IF($W14="","",IFERROR(IF(ISNUMBER(INDEX($G$9:$G$2008,$W14)),INDEX($G$9:$G$2008,$W14),VALUE(SUBSTITUTE(INDEX($G$9:$G$2008,$W14),",",""))),""))</f>
        <v/>
      </c>
      <c r="AF14" s="29">
        <f>IF($W14="","",IFERROR(IF(ISNUMBER(INDEX($H$9:$H$2008,$W14)),INDEX($H$9:$H$2008,$W14),VALUE(SUBSTITUTE(INDEX($H$9:$H$2008,$W14),",",""))),""))</f>
        <v/>
      </c>
      <c r="AG14" s="29">
        <f>IF($W14="","",IFERROR(IF(ISNUMBER(INDEX($I$9:$I$2008,$W14)),INDEX($I$9:$I$2008,$W14),VALUE(SUBSTITUTE(INDEX($I$9:$I$2008,$W14),",",""))),""))</f>
        <v/>
      </c>
      <c r="AH14" s="29">
        <f>IF($W14="","",IFERROR(IF(ISNUMBER(INDEX($J$9:$J$2008,$W14)),INDEX($J$9:$J$2008,$W14),VALUE(SUBSTITUTE(INDEX($J$9:$J$2008,$W14),",",""))),""))</f>
        <v/>
      </c>
      <c r="AI14" s="29">
        <f>IF($W14="","",IFERROR(IF(ISNUMBER(INDEX($K$9:$K$2008,$W14)),INDEX($K$9:$K$2008,$W14),VALUE(SUBSTITUTE(INDEX($K$9:$K$2008,$W14),",",""))),""))</f>
        <v/>
      </c>
      <c r="AJ14" s="30">
        <f>IF($W14="","",IFERROR(IF(ISNUMBER(INDEX($L$9:$L$2008,$W14)),INDEX($L$9:$L$2008,$W14),VALUE(SUBSTITUTE(INDEX($L$9:$L$2008,$W14),",",""))),""))</f>
        <v/>
      </c>
      <c r="AK14" s="30">
        <f>IF($W14="","",IFERROR(IF(ISNUMBER(INDEX($M$9:$M$2008,$W14)),INDEX($M$9:$M$2008,$W14),VALUE(SUBSTITUTE(INDEX($M$9:$M$2008,$W14),",",""))),""))</f>
        <v/>
      </c>
      <c r="AL14" s="31">
        <f>IF($W14="","",IFERROR(IF(ISNUMBER(INDEX($P$9:$P$2008,$W14)),INDEX($P$9:$P$2008,$W14),VALUE(SUBSTITUTE(INDEX($P$9:$P$2008,$W14),"%",""))/100),""))</f>
        <v/>
      </c>
    </row>
    <row r="15">
      <c r="S15">
        <f>IF(AND(ISTEXT($A15),ISNUMBER(SEARCH(" - ",$A15)),ISERROR(SEARCH("Folio",$A15)),$D15=""),TRIM($A15),$S14)</f>
        <v/>
      </c>
      <c r="T15">
        <f>IF(AND(ISNUMBER(SEARCH("Folio",$A15)),$D15&lt;&gt;""),1,"")</f>
        <v/>
      </c>
      <c r="U15">
        <f>IF($T15=1,COUNTIF($T$9:$T15,1),"")</f>
        <v/>
      </c>
      <c r="V15">
        <f>IF(AND(ISTEXT($A15),LEFT($A16,3)="Pan"),1,"")</f>
        <v/>
      </c>
      <c r="W15" s="21">
        <f>IFERROR(MATCH(7,$U$9:$U$2008,0),"")</f>
        <v/>
      </c>
      <c r="X15" s="22">
        <f>IF($W15="","",IF($R$5&lt;&gt;"",$R$5,$R$6))</f>
        <v/>
      </c>
      <c r="Y15" s="22">
        <f>IF($W15="","",INDEX($S$9:$S$2008,$W15))</f>
        <v/>
      </c>
      <c r="Z15" s="22">
        <f>IF($W15="","",IFERROR(TRIM(LEFT(SUBSTITUTE(INDEX($A$9:$A$2008,$W15),CHAR(10)," "),SEARCH("Folio",SUBSTITUTE(INDEX($A$9:$A$2008,$W15),CHAR(10)," "))-1)),TRIM(SUBSTITUTE(INDEX($A$9:$A$2008,$W15),CHAR(10)," "))))</f>
        <v/>
      </c>
      <c r="AA15" s="22">
        <f>IF($W15="","",IFERROR(TRIM(SUBSTITUTE(MID(SUBSTITUTE(INDEX($A$9:$A$2008,$W15),CHAR(10)," "),SEARCH("Folio",SUBSTITUTE(INDEX($A$9:$A$2008,$W15),CHAR(10)," "))+5,200),":","")),""))</f>
        <v/>
      </c>
      <c r="AB15" s="23">
        <f>IF($W15="","",IF(ISNUMBER(INDEX($D$9:$D$2008,$W15)),INDEX($D$9:$D$2008,$W15),IFERROR(DATE(2000+VALUE(RIGHT(INDEX($D$9:$D$2008,$W15),2)),VALUE(MID(INDEX($D$9:$D$2008,$W15),4,2)),VALUE(LEFT(INDEX($D$9:$D$2008,$W15),2))),"")))</f>
        <v/>
      </c>
      <c r="AC15" s="24">
        <f>IF($W15="","",IFERROR(IF(ISNUMBER(INDEX($E$9:$E$2008,$W15)),INDEX($E$9:$E$2008,$W15),VALUE(SUBSTITUTE(INDEX($E$9:$E$2008,$W15),",",""))),""))</f>
        <v/>
      </c>
      <c r="AD15" s="24">
        <f>IF($W15="","",IFERROR(IF(ISNUMBER(INDEX($F$9:$F$2008,$W15)),INDEX($F$9:$F$2008,$W15),VALUE(SUBSTITUTE(INDEX($F$9:$F$2008,$W15),",",""))),""))</f>
        <v/>
      </c>
      <c r="AE15" s="24">
        <f>IF($W15="","",IFERROR(IF(ISNUMBER(INDEX($G$9:$G$2008,$W15)),INDEX($G$9:$G$2008,$W15),VALUE(SUBSTITUTE(INDEX($G$9:$G$2008,$W15),",",""))),""))</f>
        <v/>
      </c>
      <c r="AF15" s="24">
        <f>IF($W15="","",IFERROR(IF(ISNUMBER(INDEX($H$9:$H$2008,$W15)),INDEX($H$9:$H$2008,$W15),VALUE(SUBSTITUTE(INDEX($H$9:$H$2008,$W15),",",""))),""))</f>
        <v/>
      </c>
      <c r="AG15" s="24">
        <f>IF($W15="","",IFERROR(IF(ISNUMBER(INDEX($I$9:$I$2008,$W15)),INDEX($I$9:$I$2008,$W15),VALUE(SUBSTITUTE(INDEX($I$9:$I$2008,$W15),",",""))),""))</f>
        <v/>
      </c>
      <c r="AH15" s="24">
        <f>IF($W15="","",IFERROR(IF(ISNUMBER(INDEX($J$9:$J$2008,$W15)),INDEX($J$9:$J$2008,$W15),VALUE(SUBSTITUTE(INDEX($J$9:$J$2008,$W15),",",""))),""))</f>
        <v/>
      </c>
      <c r="AI15" s="24">
        <f>IF($W15="","",IFERROR(IF(ISNUMBER(INDEX($K$9:$K$2008,$W15)),INDEX($K$9:$K$2008,$W15),VALUE(SUBSTITUTE(INDEX($K$9:$K$2008,$W15),",",""))),""))</f>
        <v/>
      </c>
      <c r="AJ15" s="25">
        <f>IF($W15="","",IFERROR(IF(ISNUMBER(INDEX($L$9:$L$2008,$W15)),INDEX($L$9:$L$2008,$W15),VALUE(SUBSTITUTE(INDEX($L$9:$L$2008,$W15),",",""))),""))</f>
        <v/>
      </c>
      <c r="AK15" s="25">
        <f>IF($W15="","",IFERROR(IF(ISNUMBER(INDEX($M$9:$M$2008,$W15)),INDEX($M$9:$M$2008,$W15),VALUE(SUBSTITUTE(INDEX($M$9:$M$2008,$W15),",",""))),""))</f>
        <v/>
      </c>
      <c r="AL15" s="26">
        <f>IF($W15="","",IFERROR(IF(ISNUMBER(INDEX($P$9:$P$2008,$W15)),INDEX($P$9:$P$2008,$W15),VALUE(SUBSTITUTE(INDEX($P$9:$P$2008,$W15),"%",""))/100),""))</f>
        <v/>
      </c>
    </row>
    <row r="16">
      <c r="S16">
        <f>IF(AND(ISTEXT($A16),ISNUMBER(SEARCH(" - ",$A16)),ISERROR(SEARCH("Folio",$A16)),$D16=""),TRIM($A16),$S15)</f>
        <v/>
      </c>
      <c r="T16">
        <f>IF(AND(ISNUMBER(SEARCH("Folio",$A16)),$D16&lt;&gt;""),1,"")</f>
        <v/>
      </c>
      <c r="U16">
        <f>IF($T16=1,COUNTIF($T$9:$T16,1),"")</f>
        <v/>
      </c>
      <c r="V16">
        <f>IF(AND(ISTEXT($A16),LEFT($A17,3)="Pan"),1,"")</f>
        <v/>
      </c>
      <c r="W16" s="21">
        <f>IFERROR(MATCH(8,$U$9:$U$2008,0),"")</f>
        <v/>
      </c>
      <c r="X16" s="27">
        <f>IF($W16="","",IF($R$5&lt;&gt;"",$R$5,$R$6))</f>
        <v/>
      </c>
      <c r="Y16" s="27">
        <f>IF($W16="","",INDEX($S$9:$S$2008,$W16))</f>
        <v/>
      </c>
      <c r="Z16" s="27">
        <f>IF($W16="","",IFERROR(TRIM(LEFT(SUBSTITUTE(INDEX($A$9:$A$2008,$W16),CHAR(10)," "),SEARCH("Folio",SUBSTITUTE(INDEX($A$9:$A$2008,$W16),CHAR(10)," "))-1)),TRIM(SUBSTITUTE(INDEX($A$9:$A$2008,$W16),CHAR(10)," "))))</f>
        <v/>
      </c>
      <c r="AA16" s="27">
        <f>IF($W16="","",IFERROR(TRIM(SUBSTITUTE(MID(SUBSTITUTE(INDEX($A$9:$A$2008,$W16),CHAR(10)," "),SEARCH("Folio",SUBSTITUTE(INDEX($A$9:$A$2008,$W16),CHAR(10)," "))+5,200),":","")),""))</f>
        <v/>
      </c>
      <c r="AB16" s="28">
        <f>IF($W16="","",IF(ISNUMBER(INDEX($D$9:$D$2008,$W16)),INDEX($D$9:$D$2008,$W16),IFERROR(DATE(2000+VALUE(RIGHT(INDEX($D$9:$D$2008,$W16),2)),VALUE(MID(INDEX($D$9:$D$2008,$W16),4,2)),VALUE(LEFT(INDEX($D$9:$D$2008,$W16),2))),"")))</f>
        <v/>
      </c>
      <c r="AC16" s="29">
        <f>IF($W16="","",IFERROR(IF(ISNUMBER(INDEX($E$9:$E$2008,$W16)),INDEX($E$9:$E$2008,$W16),VALUE(SUBSTITUTE(INDEX($E$9:$E$2008,$W16),",",""))),""))</f>
        <v/>
      </c>
      <c r="AD16" s="29">
        <f>IF($W16="","",IFERROR(IF(ISNUMBER(INDEX($F$9:$F$2008,$W16)),INDEX($F$9:$F$2008,$W16),VALUE(SUBSTITUTE(INDEX($F$9:$F$2008,$W16),",",""))),""))</f>
        <v/>
      </c>
      <c r="AE16" s="29">
        <f>IF($W16="","",IFERROR(IF(ISNUMBER(INDEX($G$9:$G$2008,$W16)),INDEX($G$9:$G$2008,$W16),VALUE(SUBSTITUTE(INDEX($G$9:$G$2008,$W16),",",""))),""))</f>
        <v/>
      </c>
      <c r="AF16" s="29">
        <f>IF($W16="","",IFERROR(IF(ISNUMBER(INDEX($H$9:$H$2008,$W16)),INDEX($H$9:$H$2008,$W16),VALUE(SUBSTITUTE(INDEX($H$9:$H$2008,$W16),",",""))),""))</f>
        <v/>
      </c>
      <c r="AG16" s="29">
        <f>IF($W16="","",IFERROR(IF(ISNUMBER(INDEX($I$9:$I$2008,$W16)),INDEX($I$9:$I$2008,$W16),VALUE(SUBSTITUTE(INDEX($I$9:$I$2008,$W16),",",""))),""))</f>
        <v/>
      </c>
      <c r="AH16" s="29">
        <f>IF($W16="","",IFERROR(IF(ISNUMBER(INDEX($J$9:$J$2008,$W16)),INDEX($J$9:$J$2008,$W16),VALUE(SUBSTITUTE(INDEX($J$9:$J$2008,$W16),",",""))),""))</f>
        <v/>
      </c>
      <c r="AI16" s="29">
        <f>IF($W16="","",IFERROR(IF(ISNUMBER(INDEX($K$9:$K$2008,$W16)),INDEX($K$9:$K$2008,$W16),VALUE(SUBSTITUTE(INDEX($K$9:$K$2008,$W16),",",""))),""))</f>
        <v/>
      </c>
      <c r="AJ16" s="30">
        <f>IF($W16="","",IFERROR(IF(ISNUMBER(INDEX($L$9:$L$2008,$W16)),INDEX($L$9:$L$2008,$W16),VALUE(SUBSTITUTE(INDEX($L$9:$L$2008,$W16),",",""))),""))</f>
        <v/>
      </c>
      <c r="AK16" s="30">
        <f>IF($W16="","",IFERROR(IF(ISNUMBER(INDEX($M$9:$M$2008,$W16)),INDEX($M$9:$M$2008,$W16),VALUE(SUBSTITUTE(INDEX($M$9:$M$2008,$W16),",",""))),""))</f>
        <v/>
      </c>
      <c r="AL16" s="31">
        <f>IF($W16="","",IFERROR(IF(ISNUMBER(INDEX($P$9:$P$2008,$W16)),INDEX($P$9:$P$2008,$W16),VALUE(SUBSTITUTE(INDEX($P$9:$P$2008,$W16),"%",""))/100),""))</f>
        <v/>
      </c>
    </row>
    <row r="17">
      <c r="S17">
        <f>IF(AND(ISTEXT($A17),ISNUMBER(SEARCH(" - ",$A17)),ISERROR(SEARCH("Folio",$A17)),$D17=""),TRIM($A17),$S16)</f>
        <v/>
      </c>
      <c r="T17">
        <f>IF(AND(ISNUMBER(SEARCH("Folio",$A17)),$D17&lt;&gt;""),1,"")</f>
        <v/>
      </c>
      <c r="U17">
        <f>IF($T17=1,COUNTIF($T$9:$T17,1),"")</f>
        <v/>
      </c>
      <c r="V17">
        <f>IF(AND(ISTEXT($A17),LEFT($A18,3)="Pan"),1,"")</f>
        <v/>
      </c>
      <c r="W17" s="21">
        <f>IFERROR(MATCH(9,$U$9:$U$2008,0),"")</f>
        <v/>
      </c>
      <c r="X17" s="22">
        <f>IF($W17="","",IF($R$5&lt;&gt;"",$R$5,$R$6))</f>
        <v/>
      </c>
      <c r="Y17" s="22">
        <f>IF($W17="","",INDEX($S$9:$S$2008,$W17))</f>
        <v/>
      </c>
      <c r="Z17" s="22">
        <f>IF($W17="","",IFERROR(TRIM(LEFT(SUBSTITUTE(INDEX($A$9:$A$2008,$W17),CHAR(10)," "),SEARCH("Folio",SUBSTITUTE(INDEX($A$9:$A$2008,$W17),CHAR(10)," "))-1)),TRIM(SUBSTITUTE(INDEX($A$9:$A$2008,$W17),CHAR(10)," "))))</f>
        <v/>
      </c>
      <c r="AA17" s="22">
        <f>IF($W17="","",IFERROR(TRIM(SUBSTITUTE(MID(SUBSTITUTE(INDEX($A$9:$A$2008,$W17),CHAR(10)," "),SEARCH("Folio",SUBSTITUTE(INDEX($A$9:$A$2008,$W17),CHAR(10)," "))+5,200),":","")),""))</f>
        <v/>
      </c>
      <c r="AB17" s="23">
        <f>IF($W17="","",IF(ISNUMBER(INDEX($D$9:$D$2008,$W17)),INDEX($D$9:$D$2008,$W17),IFERROR(DATE(2000+VALUE(RIGHT(INDEX($D$9:$D$2008,$W17),2)),VALUE(MID(INDEX($D$9:$D$2008,$W17),4,2)),VALUE(LEFT(INDEX($D$9:$D$2008,$W17),2))),"")))</f>
        <v/>
      </c>
      <c r="AC17" s="24">
        <f>IF($W17="","",IFERROR(IF(ISNUMBER(INDEX($E$9:$E$2008,$W17)),INDEX($E$9:$E$2008,$W17),VALUE(SUBSTITUTE(INDEX($E$9:$E$2008,$W17),",",""))),""))</f>
        <v/>
      </c>
      <c r="AD17" s="24">
        <f>IF($W17="","",IFERROR(IF(ISNUMBER(INDEX($F$9:$F$2008,$W17)),INDEX($F$9:$F$2008,$W17),VALUE(SUBSTITUTE(INDEX($F$9:$F$2008,$W17),",",""))),""))</f>
        <v/>
      </c>
      <c r="AE17" s="24">
        <f>IF($W17="","",IFERROR(IF(ISNUMBER(INDEX($G$9:$G$2008,$W17)),INDEX($G$9:$G$2008,$W17),VALUE(SUBSTITUTE(INDEX($G$9:$G$2008,$W17),",",""))),""))</f>
        <v/>
      </c>
      <c r="AF17" s="24">
        <f>IF($W17="","",IFERROR(IF(ISNUMBER(INDEX($H$9:$H$2008,$W17)),INDEX($H$9:$H$2008,$W17),VALUE(SUBSTITUTE(INDEX($H$9:$H$2008,$W17),",",""))),""))</f>
        <v/>
      </c>
      <c r="AG17" s="24">
        <f>IF($W17="","",IFERROR(IF(ISNUMBER(INDEX($I$9:$I$2008,$W17)),INDEX($I$9:$I$2008,$W17),VALUE(SUBSTITUTE(INDEX($I$9:$I$2008,$W17),",",""))),""))</f>
        <v/>
      </c>
      <c r="AH17" s="24">
        <f>IF($W17="","",IFERROR(IF(ISNUMBER(INDEX($J$9:$J$2008,$W17)),INDEX($J$9:$J$2008,$W17),VALUE(SUBSTITUTE(INDEX($J$9:$J$2008,$W17),",",""))),""))</f>
        <v/>
      </c>
      <c r="AI17" s="24">
        <f>IF($W17="","",IFERROR(IF(ISNUMBER(INDEX($K$9:$K$2008,$W17)),INDEX($K$9:$K$2008,$W17),VALUE(SUBSTITUTE(INDEX($K$9:$K$2008,$W17),",",""))),""))</f>
        <v/>
      </c>
      <c r="AJ17" s="25">
        <f>IF($W17="","",IFERROR(IF(ISNUMBER(INDEX($L$9:$L$2008,$W17)),INDEX($L$9:$L$2008,$W17),VALUE(SUBSTITUTE(INDEX($L$9:$L$2008,$W17),",",""))),""))</f>
        <v/>
      </c>
      <c r="AK17" s="25">
        <f>IF($W17="","",IFERROR(IF(ISNUMBER(INDEX($M$9:$M$2008,$W17)),INDEX($M$9:$M$2008,$W17),VALUE(SUBSTITUTE(INDEX($M$9:$M$2008,$W17),",",""))),""))</f>
        <v/>
      </c>
      <c r="AL17" s="26">
        <f>IF($W17="","",IFERROR(IF(ISNUMBER(INDEX($P$9:$P$2008,$W17)),INDEX($P$9:$P$2008,$W17),VALUE(SUBSTITUTE(INDEX($P$9:$P$2008,$W17),"%",""))/100),""))</f>
        <v/>
      </c>
    </row>
    <row r="18">
      <c r="S18">
        <f>IF(AND(ISTEXT($A18),ISNUMBER(SEARCH(" - ",$A18)),ISERROR(SEARCH("Folio",$A18)),$D18=""),TRIM($A18),$S17)</f>
        <v/>
      </c>
      <c r="T18">
        <f>IF(AND(ISNUMBER(SEARCH("Folio",$A18)),$D18&lt;&gt;""),1,"")</f>
        <v/>
      </c>
      <c r="U18">
        <f>IF($T18=1,COUNTIF($T$9:$T18,1),"")</f>
        <v/>
      </c>
      <c r="V18">
        <f>IF(AND(ISTEXT($A18),LEFT($A19,3)="Pan"),1,"")</f>
        <v/>
      </c>
      <c r="W18" s="21">
        <f>IFERROR(MATCH(10,$U$9:$U$2008,0),"")</f>
        <v/>
      </c>
      <c r="X18" s="27">
        <f>IF($W18="","",IF($R$5&lt;&gt;"",$R$5,$R$6))</f>
        <v/>
      </c>
      <c r="Y18" s="27">
        <f>IF($W18="","",INDEX($S$9:$S$2008,$W18))</f>
        <v/>
      </c>
      <c r="Z18" s="27">
        <f>IF($W18="","",IFERROR(TRIM(LEFT(SUBSTITUTE(INDEX($A$9:$A$2008,$W18),CHAR(10)," "),SEARCH("Folio",SUBSTITUTE(INDEX($A$9:$A$2008,$W18),CHAR(10)," "))-1)),TRIM(SUBSTITUTE(INDEX($A$9:$A$2008,$W18),CHAR(10)," "))))</f>
        <v/>
      </c>
      <c r="AA18" s="27">
        <f>IF($W18="","",IFERROR(TRIM(SUBSTITUTE(MID(SUBSTITUTE(INDEX($A$9:$A$2008,$W18),CHAR(10)," "),SEARCH("Folio",SUBSTITUTE(INDEX($A$9:$A$2008,$W18),CHAR(10)," "))+5,200),":","")),""))</f>
        <v/>
      </c>
      <c r="AB18" s="28">
        <f>IF($W18="","",IF(ISNUMBER(INDEX($D$9:$D$2008,$W18)),INDEX($D$9:$D$2008,$W18),IFERROR(DATE(2000+VALUE(RIGHT(INDEX($D$9:$D$2008,$W18),2)),VALUE(MID(INDEX($D$9:$D$2008,$W18),4,2)),VALUE(LEFT(INDEX($D$9:$D$2008,$W18),2))),"")))</f>
        <v/>
      </c>
      <c r="AC18" s="29">
        <f>IF($W18="","",IFERROR(IF(ISNUMBER(INDEX($E$9:$E$2008,$W18)),INDEX($E$9:$E$2008,$W18),VALUE(SUBSTITUTE(INDEX($E$9:$E$2008,$W18),",",""))),""))</f>
        <v/>
      </c>
      <c r="AD18" s="29">
        <f>IF($W18="","",IFERROR(IF(ISNUMBER(INDEX($F$9:$F$2008,$W18)),INDEX($F$9:$F$2008,$W18),VALUE(SUBSTITUTE(INDEX($F$9:$F$2008,$W18),",",""))),""))</f>
        <v/>
      </c>
      <c r="AE18" s="29">
        <f>IF($W18="","",IFERROR(IF(ISNUMBER(INDEX($G$9:$G$2008,$W18)),INDEX($G$9:$G$2008,$W18),VALUE(SUBSTITUTE(INDEX($G$9:$G$2008,$W18),",",""))),""))</f>
        <v/>
      </c>
      <c r="AF18" s="29">
        <f>IF($W18="","",IFERROR(IF(ISNUMBER(INDEX($H$9:$H$2008,$W18)),INDEX($H$9:$H$2008,$W18),VALUE(SUBSTITUTE(INDEX($H$9:$H$2008,$W18),",",""))),""))</f>
        <v/>
      </c>
      <c r="AG18" s="29">
        <f>IF($W18="","",IFERROR(IF(ISNUMBER(INDEX($I$9:$I$2008,$W18)),INDEX($I$9:$I$2008,$W18),VALUE(SUBSTITUTE(INDEX($I$9:$I$2008,$W18),",",""))),""))</f>
        <v/>
      </c>
      <c r="AH18" s="29">
        <f>IF($W18="","",IFERROR(IF(ISNUMBER(INDEX($J$9:$J$2008,$W18)),INDEX($J$9:$J$2008,$W18),VALUE(SUBSTITUTE(INDEX($J$9:$J$2008,$W18),",",""))),""))</f>
        <v/>
      </c>
      <c r="AI18" s="29">
        <f>IF($W18="","",IFERROR(IF(ISNUMBER(INDEX($K$9:$K$2008,$W18)),INDEX($K$9:$K$2008,$W18),VALUE(SUBSTITUTE(INDEX($K$9:$K$2008,$W18),",",""))),""))</f>
        <v/>
      </c>
      <c r="AJ18" s="30">
        <f>IF($W18="","",IFERROR(IF(ISNUMBER(INDEX($L$9:$L$2008,$W18)),INDEX($L$9:$L$2008,$W18),VALUE(SUBSTITUTE(INDEX($L$9:$L$2008,$W18),",",""))),""))</f>
        <v/>
      </c>
      <c r="AK18" s="30">
        <f>IF($W18="","",IFERROR(IF(ISNUMBER(INDEX($M$9:$M$2008,$W18)),INDEX($M$9:$M$2008,$W18),VALUE(SUBSTITUTE(INDEX($M$9:$M$2008,$W18),",",""))),""))</f>
        <v/>
      </c>
      <c r="AL18" s="31">
        <f>IF($W18="","",IFERROR(IF(ISNUMBER(INDEX($P$9:$P$2008,$W18)),INDEX($P$9:$P$2008,$W18),VALUE(SUBSTITUTE(INDEX($P$9:$P$2008,$W18),"%",""))/100),""))</f>
        <v/>
      </c>
    </row>
    <row r="19">
      <c r="S19">
        <f>IF(AND(ISTEXT($A19),ISNUMBER(SEARCH(" - ",$A19)),ISERROR(SEARCH("Folio",$A19)),$D19=""),TRIM($A19),$S18)</f>
        <v/>
      </c>
      <c r="T19">
        <f>IF(AND(ISNUMBER(SEARCH("Folio",$A19)),$D19&lt;&gt;""),1,"")</f>
        <v/>
      </c>
      <c r="U19">
        <f>IF($T19=1,COUNTIF($T$9:$T19,1),"")</f>
        <v/>
      </c>
      <c r="V19">
        <f>IF(AND(ISTEXT($A19),LEFT($A20,3)="Pan"),1,"")</f>
        <v/>
      </c>
      <c r="W19" s="21">
        <f>IFERROR(MATCH(11,$U$9:$U$2008,0),"")</f>
        <v/>
      </c>
      <c r="X19" s="22">
        <f>IF($W19="","",IF($R$5&lt;&gt;"",$R$5,$R$6))</f>
        <v/>
      </c>
      <c r="Y19" s="22">
        <f>IF($W19="","",INDEX($S$9:$S$2008,$W19))</f>
        <v/>
      </c>
      <c r="Z19" s="22">
        <f>IF($W19="","",IFERROR(TRIM(LEFT(SUBSTITUTE(INDEX($A$9:$A$2008,$W19),CHAR(10)," "),SEARCH("Folio",SUBSTITUTE(INDEX($A$9:$A$2008,$W19),CHAR(10)," "))-1)),TRIM(SUBSTITUTE(INDEX($A$9:$A$2008,$W19),CHAR(10)," "))))</f>
        <v/>
      </c>
      <c r="AA19" s="22">
        <f>IF($W19="","",IFERROR(TRIM(SUBSTITUTE(MID(SUBSTITUTE(INDEX($A$9:$A$2008,$W19),CHAR(10)," "),SEARCH("Folio",SUBSTITUTE(INDEX($A$9:$A$2008,$W19),CHAR(10)," "))+5,200),":","")),""))</f>
        <v/>
      </c>
      <c r="AB19" s="23">
        <f>IF($W19="","",IF(ISNUMBER(INDEX($D$9:$D$2008,$W19)),INDEX($D$9:$D$2008,$W19),IFERROR(DATE(2000+VALUE(RIGHT(INDEX($D$9:$D$2008,$W19),2)),VALUE(MID(INDEX($D$9:$D$2008,$W19),4,2)),VALUE(LEFT(INDEX($D$9:$D$2008,$W19),2))),"")))</f>
        <v/>
      </c>
      <c r="AC19" s="24">
        <f>IF($W19="","",IFERROR(IF(ISNUMBER(INDEX($E$9:$E$2008,$W19)),INDEX($E$9:$E$2008,$W19),VALUE(SUBSTITUTE(INDEX($E$9:$E$2008,$W19),",",""))),""))</f>
        <v/>
      </c>
      <c r="AD19" s="24">
        <f>IF($W19="","",IFERROR(IF(ISNUMBER(INDEX($F$9:$F$2008,$W19)),INDEX($F$9:$F$2008,$W19),VALUE(SUBSTITUTE(INDEX($F$9:$F$2008,$W19),",",""))),""))</f>
        <v/>
      </c>
      <c r="AE19" s="24">
        <f>IF($W19="","",IFERROR(IF(ISNUMBER(INDEX($G$9:$G$2008,$W19)),INDEX($G$9:$G$2008,$W19),VALUE(SUBSTITUTE(INDEX($G$9:$G$2008,$W19),",",""))),""))</f>
        <v/>
      </c>
      <c r="AF19" s="24">
        <f>IF($W19="","",IFERROR(IF(ISNUMBER(INDEX($H$9:$H$2008,$W19)),INDEX($H$9:$H$2008,$W19),VALUE(SUBSTITUTE(INDEX($H$9:$H$2008,$W19),",",""))),""))</f>
        <v/>
      </c>
      <c r="AG19" s="24">
        <f>IF($W19="","",IFERROR(IF(ISNUMBER(INDEX($I$9:$I$2008,$W19)),INDEX($I$9:$I$2008,$W19),VALUE(SUBSTITUTE(INDEX($I$9:$I$2008,$W19),",",""))),""))</f>
        <v/>
      </c>
      <c r="AH19" s="24">
        <f>IF($W19="","",IFERROR(IF(ISNUMBER(INDEX($J$9:$J$2008,$W19)),INDEX($J$9:$J$2008,$W19),VALUE(SUBSTITUTE(INDEX($J$9:$J$2008,$W19),",",""))),""))</f>
        <v/>
      </c>
      <c r="AI19" s="24">
        <f>IF($W19="","",IFERROR(IF(ISNUMBER(INDEX($K$9:$K$2008,$W19)),INDEX($K$9:$K$2008,$W19),VALUE(SUBSTITUTE(INDEX($K$9:$K$2008,$W19),",",""))),""))</f>
        <v/>
      </c>
      <c r="AJ19" s="25">
        <f>IF($W19="","",IFERROR(IF(ISNUMBER(INDEX($L$9:$L$2008,$W19)),INDEX($L$9:$L$2008,$W19),VALUE(SUBSTITUTE(INDEX($L$9:$L$2008,$W19),",",""))),""))</f>
        <v/>
      </c>
      <c r="AK19" s="25">
        <f>IF($W19="","",IFERROR(IF(ISNUMBER(INDEX($M$9:$M$2008,$W19)),INDEX($M$9:$M$2008,$W19),VALUE(SUBSTITUTE(INDEX($M$9:$M$2008,$W19),",",""))),""))</f>
        <v/>
      </c>
      <c r="AL19" s="26">
        <f>IF($W19="","",IFERROR(IF(ISNUMBER(INDEX($P$9:$P$2008,$W19)),INDEX($P$9:$P$2008,$W19),VALUE(SUBSTITUTE(INDEX($P$9:$P$2008,$W19),"%",""))/100),""))</f>
        <v/>
      </c>
    </row>
    <row r="20">
      <c r="S20">
        <f>IF(AND(ISTEXT($A20),ISNUMBER(SEARCH(" - ",$A20)),ISERROR(SEARCH("Folio",$A20)),$D20=""),TRIM($A20),$S19)</f>
        <v/>
      </c>
      <c r="T20">
        <f>IF(AND(ISNUMBER(SEARCH("Folio",$A20)),$D20&lt;&gt;""),1,"")</f>
        <v/>
      </c>
      <c r="U20">
        <f>IF($T20=1,COUNTIF($T$9:$T20,1),"")</f>
        <v/>
      </c>
      <c r="V20">
        <f>IF(AND(ISTEXT($A20),LEFT($A21,3)="Pan"),1,"")</f>
        <v/>
      </c>
      <c r="W20" s="21">
        <f>IFERROR(MATCH(12,$U$9:$U$2008,0),"")</f>
        <v/>
      </c>
      <c r="X20" s="27">
        <f>IF($W20="","",IF($R$5&lt;&gt;"",$R$5,$R$6))</f>
        <v/>
      </c>
      <c r="Y20" s="27">
        <f>IF($W20="","",INDEX($S$9:$S$2008,$W20))</f>
        <v/>
      </c>
      <c r="Z20" s="27">
        <f>IF($W20="","",IFERROR(TRIM(LEFT(SUBSTITUTE(INDEX($A$9:$A$2008,$W20),CHAR(10)," "),SEARCH("Folio",SUBSTITUTE(INDEX($A$9:$A$2008,$W20),CHAR(10)," "))-1)),TRIM(SUBSTITUTE(INDEX($A$9:$A$2008,$W20),CHAR(10)," "))))</f>
        <v/>
      </c>
      <c r="AA20" s="27">
        <f>IF($W20="","",IFERROR(TRIM(SUBSTITUTE(MID(SUBSTITUTE(INDEX($A$9:$A$2008,$W20),CHAR(10)," "),SEARCH("Folio",SUBSTITUTE(INDEX($A$9:$A$2008,$W20),CHAR(10)," "))+5,200),":","")),""))</f>
        <v/>
      </c>
      <c r="AB20" s="28">
        <f>IF($W20="","",IF(ISNUMBER(INDEX($D$9:$D$2008,$W20)),INDEX($D$9:$D$2008,$W20),IFERROR(DATE(2000+VALUE(RIGHT(INDEX($D$9:$D$2008,$W20),2)),VALUE(MID(INDEX($D$9:$D$2008,$W20),4,2)),VALUE(LEFT(INDEX($D$9:$D$2008,$W20),2))),"")))</f>
        <v/>
      </c>
      <c r="AC20" s="29">
        <f>IF($W20="","",IFERROR(IF(ISNUMBER(INDEX($E$9:$E$2008,$W20)),INDEX($E$9:$E$2008,$W20),VALUE(SUBSTITUTE(INDEX($E$9:$E$2008,$W20),",",""))),""))</f>
        <v/>
      </c>
      <c r="AD20" s="29">
        <f>IF($W20="","",IFERROR(IF(ISNUMBER(INDEX($F$9:$F$2008,$W20)),INDEX($F$9:$F$2008,$W20),VALUE(SUBSTITUTE(INDEX($F$9:$F$2008,$W20),",",""))),""))</f>
        <v/>
      </c>
      <c r="AE20" s="29">
        <f>IF($W20="","",IFERROR(IF(ISNUMBER(INDEX($G$9:$G$2008,$W20)),INDEX($G$9:$G$2008,$W20),VALUE(SUBSTITUTE(INDEX($G$9:$G$2008,$W20),",",""))),""))</f>
        <v/>
      </c>
      <c r="AF20" s="29">
        <f>IF($W20="","",IFERROR(IF(ISNUMBER(INDEX($H$9:$H$2008,$W20)),INDEX($H$9:$H$2008,$W20),VALUE(SUBSTITUTE(INDEX($H$9:$H$2008,$W20),",",""))),""))</f>
        <v/>
      </c>
      <c r="AG20" s="29">
        <f>IF($W20="","",IFERROR(IF(ISNUMBER(INDEX($I$9:$I$2008,$W20)),INDEX($I$9:$I$2008,$W20),VALUE(SUBSTITUTE(INDEX($I$9:$I$2008,$W20),",",""))),""))</f>
        <v/>
      </c>
      <c r="AH20" s="29">
        <f>IF($W20="","",IFERROR(IF(ISNUMBER(INDEX($J$9:$J$2008,$W20)),INDEX($J$9:$J$2008,$W20),VALUE(SUBSTITUTE(INDEX($J$9:$J$2008,$W20),",",""))),""))</f>
        <v/>
      </c>
      <c r="AI20" s="29">
        <f>IF($W20="","",IFERROR(IF(ISNUMBER(INDEX($K$9:$K$2008,$W20)),INDEX($K$9:$K$2008,$W20),VALUE(SUBSTITUTE(INDEX($K$9:$K$2008,$W20),",",""))),""))</f>
        <v/>
      </c>
      <c r="AJ20" s="30">
        <f>IF($W20="","",IFERROR(IF(ISNUMBER(INDEX($L$9:$L$2008,$W20)),INDEX($L$9:$L$2008,$W20),VALUE(SUBSTITUTE(INDEX($L$9:$L$2008,$W20),",",""))),""))</f>
        <v/>
      </c>
      <c r="AK20" s="30">
        <f>IF($W20="","",IFERROR(IF(ISNUMBER(INDEX($M$9:$M$2008,$W20)),INDEX($M$9:$M$2008,$W20),VALUE(SUBSTITUTE(INDEX($M$9:$M$2008,$W20),",",""))),""))</f>
        <v/>
      </c>
      <c r="AL20" s="31">
        <f>IF($W20="","",IFERROR(IF(ISNUMBER(INDEX($P$9:$P$2008,$W20)),INDEX($P$9:$P$2008,$W20),VALUE(SUBSTITUTE(INDEX($P$9:$P$2008,$W20),"%",""))/100),""))</f>
        <v/>
      </c>
    </row>
    <row r="21">
      <c r="S21">
        <f>IF(AND(ISTEXT($A21),ISNUMBER(SEARCH(" - ",$A21)),ISERROR(SEARCH("Folio",$A21)),$D21=""),TRIM($A21),$S20)</f>
        <v/>
      </c>
      <c r="T21">
        <f>IF(AND(ISNUMBER(SEARCH("Folio",$A21)),$D21&lt;&gt;""),1,"")</f>
        <v/>
      </c>
      <c r="U21">
        <f>IF($T21=1,COUNTIF($T$9:$T21,1),"")</f>
        <v/>
      </c>
      <c r="V21">
        <f>IF(AND(ISTEXT($A21),LEFT($A22,3)="Pan"),1,"")</f>
        <v/>
      </c>
      <c r="W21" s="21">
        <f>IFERROR(MATCH(13,$U$9:$U$2008,0),"")</f>
        <v/>
      </c>
      <c r="X21" s="22">
        <f>IF($W21="","",IF($R$5&lt;&gt;"",$R$5,$R$6))</f>
        <v/>
      </c>
      <c r="Y21" s="22">
        <f>IF($W21="","",INDEX($S$9:$S$2008,$W21))</f>
        <v/>
      </c>
      <c r="Z21" s="22">
        <f>IF($W21="","",IFERROR(TRIM(LEFT(SUBSTITUTE(INDEX($A$9:$A$2008,$W21),CHAR(10)," "),SEARCH("Folio",SUBSTITUTE(INDEX($A$9:$A$2008,$W21),CHAR(10)," "))-1)),TRIM(SUBSTITUTE(INDEX($A$9:$A$2008,$W21),CHAR(10)," "))))</f>
        <v/>
      </c>
      <c r="AA21" s="22">
        <f>IF($W21="","",IFERROR(TRIM(SUBSTITUTE(MID(SUBSTITUTE(INDEX($A$9:$A$2008,$W21),CHAR(10)," "),SEARCH("Folio",SUBSTITUTE(INDEX($A$9:$A$2008,$W21),CHAR(10)," "))+5,200),":","")),""))</f>
        <v/>
      </c>
      <c r="AB21" s="23">
        <f>IF($W21="","",IF(ISNUMBER(INDEX($D$9:$D$2008,$W21)),INDEX($D$9:$D$2008,$W21),IFERROR(DATE(2000+VALUE(RIGHT(INDEX($D$9:$D$2008,$W21),2)),VALUE(MID(INDEX($D$9:$D$2008,$W21),4,2)),VALUE(LEFT(INDEX($D$9:$D$2008,$W21),2))),"")))</f>
        <v/>
      </c>
      <c r="AC21" s="24">
        <f>IF($W21="","",IFERROR(IF(ISNUMBER(INDEX($E$9:$E$2008,$W21)),INDEX($E$9:$E$2008,$W21),VALUE(SUBSTITUTE(INDEX($E$9:$E$2008,$W21),",",""))),""))</f>
        <v/>
      </c>
      <c r="AD21" s="24">
        <f>IF($W21="","",IFERROR(IF(ISNUMBER(INDEX($F$9:$F$2008,$W21)),INDEX($F$9:$F$2008,$W21),VALUE(SUBSTITUTE(INDEX($F$9:$F$2008,$W21),",",""))),""))</f>
        <v/>
      </c>
      <c r="AE21" s="24">
        <f>IF($W21="","",IFERROR(IF(ISNUMBER(INDEX($G$9:$G$2008,$W21)),INDEX($G$9:$G$2008,$W21),VALUE(SUBSTITUTE(INDEX($G$9:$G$2008,$W21),",",""))),""))</f>
        <v/>
      </c>
      <c r="AF21" s="24">
        <f>IF($W21="","",IFERROR(IF(ISNUMBER(INDEX($H$9:$H$2008,$W21)),INDEX($H$9:$H$2008,$W21),VALUE(SUBSTITUTE(INDEX($H$9:$H$2008,$W21),",",""))),""))</f>
        <v/>
      </c>
      <c r="AG21" s="24">
        <f>IF($W21="","",IFERROR(IF(ISNUMBER(INDEX($I$9:$I$2008,$W21)),INDEX($I$9:$I$2008,$W21),VALUE(SUBSTITUTE(INDEX($I$9:$I$2008,$W21),",",""))),""))</f>
        <v/>
      </c>
      <c r="AH21" s="24">
        <f>IF($W21="","",IFERROR(IF(ISNUMBER(INDEX($J$9:$J$2008,$W21)),INDEX($J$9:$J$2008,$W21),VALUE(SUBSTITUTE(INDEX($J$9:$J$2008,$W21),",",""))),""))</f>
        <v/>
      </c>
      <c r="AI21" s="24">
        <f>IF($W21="","",IFERROR(IF(ISNUMBER(INDEX($K$9:$K$2008,$W21)),INDEX($K$9:$K$2008,$W21),VALUE(SUBSTITUTE(INDEX($K$9:$K$2008,$W21),",",""))),""))</f>
        <v/>
      </c>
      <c r="AJ21" s="25">
        <f>IF($W21="","",IFERROR(IF(ISNUMBER(INDEX($L$9:$L$2008,$W21)),INDEX($L$9:$L$2008,$W21),VALUE(SUBSTITUTE(INDEX($L$9:$L$2008,$W21),",",""))),""))</f>
        <v/>
      </c>
      <c r="AK21" s="25">
        <f>IF($W21="","",IFERROR(IF(ISNUMBER(INDEX($M$9:$M$2008,$W21)),INDEX($M$9:$M$2008,$W21),VALUE(SUBSTITUTE(INDEX($M$9:$M$2008,$W21),",",""))),""))</f>
        <v/>
      </c>
      <c r="AL21" s="26">
        <f>IF($W21="","",IFERROR(IF(ISNUMBER(INDEX($P$9:$P$2008,$W21)),INDEX($P$9:$P$2008,$W21),VALUE(SUBSTITUTE(INDEX($P$9:$P$2008,$W21),"%",""))/100),""))</f>
        <v/>
      </c>
    </row>
    <row r="22">
      <c r="S22">
        <f>IF(AND(ISTEXT($A22),ISNUMBER(SEARCH(" - ",$A22)),ISERROR(SEARCH("Folio",$A22)),$D22=""),TRIM($A22),$S21)</f>
        <v/>
      </c>
      <c r="T22">
        <f>IF(AND(ISNUMBER(SEARCH("Folio",$A22)),$D22&lt;&gt;""),1,"")</f>
        <v/>
      </c>
      <c r="U22">
        <f>IF($T22=1,COUNTIF($T$9:$T22,1),"")</f>
        <v/>
      </c>
      <c r="V22">
        <f>IF(AND(ISTEXT($A22),LEFT($A23,3)="Pan"),1,"")</f>
        <v/>
      </c>
      <c r="W22" s="21">
        <f>IFERROR(MATCH(14,$U$9:$U$2008,0),"")</f>
        <v/>
      </c>
      <c r="X22" s="27">
        <f>IF($W22="","",IF($R$5&lt;&gt;"",$R$5,$R$6))</f>
        <v/>
      </c>
      <c r="Y22" s="27">
        <f>IF($W22="","",INDEX($S$9:$S$2008,$W22))</f>
        <v/>
      </c>
      <c r="Z22" s="27">
        <f>IF($W22="","",IFERROR(TRIM(LEFT(SUBSTITUTE(INDEX($A$9:$A$2008,$W22),CHAR(10)," "),SEARCH("Folio",SUBSTITUTE(INDEX($A$9:$A$2008,$W22),CHAR(10)," "))-1)),TRIM(SUBSTITUTE(INDEX($A$9:$A$2008,$W22),CHAR(10)," "))))</f>
        <v/>
      </c>
      <c r="AA22" s="27">
        <f>IF($W22="","",IFERROR(TRIM(SUBSTITUTE(MID(SUBSTITUTE(INDEX($A$9:$A$2008,$W22),CHAR(10)," "),SEARCH("Folio",SUBSTITUTE(INDEX($A$9:$A$2008,$W22),CHAR(10)," "))+5,200),":","")),""))</f>
        <v/>
      </c>
      <c r="AB22" s="28">
        <f>IF($W22="","",IF(ISNUMBER(INDEX($D$9:$D$2008,$W22)),INDEX($D$9:$D$2008,$W22),IFERROR(DATE(2000+VALUE(RIGHT(INDEX($D$9:$D$2008,$W22),2)),VALUE(MID(INDEX($D$9:$D$2008,$W22),4,2)),VALUE(LEFT(INDEX($D$9:$D$2008,$W22),2))),"")))</f>
        <v/>
      </c>
      <c r="AC22" s="29">
        <f>IF($W22="","",IFERROR(IF(ISNUMBER(INDEX($E$9:$E$2008,$W22)),INDEX($E$9:$E$2008,$W22),VALUE(SUBSTITUTE(INDEX($E$9:$E$2008,$W22),",",""))),""))</f>
        <v/>
      </c>
      <c r="AD22" s="29">
        <f>IF($W22="","",IFERROR(IF(ISNUMBER(INDEX($F$9:$F$2008,$W22)),INDEX($F$9:$F$2008,$W22),VALUE(SUBSTITUTE(INDEX($F$9:$F$2008,$W22),",",""))),""))</f>
        <v/>
      </c>
      <c r="AE22" s="29">
        <f>IF($W22="","",IFERROR(IF(ISNUMBER(INDEX($G$9:$G$2008,$W22)),INDEX($G$9:$G$2008,$W22),VALUE(SUBSTITUTE(INDEX($G$9:$G$2008,$W22),",",""))),""))</f>
        <v/>
      </c>
      <c r="AF22" s="29">
        <f>IF($W22="","",IFERROR(IF(ISNUMBER(INDEX($H$9:$H$2008,$W22)),INDEX($H$9:$H$2008,$W22),VALUE(SUBSTITUTE(INDEX($H$9:$H$2008,$W22),",",""))),""))</f>
        <v/>
      </c>
      <c r="AG22" s="29">
        <f>IF($W22="","",IFERROR(IF(ISNUMBER(INDEX($I$9:$I$2008,$W22)),INDEX($I$9:$I$2008,$W22),VALUE(SUBSTITUTE(INDEX($I$9:$I$2008,$W22),",",""))),""))</f>
        <v/>
      </c>
      <c r="AH22" s="29">
        <f>IF($W22="","",IFERROR(IF(ISNUMBER(INDEX($J$9:$J$2008,$W22)),INDEX($J$9:$J$2008,$W22),VALUE(SUBSTITUTE(INDEX($J$9:$J$2008,$W22),",",""))),""))</f>
        <v/>
      </c>
      <c r="AI22" s="29">
        <f>IF($W22="","",IFERROR(IF(ISNUMBER(INDEX($K$9:$K$2008,$W22)),INDEX($K$9:$K$2008,$W22),VALUE(SUBSTITUTE(INDEX($K$9:$K$2008,$W22),",",""))),""))</f>
        <v/>
      </c>
      <c r="AJ22" s="30">
        <f>IF($W22="","",IFERROR(IF(ISNUMBER(INDEX($L$9:$L$2008,$W22)),INDEX($L$9:$L$2008,$W22),VALUE(SUBSTITUTE(INDEX($L$9:$L$2008,$W22),",",""))),""))</f>
        <v/>
      </c>
      <c r="AK22" s="30">
        <f>IF($W22="","",IFERROR(IF(ISNUMBER(INDEX($M$9:$M$2008,$W22)),INDEX($M$9:$M$2008,$W22),VALUE(SUBSTITUTE(INDEX($M$9:$M$2008,$W22),",",""))),""))</f>
        <v/>
      </c>
      <c r="AL22" s="31">
        <f>IF($W22="","",IFERROR(IF(ISNUMBER(INDEX($P$9:$P$2008,$W22)),INDEX($P$9:$P$2008,$W22),VALUE(SUBSTITUTE(INDEX($P$9:$P$2008,$W22),"%",""))/100),""))</f>
        <v/>
      </c>
    </row>
    <row r="23">
      <c r="S23">
        <f>IF(AND(ISTEXT($A23),ISNUMBER(SEARCH(" - ",$A23)),ISERROR(SEARCH("Folio",$A23)),$D23=""),TRIM($A23),$S22)</f>
        <v/>
      </c>
      <c r="T23">
        <f>IF(AND(ISNUMBER(SEARCH("Folio",$A23)),$D23&lt;&gt;""),1,"")</f>
        <v/>
      </c>
      <c r="U23">
        <f>IF($T23=1,COUNTIF($T$9:$T23,1),"")</f>
        <v/>
      </c>
      <c r="V23">
        <f>IF(AND(ISTEXT($A23),LEFT($A24,3)="Pan"),1,"")</f>
        <v/>
      </c>
      <c r="W23" s="21">
        <f>IFERROR(MATCH(15,$U$9:$U$2008,0),"")</f>
        <v/>
      </c>
      <c r="X23" s="22">
        <f>IF($W23="","",IF($R$5&lt;&gt;"",$R$5,$R$6))</f>
        <v/>
      </c>
      <c r="Y23" s="22">
        <f>IF($W23="","",INDEX($S$9:$S$2008,$W23))</f>
        <v/>
      </c>
      <c r="Z23" s="22">
        <f>IF($W23="","",IFERROR(TRIM(LEFT(SUBSTITUTE(INDEX($A$9:$A$2008,$W23),CHAR(10)," "),SEARCH("Folio",SUBSTITUTE(INDEX($A$9:$A$2008,$W23),CHAR(10)," "))-1)),TRIM(SUBSTITUTE(INDEX($A$9:$A$2008,$W23),CHAR(10)," "))))</f>
        <v/>
      </c>
      <c r="AA23" s="22">
        <f>IF($W23="","",IFERROR(TRIM(SUBSTITUTE(MID(SUBSTITUTE(INDEX($A$9:$A$2008,$W23),CHAR(10)," "),SEARCH("Folio",SUBSTITUTE(INDEX($A$9:$A$2008,$W23),CHAR(10)," "))+5,200),":","")),""))</f>
        <v/>
      </c>
      <c r="AB23" s="23">
        <f>IF($W23="","",IF(ISNUMBER(INDEX($D$9:$D$2008,$W23)),INDEX($D$9:$D$2008,$W23),IFERROR(DATE(2000+VALUE(RIGHT(INDEX($D$9:$D$2008,$W23),2)),VALUE(MID(INDEX($D$9:$D$2008,$W23),4,2)),VALUE(LEFT(INDEX($D$9:$D$2008,$W23),2))),"")))</f>
        <v/>
      </c>
      <c r="AC23" s="24">
        <f>IF($W23="","",IFERROR(IF(ISNUMBER(INDEX($E$9:$E$2008,$W23)),INDEX($E$9:$E$2008,$W23),VALUE(SUBSTITUTE(INDEX($E$9:$E$2008,$W23),",",""))),""))</f>
        <v/>
      </c>
      <c r="AD23" s="24">
        <f>IF($W23="","",IFERROR(IF(ISNUMBER(INDEX($F$9:$F$2008,$W23)),INDEX($F$9:$F$2008,$W23),VALUE(SUBSTITUTE(INDEX($F$9:$F$2008,$W23),",",""))),""))</f>
        <v/>
      </c>
      <c r="AE23" s="24">
        <f>IF($W23="","",IFERROR(IF(ISNUMBER(INDEX($G$9:$G$2008,$W23)),INDEX($G$9:$G$2008,$W23),VALUE(SUBSTITUTE(INDEX($G$9:$G$2008,$W23),",",""))),""))</f>
        <v/>
      </c>
      <c r="AF23" s="24">
        <f>IF($W23="","",IFERROR(IF(ISNUMBER(INDEX($H$9:$H$2008,$W23)),INDEX($H$9:$H$2008,$W23),VALUE(SUBSTITUTE(INDEX($H$9:$H$2008,$W23),",",""))),""))</f>
        <v/>
      </c>
      <c r="AG23" s="24">
        <f>IF($W23="","",IFERROR(IF(ISNUMBER(INDEX($I$9:$I$2008,$W23)),INDEX($I$9:$I$2008,$W23),VALUE(SUBSTITUTE(INDEX($I$9:$I$2008,$W23),",",""))),""))</f>
        <v/>
      </c>
      <c r="AH23" s="24">
        <f>IF($W23="","",IFERROR(IF(ISNUMBER(INDEX($J$9:$J$2008,$W23)),INDEX($J$9:$J$2008,$W23),VALUE(SUBSTITUTE(INDEX($J$9:$J$2008,$W23),",",""))),""))</f>
        <v/>
      </c>
      <c r="AI23" s="24">
        <f>IF($W23="","",IFERROR(IF(ISNUMBER(INDEX($K$9:$K$2008,$W23)),INDEX($K$9:$K$2008,$W23),VALUE(SUBSTITUTE(INDEX($K$9:$K$2008,$W23),",",""))),""))</f>
        <v/>
      </c>
      <c r="AJ23" s="25">
        <f>IF($W23="","",IFERROR(IF(ISNUMBER(INDEX($L$9:$L$2008,$W23)),INDEX($L$9:$L$2008,$W23),VALUE(SUBSTITUTE(INDEX($L$9:$L$2008,$W23),",",""))),""))</f>
        <v/>
      </c>
      <c r="AK23" s="25">
        <f>IF($W23="","",IFERROR(IF(ISNUMBER(INDEX($M$9:$M$2008,$W23)),INDEX($M$9:$M$2008,$W23),VALUE(SUBSTITUTE(INDEX($M$9:$M$2008,$W23),",",""))),""))</f>
        <v/>
      </c>
      <c r="AL23" s="26">
        <f>IF($W23="","",IFERROR(IF(ISNUMBER(INDEX($P$9:$P$2008,$W23)),INDEX($P$9:$P$2008,$W23),VALUE(SUBSTITUTE(INDEX($P$9:$P$2008,$W23),"%",""))/100),""))</f>
        <v/>
      </c>
    </row>
    <row r="24">
      <c r="S24">
        <f>IF(AND(ISTEXT($A24),ISNUMBER(SEARCH(" - ",$A24)),ISERROR(SEARCH("Folio",$A24)),$D24=""),TRIM($A24),$S23)</f>
        <v/>
      </c>
      <c r="T24">
        <f>IF(AND(ISNUMBER(SEARCH("Folio",$A24)),$D24&lt;&gt;""),1,"")</f>
        <v/>
      </c>
      <c r="U24">
        <f>IF($T24=1,COUNTIF($T$9:$T24,1),"")</f>
        <v/>
      </c>
      <c r="V24">
        <f>IF(AND(ISTEXT($A24),LEFT($A25,3)="Pan"),1,"")</f>
        <v/>
      </c>
      <c r="W24" s="21">
        <f>IFERROR(MATCH(16,$U$9:$U$2008,0),"")</f>
        <v/>
      </c>
      <c r="X24" s="27">
        <f>IF($W24="","",IF($R$5&lt;&gt;"",$R$5,$R$6))</f>
        <v/>
      </c>
      <c r="Y24" s="27">
        <f>IF($W24="","",INDEX($S$9:$S$2008,$W24))</f>
        <v/>
      </c>
      <c r="Z24" s="27">
        <f>IF($W24="","",IFERROR(TRIM(LEFT(SUBSTITUTE(INDEX($A$9:$A$2008,$W24),CHAR(10)," "),SEARCH("Folio",SUBSTITUTE(INDEX($A$9:$A$2008,$W24),CHAR(10)," "))-1)),TRIM(SUBSTITUTE(INDEX($A$9:$A$2008,$W24),CHAR(10)," "))))</f>
        <v/>
      </c>
      <c r="AA24" s="27">
        <f>IF($W24="","",IFERROR(TRIM(SUBSTITUTE(MID(SUBSTITUTE(INDEX($A$9:$A$2008,$W24),CHAR(10)," "),SEARCH("Folio",SUBSTITUTE(INDEX($A$9:$A$2008,$W24),CHAR(10)," "))+5,200),":","")),""))</f>
        <v/>
      </c>
      <c r="AB24" s="28">
        <f>IF($W24="","",IF(ISNUMBER(INDEX($D$9:$D$2008,$W24)),INDEX($D$9:$D$2008,$W24),IFERROR(DATE(2000+VALUE(RIGHT(INDEX($D$9:$D$2008,$W24),2)),VALUE(MID(INDEX($D$9:$D$2008,$W24),4,2)),VALUE(LEFT(INDEX($D$9:$D$2008,$W24),2))),"")))</f>
        <v/>
      </c>
      <c r="AC24" s="29">
        <f>IF($W24="","",IFERROR(IF(ISNUMBER(INDEX($E$9:$E$2008,$W24)),INDEX($E$9:$E$2008,$W24),VALUE(SUBSTITUTE(INDEX($E$9:$E$2008,$W24),",",""))),""))</f>
        <v/>
      </c>
      <c r="AD24" s="29">
        <f>IF($W24="","",IFERROR(IF(ISNUMBER(INDEX($F$9:$F$2008,$W24)),INDEX($F$9:$F$2008,$W24),VALUE(SUBSTITUTE(INDEX($F$9:$F$2008,$W24),",",""))),""))</f>
        <v/>
      </c>
      <c r="AE24" s="29">
        <f>IF($W24="","",IFERROR(IF(ISNUMBER(INDEX($G$9:$G$2008,$W24)),INDEX($G$9:$G$2008,$W24),VALUE(SUBSTITUTE(INDEX($G$9:$G$2008,$W24),",",""))),""))</f>
        <v/>
      </c>
      <c r="AF24" s="29">
        <f>IF($W24="","",IFERROR(IF(ISNUMBER(INDEX($H$9:$H$2008,$W24)),INDEX($H$9:$H$2008,$W24),VALUE(SUBSTITUTE(INDEX($H$9:$H$2008,$W24),",",""))),""))</f>
        <v/>
      </c>
      <c r="AG24" s="29">
        <f>IF($W24="","",IFERROR(IF(ISNUMBER(INDEX($I$9:$I$2008,$W24)),INDEX($I$9:$I$2008,$W24),VALUE(SUBSTITUTE(INDEX($I$9:$I$2008,$W24),",",""))),""))</f>
        <v/>
      </c>
      <c r="AH24" s="29">
        <f>IF($W24="","",IFERROR(IF(ISNUMBER(INDEX($J$9:$J$2008,$W24)),INDEX($J$9:$J$2008,$W24),VALUE(SUBSTITUTE(INDEX($J$9:$J$2008,$W24),",",""))),""))</f>
        <v/>
      </c>
      <c r="AI24" s="29">
        <f>IF($W24="","",IFERROR(IF(ISNUMBER(INDEX($K$9:$K$2008,$W24)),INDEX($K$9:$K$2008,$W24),VALUE(SUBSTITUTE(INDEX($K$9:$K$2008,$W24),",",""))),""))</f>
        <v/>
      </c>
      <c r="AJ24" s="30">
        <f>IF($W24="","",IFERROR(IF(ISNUMBER(INDEX($L$9:$L$2008,$W24)),INDEX($L$9:$L$2008,$W24),VALUE(SUBSTITUTE(INDEX($L$9:$L$2008,$W24),",",""))),""))</f>
        <v/>
      </c>
      <c r="AK24" s="30">
        <f>IF($W24="","",IFERROR(IF(ISNUMBER(INDEX($M$9:$M$2008,$W24)),INDEX($M$9:$M$2008,$W24),VALUE(SUBSTITUTE(INDEX($M$9:$M$2008,$W24),",",""))),""))</f>
        <v/>
      </c>
      <c r="AL24" s="31">
        <f>IF($W24="","",IFERROR(IF(ISNUMBER(INDEX($P$9:$P$2008,$W24)),INDEX($P$9:$P$2008,$W24),VALUE(SUBSTITUTE(INDEX($P$9:$P$2008,$W24),"%",""))/100),""))</f>
        <v/>
      </c>
    </row>
    <row r="25">
      <c r="S25">
        <f>IF(AND(ISTEXT($A25),ISNUMBER(SEARCH(" - ",$A25)),ISERROR(SEARCH("Folio",$A25)),$D25=""),TRIM($A25),$S24)</f>
        <v/>
      </c>
      <c r="T25">
        <f>IF(AND(ISNUMBER(SEARCH("Folio",$A25)),$D25&lt;&gt;""),1,"")</f>
        <v/>
      </c>
      <c r="U25">
        <f>IF($T25=1,COUNTIF($T$9:$T25,1),"")</f>
        <v/>
      </c>
      <c r="V25">
        <f>IF(AND(ISTEXT($A25),LEFT($A26,3)="Pan"),1,"")</f>
        <v/>
      </c>
      <c r="W25" s="21">
        <f>IFERROR(MATCH(17,$U$9:$U$2008,0),"")</f>
        <v/>
      </c>
      <c r="X25" s="22">
        <f>IF($W25="","",IF($R$5&lt;&gt;"",$R$5,$R$6))</f>
        <v/>
      </c>
      <c r="Y25" s="22">
        <f>IF($W25="","",INDEX($S$9:$S$2008,$W25))</f>
        <v/>
      </c>
      <c r="Z25" s="22">
        <f>IF($W25="","",IFERROR(TRIM(LEFT(SUBSTITUTE(INDEX($A$9:$A$2008,$W25),CHAR(10)," "),SEARCH("Folio",SUBSTITUTE(INDEX($A$9:$A$2008,$W25),CHAR(10)," "))-1)),TRIM(SUBSTITUTE(INDEX($A$9:$A$2008,$W25),CHAR(10)," "))))</f>
        <v/>
      </c>
      <c r="AA25" s="22">
        <f>IF($W25="","",IFERROR(TRIM(SUBSTITUTE(MID(SUBSTITUTE(INDEX($A$9:$A$2008,$W25),CHAR(10)," "),SEARCH("Folio",SUBSTITUTE(INDEX($A$9:$A$2008,$W25),CHAR(10)," "))+5,200),":","")),""))</f>
        <v/>
      </c>
      <c r="AB25" s="23">
        <f>IF($W25="","",IF(ISNUMBER(INDEX($D$9:$D$2008,$W25)),INDEX($D$9:$D$2008,$W25),IFERROR(DATE(2000+VALUE(RIGHT(INDEX($D$9:$D$2008,$W25),2)),VALUE(MID(INDEX($D$9:$D$2008,$W25),4,2)),VALUE(LEFT(INDEX($D$9:$D$2008,$W25),2))),"")))</f>
        <v/>
      </c>
      <c r="AC25" s="24">
        <f>IF($W25="","",IFERROR(IF(ISNUMBER(INDEX($E$9:$E$2008,$W25)),INDEX($E$9:$E$2008,$W25),VALUE(SUBSTITUTE(INDEX($E$9:$E$2008,$W25),",",""))),""))</f>
        <v/>
      </c>
      <c r="AD25" s="24">
        <f>IF($W25="","",IFERROR(IF(ISNUMBER(INDEX($F$9:$F$2008,$W25)),INDEX($F$9:$F$2008,$W25),VALUE(SUBSTITUTE(INDEX($F$9:$F$2008,$W25),",",""))),""))</f>
        <v/>
      </c>
      <c r="AE25" s="24">
        <f>IF($W25="","",IFERROR(IF(ISNUMBER(INDEX($G$9:$G$2008,$W25)),INDEX($G$9:$G$2008,$W25),VALUE(SUBSTITUTE(INDEX($G$9:$G$2008,$W25),",",""))),""))</f>
        <v/>
      </c>
      <c r="AF25" s="24">
        <f>IF($W25="","",IFERROR(IF(ISNUMBER(INDEX($H$9:$H$2008,$W25)),INDEX($H$9:$H$2008,$W25),VALUE(SUBSTITUTE(INDEX($H$9:$H$2008,$W25),",",""))),""))</f>
        <v/>
      </c>
      <c r="AG25" s="24">
        <f>IF($W25="","",IFERROR(IF(ISNUMBER(INDEX($I$9:$I$2008,$W25)),INDEX($I$9:$I$2008,$W25),VALUE(SUBSTITUTE(INDEX($I$9:$I$2008,$W25),",",""))),""))</f>
        <v/>
      </c>
      <c r="AH25" s="24">
        <f>IF($W25="","",IFERROR(IF(ISNUMBER(INDEX($J$9:$J$2008,$W25)),INDEX($J$9:$J$2008,$W25),VALUE(SUBSTITUTE(INDEX($J$9:$J$2008,$W25),",",""))),""))</f>
        <v/>
      </c>
      <c r="AI25" s="24">
        <f>IF($W25="","",IFERROR(IF(ISNUMBER(INDEX($K$9:$K$2008,$W25)),INDEX($K$9:$K$2008,$W25),VALUE(SUBSTITUTE(INDEX($K$9:$K$2008,$W25),",",""))),""))</f>
        <v/>
      </c>
      <c r="AJ25" s="25">
        <f>IF($W25="","",IFERROR(IF(ISNUMBER(INDEX($L$9:$L$2008,$W25)),INDEX($L$9:$L$2008,$W25),VALUE(SUBSTITUTE(INDEX($L$9:$L$2008,$W25),",",""))),""))</f>
        <v/>
      </c>
      <c r="AK25" s="25">
        <f>IF($W25="","",IFERROR(IF(ISNUMBER(INDEX($M$9:$M$2008,$W25)),INDEX($M$9:$M$2008,$W25),VALUE(SUBSTITUTE(INDEX($M$9:$M$2008,$W25),",",""))),""))</f>
        <v/>
      </c>
      <c r="AL25" s="26">
        <f>IF($W25="","",IFERROR(IF(ISNUMBER(INDEX($P$9:$P$2008,$W25)),INDEX($P$9:$P$2008,$W25),VALUE(SUBSTITUTE(INDEX($P$9:$P$2008,$W25),"%",""))/100),""))</f>
        <v/>
      </c>
    </row>
    <row r="26">
      <c r="S26">
        <f>IF(AND(ISTEXT($A26),ISNUMBER(SEARCH(" - ",$A26)),ISERROR(SEARCH("Folio",$A26)),$D26=""),TRIM($A26),$S25)</f>
        <v/>
      </c>
      <c r="T26">
        <f>IF(AND(ISNUMBER(SEARCH("Folio",$A26)),$D26&lt;&gt;""),1,"")</f>
        <v/>
      </c>
      <c r="U26">
        <f>IF($T26=1,COUNTIF($T$9:$T26,1),"")</f>
        <v/>
      </c>
      <c r="V26">
        <f>IF(AND(ISTEXT($A26),LEFT($A27,3)="Pan"),1,"")</f>
        <v/>
      </c>
      <c r="W26" s="21">
        <f>IFERROR(MATCH(18,$U$9:$U$2008,0),"")</f>
        <v/>
      </c>
      <c r="X26" s="27">
        <f>IF($W26="","",IF($R$5&lt;&gt;"",$R$5,$R$6))</f>
        <v/>
      </c>
      <c r="Y26" s="27">
        <f>IF($W26="","",INDEX($S$9:$S$2008,$W26))</f>
        <v/>
      </c>
      <c r="Z26" s="27">
        <f>IF($W26="","",IFERROR(TRIM(LEFT(SUBSTITUTE(INDEX($A$9:$A$2008,$W26),CHAR(10)," "),SEARCH("Folio",SUBSTITUTE(INDEX($A$9:$A$2008,$W26),CHAR(10)," "))-1)),TRIM(SUBSTITUTE(INDEX($A$9:$A$2008,$W26),CHAR(10)," "))))</f>
        <v/>
      </c>
      <c r="AA26" s="27">
        <f>IF($W26="","",IFERROR(TRIM(SUBSTITUTE(MID(SUBSTITUTE(INDEX($A$9:$A$2008,$W26),CHAR(10)," "),SEARCH("Folio",SUBSTITUTE(INDEX($A$9:$A$2008,$W26),CHAR(10)," "))+5,200),":","")),""))</f>
        <v/>
      </c>
      <c r="AB26" s="28">
        <f>IF($W26="","",IF(ISNUMBER(INDEX($D$9:$D$2008,$W26)),INDEX($D$9:$D$2008,$W26),IFERROR(DATE(2000+VALUE(RIGHT(INDEX($D$9:$D$2008,$W26),2)),VALUE(MID(INDEX($D$9:$D$2008,$W26),4,2)),VALUE(LEFT(INDEX($D$9:$D$2008,$W26),2))),"")))</f>
        <v/>
      </c>
      <c r="AC26" s="29">
        <f>IF($W26="","",IFERROR(IF(ISNUMBER(INDEX($E$9:$E$2008,$W26)),INDEX($E$9:$E$2008,$W26),VALUE(SUBSTITUTE(INDEX($E$9:$E$2008,$W26),",",""))),""))</f>
        <v/>
      </c>
      <c r="AD26" s="29">
        <f>IF($W26="","",IFERROR(IF(ISNUMBER(INDEX($F$9:$F$2008,$W26)),INDEX($F$9:$F$2008,$W26),VALUE(SUBSTITUTE(INDEX($F$9:$F$2008,$W26),",",""))),""))</f>
        <v/>
      </c>
      <c r="AE26" s="29">
        <f>IF($W26="","",IFERROR(IF(ISNUMBER(INDEX($G$9:$G$2008,$W26)),INDEX($G$9:$G$2008,$W26),VALUE(SUBSTITUTE(INDEX($G$9:$G$2008,$W26),",",""))),""))</f>
        <v/>
      </c>
      <c r="AF26" s="29">
        <f>IF($W26="","",IFERROR(IF(ISNUMBER(INDEX($H$9:$H$2008,$W26)),INDEX($H$9:$H$2008,$W26),VALUE(SUBSTITUTE(INDEX($H$9:$H$2008,$W26),",",""))),""))</f>
        <v/>
      </c>
      <c r="AG26" s="29">
        <f>IF($W26="","",IFERROR(IF(ISNUMBER(INDEX($I$9:$I$2008,$W26)),INDEX($I$9:$I$2008,$W26),VALUE(SUBSTITUTE(INDEX($I$9:$I$2008,$W26),",",""))),""))</f>
        <v/>
      </c>
      <c r="AH26" s="29">
        <f>IF($W26="","",IFERROR(IF(ISNUMBER(INDEX($J$9:$J$2008,$W26)),INDEX($J$9:$J$2008,$W26),VALUE(SUBSTITUTE(INDEX($J$9:$J$2008,$W26),",",""))),""))</f>
        <v/>
      </c>
      <c r="AI26" s="29">
        <f>IF($W26="","",IFERROR(IF(ISNUMBER(INDEX($K$9:$K$2008,$W26)),INDEX($K$9:$K$2008,$W26),VALUE(SUBSTITUTE(INDEX($K$9:$K$2008,$W26),",",""))),""))</f>
        <v/>
      </c>
      <c r="AJ26" s="30">
        <f>IF($W26="","",IFERROR(IF(ISNUMBER(INDEX($L$9:$L$2008,$W26)),INDEX($L$9:$L$2008,$W26),VALUE(SUBSTITUTE(INDEX($L$9:$L$2008,$W26),",",""))),""))</f>
        <v/>
      </c>
      <c r="AK26" s="30">
        <f>IF($W26="","",IFERROR(IF(ISNUMBER(INDEX($M$9:$M$2008,$W26)),INDEX($M$9:$M$2008,$W26),VALUE(SUBSTITUTE(INDEX($M$9:$M$2008,$W26),",",""))),""))</f>
        <v/>
      </c>
      <c r="AL26" s="31">
        <f>IF($W26="","",IFERROR(IF(ISNUMBER(INDEX($P$9:$P$2008,$W26)),INDEX($P$9:$P$2008,$W26),VALUE(SUBSTITUTE(INDEX($P$9:$P$2008,$W26),"%",""))/100),""))</f>
        <v/>
      </c>
    </row>
    <row r="27">
      <c r="S27">
        <f>IF(AND(ISTEXT($A27),ISNUMBER(SEARCH(" - ",$A27)),ISERROR(SEARCH("Folio",$A27)),$D27=""),TRIM($A27),$S26)</f>
        <v/>
      </c>
      <c r="T27">
        <f>IF(AND(ISNUMBER(SEARCH("Folio",$A27)),$D27&lt;&gt;""),1,"")</f>
        <v/>
      </c>
      <c r="U27">
        <f>IF($T27=1,COUNTIF($T$9:$T27,1),"")</f>
        <v/>
      </c>
      <c r="V27">
        <f>IF(AND(ISTEXT($A27),LEFT($A28,3)="Pan"),1,"")</f>
        <v/>
      </c>
      <c r="W27" s="21">
        <f>IFERROR(MATCH(19,$U$9:$U$2008,0),"")</f>
        <v/>
      </c>
      <c r="X27" s="22">
        <f>IF($W27="","",IF($R$5&lt;&gt;"",$R$5,$R$6))</f>
        <v/>
      </c>
      <c r="Y27" s="22">
        <f>IF($W27="","",INDEX($S$9:$S$2008,$W27))</f>
        <v/>
      </c>
      <c r="Z27" s="22">
        <f>IF($W27="","",IFERROR(TRIM(LEFT(SUBSTITUTE(INDEX($A$9:$A$2008,$W27),CHAR(10)," "),SEARCH("Folio",SUBSTITUTE(INDEX($A$9:$A$2008,$W27),CHAR(10)," "))-1)),TRIM(SUBSTITUTE(INDEX($A$9:$A$2008,$W27),CHAR(10)," "))))</f>
        <v/>
      </c>
      <c r="AA27" s="22">
        <f>IF($W27="","",IFERROR(TRIM(SUBSTITUTE(MID(SUBSTITUTE(INDEX($A$9:$A$2008,$W27),CHAR(10)," "),SEARCH("Folio",SUBSTITUTE(INDEX($A$9:$A$2008,$W27),CHAR(10)," "))+5,200),":","")),""))</f>
        <v/>
      </c>
      <c r="AB27" s="23">
        <f>IF($W27="","",IF(ISNUMBER(INDEX($D$9:$D$2008,$W27)),INDEX($D$9:$D$2008,$W27),IFERROR(DATE(2000+VALUE(RIGHT(INDEX($D$9:$D$2008,$W27),2)),VALUE(MID(INDEX($D$9:$D$2008,$W27),4,2)),VALUE(LEFT(INDEX($D$9:$D$2008,$W27),2))),"")))</f>
        <v/>
      </c>
      <c r="AC27" s="24">
        <f>IF($W27="","",IFERROR(IF(ISNUMBER(INDEX($E$9:$E$2008,$W27)),INDEX($E$9:$E$2008,$W27),VALUE(SUBSTITUTE(INDEX($E$9:$E$2008,$W27),",",""))),""))</f>
        <v/>
      </c>
      <c r="AD27" s="24">
        <f>IF($W27="","",IFERROR(IF(ISNUMBER(INDEX($F$9:$F$2008,$W27)),INDEX($F$9:$F$2008,$W27),VALUE(SUBSTITUTE(INDEX($F$9:$F$2008,$W27),",",""))),""))</f>
        <v/>
      </c>
      <c r="AE27" s="24">
        <f>IF($W27="","",IFERROR(IF(ISNUMBER(INDEX($G$9:$G$2008,$W27)),INDEX($G$9:$G$2008,$W27),VALUE(SUBSTITUTE(INDEX($G$9:$G$2008,$W27),",",""))),""))</f>
        <v/>
      </c>
      <c r="AF27" s="24">
        <f>IF($W27="","",IFERROR(IF(ISNUMBER(INDEX($H$9:$H$2008,$W27)),INDEX($H$9:$H$2008,$W27),VALUE(SUBSTITUTE(INDEX($H$9:$H$2008,$W27),",",""))),""))</f>
        <v/>
      </c>
      <c r="AG27" s="24">
        <f>IF($W27="","",IFERROR(IF(ISNUMBER(INDEX($I$9:$I$2008,$W27)),INDEX($I$9:$I$2008,$W27),VALUE(SUBSTITUTE(INDEX($I$9:$I$2008,$W27),",",""))),""))</f>
        <v/>
      </c>
      <c r="AH27" s="24">
        <f>IF($W27="","",IFERROR(IF(ISNUMBER(INDEX($J$9:$J$2008,$W27)),INDEX($J$9:$J$2008,$W27),VALUE(SUBSTITUTE(INDEX($J$9:$J$2008,$W27),",",""))),""))</f>
        <v/>
      </c>
      <c r="AI27" s="24">
        <f>IF($W27="","",IFERROR(IF(ISNUMBER(INDEX($K$9:$K$2008,$W27)),INDEX($K$9:$K$2008,$W27),VALUE(SUBSTITUTE(INDEX($K$9:$K$2008,$W27),",",""))),""))</f>
        <v/>
      </c>
      <c r="AJ27" s="25">
        <f>IF($W27="","",IFERROR(IF(ISNUMBER(INDEX($L$9:$L$2008,$W27)),INDEX($L$9:$L$2008,$W27),VALUE(SUBSTITUTE(INDEX($L$9:$L$2008,$W27),",",""))),""))</f>
        <v/>
      </c>
      <c r="AK27" s="25">
        <f>IF($W27="","",IFERROR(IF(ISNUMBER(INDEX($M$9:$M$2008,$W27)),INDEX($M$9:$M$2008,$W27),VALUE(SUBSTITUTE(INDEX($M$9:$M$2008,$W27),",",""))),""))</f>
        <v/>
      </c>
      <c r="AL27" s="26">
        <f>IF($W27="","",IFERROR(IF(ISNUMBER(INDEX($P$9:$P$2008,$W27)),INDEX($P$9:$P$2008,$W27),VALUE(SUBSTITUTE(INDEX($P$9:$P$2008,$W27),"%",""))/100),""))</f>
        <v/>
      </c>
    </row>
    <row r="28">
      <c r="S28">
        <f>IF(AND(ISTEXT($A28),ISNUMBER(SEARCH(" - ",$A28)),ISERROR(SEARCH("Folio",$A28)),$D28=""),TRIM($A28),$S27)</f>
        <v/>
      </c>
      <c r="T28">
        <f>IF(AND(ISNUMBER(SEARCH("Folio",$A28)),$D28&lt;&gt;""),1,"")</f>
        <v/>
      </c>
      <c r="U28">
        <f>IF($T28=1,COUNTIF($T$9:$T28,1),"")</f>
        <v/>
      </c>
      <c r="V28">
        <f>IF(AND(ISTEXT($A28),LEFT($A29,3)="Pan"),1,"")</f>
        <v/>
      </c>
      <c r="W28" s="21">
        <f>IFERROR(MATCH(20,$U$9:$U$2008,0),"")</f>
        <v/>
      </c>
      <c r="X28" s="27">
        <f>IF($W28="","",IF($R$5&lt;&gt;"",$R$5,$R$6))</f>
        <v/>
      </c>
      <c r="Y28" s="27">
        <f>IF($W28="","",INDEX($S$9:$S$2008,$W28))</f>
        <v/>
      </c>
      <c r="Z28" s="27">
        <f>IF($W28="","",IFERROR(TRIM(LEFT(SUBSTITUTE(INDEX($A$9:$A$2008,$W28),CHAR(10)," "),SEARCH("Folio",SUBSTITUTE(INDEX($A$9:$A$2008,$W28),CHAR(10)," "))-1)),TRIM(SUBSTITUTE(INDEX($A$9:$A$2008,$W28),CHAR(10)," "))))</f>
        <v/>
      </c>
      <c r="AA28" s="27">
        <f>IF($W28="","",IFERROR(TRIM(SUBSTITUTE(MID(SUBSTITUTE(INDEX($A$9:$A$2008,$W28),CHAR(10)," "),SEARCH("Folio",SUBSTITUTE(INDEX($A$9:$A$2008,$W28),CHAR(10)," "))+5,200),":","")),""))</f>
        <v/>
      </c>
      <c r="AB28" s="28">
        <f>IF($W28="","",IF(ISNUMBER(INDEX($D$9:$D$2008,$W28)),INDEX($D$9:$D$2008,$W28),IFERROR(DATE(2000+VALUE(RIGHT(INDEX($D$9:$D$2008,$W28),2)),VALUE(MID(INDEX($D$9:$D$2008,$W28),4,2)),VALUE(LEFT(INDEX($D$9:$D$2008,$W28),2))),"")))</f>
        <v/>
      </c>
      <c r="AC28" s="29">
        <f>IF($W28="","",IFERROR(IF(ISNUMBER(INDEX($E$9:$E$2008,$W28)),INDEX($E$9:$E$2008,$W28),VALUE(SUBSTITUTE(INDEX($E$9:$E$2008,$W28),",",""))),""))</f>
        <v/>
      </c>
      <c r="AD28" s="29">
        <f>IF($W28="","",IFERROR(IF(ISNUMBER(INDEX($F$9:$F$2008,$W28)),INDEX($F$9:$F$2008,$W28),VALUE(SUBSTITUTE(INDEX($F$9:$F$2008,$W28),",",""))),""))</f>
        <v/>
      </c>
      <c r="AE28" s="29">
        <f>IF($W28="","",IFERROR(IF(ISNUMBER(INDEX($G$9:$G$2008,$W28)),INDEX($G$9:$G$2008,$W28),VALUE(SUBSTITUTE(INDEX($G$9:$G$2008,$W28),",",""))),""))</f>
        <v/>
      </c>
      <c r="AF28" s="29">
        <f>IF($W28="","",IFERROR(IF(ISNUMBER(INDEX($H$9:$H$2008,$W28)),INDEX($H$9:$H$2008,$W28),VALUE(SUBSTITUTE(INDEX($H$9:$H$2008,$W28),",",""))),""))</f>
        <v/>
      </c>
      <c r="AG28" s="29">
        <f>IF($W28="","",IFERROR(IF(ISNUMBER(INDEX($I$9:$I$2008,$W28)),INDEX($I$9:$I$2008,$W28),VALUE(SUBSTITUTE(INDEX($I$9:$I$2008,$W28),",",""))),""))</f>
        <v/>
      </c>
      <c r="AH28" s="29">
        <f>IF($W28="","",IFERROR(IF(ISNUMBER(INDEX($J$9:$J$2008,$W28)),INDEX($J$9:$J$2008,$W28),VALUE(SUBSTITUTE(INDEX($J$9:$J$2008,$W28),",",""))),""))</f>
        <v/>
      </c>
      <c r="AI28" s="29">
        <f>IF($W28="","",IFERROR(IF(ISNUMBER(INDEX($K$9:$K$2008,$W28)),INDEX($K$9:$K$2008,$W28),VALUE(SUBSTITUTE(INDEX($K$9:$K$2008,$W28),",",""))),""))</f>
        <v/>
      </c>
      <c r="AJ28" s="30">
        <f>IF($W28="","",IFERROR(IF(ISNUMBER(INDEX($L$9:$L$2008,$W28)),INDEX($L$9:$L$2008,$W28),VALUE(SUBSTITUTE(INDEX($L$9:$L$2008,$W28),",",""))),""))</f>
        <v/>
      </c>
      <c r="AK28" s="30">
        <f>IF($W28="","",IFERROR(IF(ISNUMBER(INDEX($M$9:$M$2008,$W28)),INDEX($M$9:$M$2008,$W28),VALUE(SUBSTITUTE(INDEX($M$9:$M$2008,$W28),",",""))),""))</f>
        <v/>
      </c>
      <c r="AL28" s="31">
        <f>IF($W28="","",IFERROR(IF(ISNUMBER(INDEX($P$9:$P$2008,$W28)),INDEX($P$9:$P$2008,$W28),VALUE(SUBSTITUTE(INDEX($P$9:$P$2008,$W28),"%",""))/100),""))</f>
        <v/>
      </c>
    </row>
    <row r="29">
      <c r="S29">
        <f>IF(AND(ISTEXT($A29),ISNUMBER(SEARCH(" - ",$A29)),ISERROR(SEARCH("Folio",$A29)),$D29=""),TRIM($A29),$S28)</f>
        <v/>
      </c>
      <c r="T29">
        <f>IF(AND(ISNUMBER(SEARCH("Folio",$A29)),$D29&lt;&gt;""),1,"")</f>
        <v/>
      </c>
      <c r="U29">
        <f>IF($T29=1,COUNTIF($T$9:$T29,1),"")</f>
        <v/>
      </c>
      <c r="V29">
        <f>IF(AND(ISTEXT($A29),LEFT($A30,3)="Pan"),1,"")</f>
        <v/>
      </c>
      <c r="W29" s="21">
        <f>IFERROR(MATCH(21,$U$9:$U$2008,0),"")</f>
        <v/>
      </c>
      <c r="X29" s="22">
        <f>IF($W29="","",IF($R$5&lt;&gt;"",$R$5,$R$6))</f>
        <v/>
      </c>
      <c r="Y29" s="22">
        <f>IF($W29="","",INDEX($S$9:$S$2008,$W29))</f>
        <v/>
      </c>
      <c r="Z29" s="22">
        <f>IF($W29="","",IFERROR(TRIM(LEFT(SUBSTITUTE(INDEX($A$9:$A$2008,$W29),CHAR(10)," "),SEARCH("Folio",SUBSTITUTE(INDEX($A$9:$A$2008,$W29),CHAR(10)," "))-1)),TRIM(SUBSTITUTE(INDEX($A$9:$A$2008,$W29),CHAR(10)," "))))</f>
        <v/>
      </c>
      <c r="AA29" s="22">
        <f>IF($W29="","",IFERROR(TRIM(SUBSTITUTE(MID(SUBSTITUTE(INDEX($A$9:$A$2008,$W29),CHAR(10)," "),SEARCH("Folio",SUBSTITUTE(INDEX($A$9:$A$2008,$W29),CHAR(10)," "))+5,200),":","")),""))</f>
        <v/>
      </c>
      <c r="AB29" s="23">
        <f>IF($W29="","",IF(ISNUMBER(INDEX($D$9:$D$2008,$W29)),INDEX($D$9:$D$2008,$W29),IFERROR(DATE(2000+VALUE(RIGHT(INDEX($D$9:$D$2008,$W29),2)),VALUE(MID(INDEX($D$9:$D$2008,$W29),4,2)),VALUE(LEFT(INDEX($D$9:$D$2008,$W29),2))),"")))</f>
        <v/>
      </c>
      <c r="AC29" s="24">
        <f>IF($W29="","",IFERROR(IF(ISNUMBER(INDEX($E$9:$E$2008,$W29)),INDEX($E$9:$E$2008,$W29),VALUE(SUBSTITUTE(INDEX($E$9:$E$2008,$W29),",",""))),""))</f>
        <v/>
      </c>
      <c r="AD29" s="24">
        <f>IF($W29="","",IFERROR(IF(ISNUMBER(INDEX($F$9:$F$2008,$W29)),INDEX($F$9:$F$2008,$W29),VALUE(SUBSTITUTE(INDEX($F$9:$F$2008,$W29),",",""))),""))</f>
        <v/>
      </c>
      <c r="AE29" s="24">
        <f>IF($W29="","",IFERROR(IF(ISNUMBER(INDEX($G$9:$G$2008,$W29)),INDEX($G$9:$G$2008,$W29),VALUE(SUBSTITUTE(INDEX($G$9:$G$2008,$W29),",",""))),""))</f>
        <v/>
      </c>
      <c r="AF29" s="24">
        <f>IF($W29="","",IFERROR(IF(ISNUMBER(INDEX($H$9:$H$2008,$W29)),INDEX($H$9:$H$2008,$W29),VALUE(SUBSTITUTE(INDEX($H$9:$H$2008,$W29),",",""))),""))</f>
        <v/>
      </c>
      <c r="AG29" s="24">
        <f>IF($W29="","",IFERROR(IF(ISNUMBER(INDEX($I$9:$I$2008,$W29)),INDEX($I$9:$I$2008,$W29),VALUE(SUBSTITUTE(INDEX($I$9:$I$2008,$W29),",",""))),""))</f>
        <v/>
      </c>
      <c r="AH29" s="24">
        <f>IF($W29="","",IFERROR(IF(ISNUMBER(INDEX($J$9:$J$2008,$W29)),INDEX($J$9:$J$2008,$W29),VALUE(SUBSTITUTE(INDEX($J$9:$J$2008,$W29),",",""))),""))</f>
        <v/>
      </c>
      <c r="AI29" s="24">
        <f>IF($W29="","",IFERROR(IF(ISNUMBER(INDEX($K$9:$K$2008,$W29)),INDEX($K$9:$K$2008,$W29),VALUE(SUBSTITUTE(INDEX($K$9:$K$2008,$W29),",",""))),""))</f>
        <v/>
      </c>
      <c r="AJ29" s="25">
        <f>IF($W29="","",IFERROR(IF(ISNUMBER(INDEX($L$9:$L$2008,$W29)),INDEX($L$9:$L$2008,$W29),VALUE(SUBSTITUTE(INDEX($L$9:$L$2008,$W29),",",""))),""))</f>
        <v/>
      </c>
      <c r="AK29" s="25">
        <f>IF($W29="","",IFERROR(IF(ISNUMBER(INDEX($M$9:$M$2008,$W29)),INDEX($M$9:$M$2008,$W29),VALUE(SUBSTITUTE(INDEX($M$9:$M$2008,$W29),",",""))),""))</f>
        <v/>
      </c>
      <c r="AL29" s="26">
        <f>IF($W29="","",IFERROR(IF(ISNUMBER(INDEX($P$9:$P$2008,$W29)),INDEX($P$9:$P$2008,$W29),VALUE(SUBSTITUTE(INDEX($P$9:$P$2008,$W29),"%",""))/100),""))</f>
        <v/>
      </c>
    </row>
    <row r="30">
      <c r="S30">
        <f>IF(AND(ISTEXT($A30),ISNUMBER(SEARCH(" - ",$A30)),ISERROR(SEARCH("Folio",$A30)),$D30=""),TRIM($A30),$S29)</f>
        <v/>
      </c>
      <c r="T30">
        <f>IF(AND(ISNUMBER(SEARCH("Folio",$A30)),$D30&lt;&gt;""),1,"")</f>
        <v/>
      </c>
      <c r="U30">
        <f>IF($T30=1,COUNTIF($T$9:$T30,1),"")</f>
        <v/>
      </c>
      <c r="V30">
        <f>IF(AND(ISTEXT($A30),LEFT($A31,3)="Pan"),1,"")</f>
        <v/>
      </c>
      <c r="W30" s="21">
        <f>IFERROR(MATCH(22,$U$9:$U$2008,0),"")</f>
        <v/>
      </c>
      <c r="X30" s="27">
        <f>IF($W30="","",IF($R$5&lt;&gt;"",$R$5,$R$6))</f>
        <v/>
      </c>
      <c r="Y30" s="27">
        <f>IF($W30="","",INDEX($S$9:$S$2008,$W30))</f>
        <v/>
      </c>
      <c r="Z30" s="27">
        <f>IF($W30="","",IFERROR(TRIM(LEFT(SUBSTITUTE(INDEX($A$9:$A$2008,$W30),CHAR(10)," "),SEARCH("Folio",SUBSTITUTE(INDEX($A$9:$A$2008,$W30),CHAR(10)," "))-1)),TRIM(SUBSTITUTE(INDEX($A$9:$A$2008,$W30),CHAR(10)," "))))</f>
        <v/>
      </c>
      <c r="AA30" s="27">
        <f>IF($W30="","",IFERROR(TRIM(SUBSTITUTE(MID(SUBSTITUTE(INDEX($A$9:$A$2008,$W30),CHAR(10)," "),SEARCH("Folio",SUBSTITUTE(INDEX($A$9:$A$2008,$W30),CHAR(10)," "))+5,200),":","")),""))</f>
        <v/>
      </c>
      <c r="AB30" s="28">
        <f>IF($W30="","",IF(ISNUMBER(INDEX($D$9:$D$2008,$W30)),INDEX($D$9:$D$2008,$W30),IFERROR(DATE(2000+VALUE(RIGHT(INDEX($D$9:$D$2008,$W30),2)),VALUE(MID(INDEX($D$9:$D$2008,$W30),4,2)),VALUE(LEFT(INDEX($D$9:$D$2008,$W30),2))),"")))</f>
        <v/>
      </c>
      <c r="AC30" s="29">
        <f>IF($W30="","",IFERROR(IF(ISNUMBER(INDEX($E$9:$E$2008,$W30)),INDEX($E$9:$E$2008,$W30),VALUE(SUBSTITUTE(INDEX($E$9:$E$2008,$W30),",",""))),""))</f>
        <v/>
      </c>
      <c r="AD30" s="29">
        <f>IF($W30="","",IFERROR(IF(ISNUMBER(INDEX($F$9:$F$2008,$W30)),INDEX($F$9:$F$2008,$W30),VALUE(SUBSTITUTE(INDEX($F$9:$F$2008,$W30),",",""))),""))</f>
        <v/>
      </c>
      <c r="AE30" s="29">
        <f>IF($W30="","",IFERROR(IF(ISNUMBER(INDEX($G$9:$G$2008,$W30)),INDEX($G$9:$G$2008,$W30),VALUE(SUBSTITUTE(INDEX($G$9:$G$2008,$W30),",",""))),""))</f>
        <v/>
      </c>
      <c r="AF30" s="29">
        <f>IF($W30="","",IFERROR(IF(ISNUMBER(INDEX($H$9:$H$2008,$W30)),INDEX($H$9:$H$2008,$W30),VALUE(SUBSTITUTE(INDEX($H$9:$H$2008,$W30),",",""))),""))</f>
        <v/>
      </c>
      <c r="AG30" s="29">
        <f>IF($W30="","",IFERROR(IF(ISNUMBER(INDEX($I$9:$I$2008,$W30)),INDEX($I$9:$I$2008,$W30),VALUE(SUBSTITUTE(INDEX($I$9:$I$2008,$W30),",",""))),""))</f>
        <v/>
      </c>
      <c r="AH30" s="29">
        <f>IF($W30="","",IFERROR(IF(ISNUMBER(INDEX($J$9:$J$2008,$W30)),INDEX($J$9:$J$2008,$W30),VALUE(SUBSTITUTE(INDEX($J$9:$J$2008,$W30),",",""))),""))</f>
        <v/>
      </c>
      <c r="AI30" s="29">
        <f>IF($W30="","",IFERROR(IF(ISNUMBER(INDEX($K$9:$K$2008,$W30)),INDEX($K$9:$K$2008,$W30),VALUE(SUBSTITUTE(INDEX($K$9:$K$2008,$W30),",",""))),""))</f>
        <v/>
      </c>
      <c r="AJ30" s="30">
        <f>IF($W30="","",IFERROR(IF(ISNUMBER(INDEX($L$9:$L$2008,$W30)),INDEX($L$9:$L$2008,$W30),VALUE(SUBSTITUTE(INDEX($L$9:$L$2008,$W30),",",""))),""))</f>
        <v/>
      </c>
      <c r="AK30" s="30">
        <f>IF($W30="","",IFERROR(IF(ISNUMBER(INDEX($M$9:$M$2008,$W30)),INDEX($M$9:$M$2008,$W30),VALUE(SUBSTITUTE(INDEX($M$9:$M$2008,$W30),",",""))),""))</f>
        <v/>
      </c>
      <c r="AL30" s="31">
        <f>IF($W30="","",IFERROR(IF(ISNUMBER(INDEX($P$9:$P$2008,$W30)),INDEX($P$9:$P$2008,$W30),VALUE(SUBSTITUTE(INDEX($P$9:$P$2008,$W30),"%",""))/100),""))</f>
        <v/>
      </c>
    </row>
    <row r="31">
      <c r="S31">
        <f>IF(AND(ISTEXT($A31),ISNUMBER(SEARCH(" - ",$A31)),ISERROR(SEARCH("Folio",$A31)),$D31=""),TRIM($A31),$S30)</f>
        <v/>
      </c>
      <c r="T31">
        <f>IF(AND(ISNUMBER(SEARCH("Folio",$A31)),$D31&lt;&gt;""),1,"")</f>
        <v/>
      </c>
      <c r="U31">
        <f>IF($T31=1,COUNTIF($T$9:$T31,1),"")</f>
        <v/>
      </c>
      <c r="V31">
        <f>IF(AND(ISTEXT($A31),LEFT($A32,3)="Pan"),1,"")</f>
        <v/>
      </c>
      <c r="W31" s="21">
        <f>IFERROR(MATCH(23,$U$9:$U$2008,0),"")</f>
        <v/>
      </c>
      <c r="X31" s="22">
        <f>IF($W31="","",IF($R$5&lt;&gt;"",$R$5,$R$6))</f>
        <v/>
      </c>
      <c r="Y31" s="22">
        <f>IF($W31="","",INDEX($S$9:$S$2008,$W31))</f>
        <v/>
      </c>
      <c r="Z31" s="22">
        <f>IF($W31="","",IFERROR(TRIM(LEFT(SUBSTITUTE(INDEX($A$9:$A$2008,$W31),CHAR(10)," "),SEARCH("Folio",SUBSTITUTE(INDEX($A$9:$A$2008,$W31),CHAR(10)," "))-1)),TRIM(SUBSTITUTE(INDEX($A$9:$A$2008,$W31),CHAR(10)," "))))</f>
        <v/>
      </c>
      <c r="AA31" s="22">
        <f>IF($W31="","",IFERROR(TRIM(SUBSTITUTE(MID(SUBSTITUTE(INDEX($A$9:$A$2008,$W31),CHAR(10)," "),SEARCH("Folio",SUBSTITUTE(INDEX($A$9:$A$2008,$W31),CHAR(10)," "))+5,200),":","")),""))</f>
        <v/>
      </c>
      <c r="AB31" s="23">
        <f>IF($W31="","",IF(ISNUMBER(INDEX($D$9:$D$2008,$W31)),INDEX($D$9:$D$2008,$W31),IFERROR(DATE(2000+VALUE(RIGHT(INDEX($D$9:$D$2008,$W31),2)),VALUE(MID(INDEX($D$9:$D$2008,$W31),4,2)),VALUE(LEFT(INDEX($D$9:$D$2008,$W31),2))),"")))</f>
        <v/>
      </c>
      <c r="AC31" s="24">
        <f>IF($W31="","",IFERROR(IF(ISNUMBER(INDEX($E$9:$E$2008,$W31)),INDEX($E$9:$E$2008,$W31),VALUE(SUBSTITUTE(INDEX($E$9:$E$2008,$W31),",",""))),""))</f>
        <v/>
      </c>
      <c r="AD31" s="24">
        <f>IF($W31="","",IFERROR(IF(ISNUMBER(INDEX($F$9:$F$2008,$W31)),INDEX($F$9:$F$2008,$W31),VALUE(SUBSTITUTE(INDEX($F$9:$F$2008,$W31),",",""))),""))</f>
        <v/>
      </c>
      <c r="AE31" s="24">
        <f>IF($W31="","",IFERROR(IF(ISNUMBER(INDEX($G$9:$G$2008,$W31)),INDEX($G$9:$G$2008,$W31),VALUE(SUBSTITUTE(INDEX($G$9:$G$2008,$W31),",",""))),""))</f>
        <v/>
      </c>
      <c r="AF31" s="24">
        <f>IF($W31="","",IFERROR(IF(ISNUMBER(INDEX($H$9:$H$2008,$W31)),INDEX($H$9:$H$2008,$W31),VALUE(SUBSTITUTE(INDEX($H$9:$H$2008,$W31),",",""))),""))</f>
        <v/>
      </c>
      <c r="AG31" s="24">
        <f>IF($W31="","",IFERROR(IF(ISNUMBER(INDEX($I$9:$I$2008,$W31)),INDEX($I$9:$I$2008,$W31),VALUE(SUBSTITUTE(INDEX($I$9:$I$2008,$W31),",",""))),""))</f>
        <v/>
      </c>
      <c r="AH31" s="24">
        <f>IF($W31="","",IFERROR(IF(ISNUMBER(INDEX($J$9:$J$2008,$W31)),INDEX($J$9:$J$2008,$W31),VALUE(SUBSTITUTE(INDEX($J$9:$J$2008,$W31),",",""))),""))</f>
        <v/>
      </c>
      <c r="AI31" s="24">
        <f>IF($W31="","",IFERROR(IF(ISNUMBER(INDEX($K$9:$K$2008,$W31)),INDEX($K$9:$K$2008,$W31),VALUE(SUBSTITUTE(INDEX($K$9:$K$2008,$W31),",",""))),""))</f>
        <v/>
      </c>
      <c r="AJ31" s="25">
        <f>IF($W31="","",IFERROR(IF(ISNUMBER(INDEX($L$9:$L$2008,$W31)),INDEX($L$9:$L$2008,$W31),VALUE(SUBSTITUTE(INDEX($L$9:$L$2008,$W31),",",""))),""))</f>
        <v/>
      </c>
      <c r="AK31" s="25">
        <f>IF($W31="","",IFERROR(IF(ISNUMBER(INDEX($M$9:$M$2008,$W31)),INDEX($M$9:$M$2008,$W31),VALUE(SUBSTITUTE(INDEX($M$9:$M$2008,$W31),",",""))),""))</f>
        <v/>
      </c>
      <c r="AL31" s="26">
        <f>IF($W31="","",IFERROR(IF(ISNUMBER(INDEX($P$9:$P$2008,$W31)),INDEX($P$9:$P$2008,$W31),VALUE(SUBSTITUTE(INDEX($P$9:$P$2008,$W31),"%",""))/100),""))</f>
        <v/>
      </c>
    </row>
    <row r="32">
      <c r="S32">
        <f>IF(AND(ISTEXT($A32),ISNUMBER(SEARCH(" - ",$A32)),ISERROR(SEARCH("Folio",$A32)),$D32=""),TRIM($A32),$S31)</f>
        <v/>
      </c>
      <c r="T32">
        <f>IF(AND(ISNUMBER(SEARCH("Folio",$A32)),$D32&lt;&gt;""),1,"")</f>
        <v/>
      </c>
      <c r="U32">
        <f>IF($T32=1,COUNTIF($T$9:$T32,1),"")</f>
        <v/>
      </c>
      <c r="V32">
        <f>IF(AND(ISTEXT($A32),LEFT($A33,3)="Pan"),1,"")</f>
        <v/>
      </c>
      <c r="W32" s="21">
        <f>IFERROR(MATCH(24,$U$9:$U$2008,0),"")</f>
        <v/>
      </c>
      <c r="X32" s="27">
        <f>IF($W32="","",IF($R$5&lt;&gt;"",$R$5,$R$6))</f>
        <v/>
      </c>
      <c r="Y32" s="27">
        <f>IF($W32="","",INDEX($S$9:$S$2008,$W32))</f>
        <v/>
      </c>
      <c r="Z32" s="27">
        <f>IF($W32="","",IFERROR(TRIM(LEFT(SUBSTITUTE(INDEX($A$9:$A$2008,$W32),CHAR(10)," "),SEARCH("Folio",SUBSTITUTE(INDEX($A$9:$A$2008,$W32),CHAR(10)," "))-1)),TRIM(SUBSTITUTE(INDEX($A$9:$A$2008,$W32),CHAR(10)," "))))</f>
        <v/>
      </c>
      <c r="AA32" s="27">
        <f>IF($W32="","",IFERROR(TRIM(SUBSTITUTE(MID(SUBSTITUTE(INDEX($A$9:$A$2008,$W32),CHAR(10)," "),SEARCH("Folio",SUBSTITUTE(INDEX($A$9:$A$2008,$W32),CHAR(10)," "))+5,200),":","")),""))</f>
        <v/>
      </c>
      <c r="AB32" s="28">
        <f>IF($W32="","",IF(ISNUMBER(INDEX($D$9:$D$2008,$W32)),INDEX($D$9:$D$2008,$W32),IFERROR(DATE(2000+VALUE(RIGHT(INDEX($D$9:$D$2008,$W32),2)),VALUE(MID(INDEX($D$9:$D$2008,$W32),4,2)),VALUE(LEFT(INDEX($D$9:$D$2008,$W32),2))),"")))</f>
        <v/>
      </c>
      <c r="AC32" s="29">
        <f>IF($W32="","",IFERROR(IF(ISNUMBER(INDEX($E$9:$E$2008,$W32)),INDEX($E$9:$E$2008,$W32),VALUE(SUBSTITUTE(INDEX($E$9:$E$2008,$W32),",",""))),""))</f>
        <v/>
      </c>
      <c r="AD32" s="29">
        <f>IF($W32="","",IFERROR(IF(ISNUMBER(INDEX($F$9:$F$2008,$W32)),INDEX($F$9:$F$2008,$W32),VALUE(SUBSTITUTE(INDEX($F$9:$F$2008,$W32),",",""))),""))</f>
        <v/>
      </c>
      <c r="AE32" s="29">
        <f>IF($W32="","",IFERROR(IF(ISNUMBER(INDEX($G$9:$G$2008,$W32)),INDEX($G$9:$G$2008,$W32),VALUE(SUBSTITUTE(INDEX($G$9:$G$2008,$W32),",",""))),""))</f>
        <v/>
      </c>
      <c r="AF32" s="29">
        <f>IF($W32="","",IFERROR(IF(ISNUMBER(INDEX($H$9:$H$2008,$W32)),INDEX($H$9:$H$2008,$W32),VALUE(SUBSTITUTE(INDEX($H$9:$H$2008,$W32),",",""))),""))</f>
        <v/>
      </c>
      <c r="AG32" s="29">
        <f>IF($W32="","",IFERROR(IF(ISNUMBER(INDEX($I$9:$I$2008,$W32)),INDEX($I$9:$I$2008,$W32),VALUE(SUBSTITUTE(INDEX($I$9:$I$2008,$W32),",",""))),""))</f>
        <v/>
      </c>
      <c r="AH32" s="29">
        <f>IF($W32="","",IFERROR(IF(ISNUMBER(INDEX($J$9:$J$2008,$W32)),INDEX($J$9:$J$2008,$W32),VALUE(SUBSTITUTE(INDEX($J$9:$J$2008,$W32),",",""))),""))</f>
        <v/>
      </c>
      <c r="AI32" s="29">
        <f>IF($W32="","",IFERROR(IF(ISNUMBER(INDEX($K$9:$K$2008,$W32)),INDEX($K$9:$K$2008,$W32),VALUE(SUBSTITUTE(INDEX($K$9:$K$2008,$W32),",",""))),""))</f>
        <v/>
      </c>
      <c r="AJ32" s="30">
        <f>IF($W32="","",IFERROR(IF(ISNUMBER(INDEX($L$9:$L$2008,$W32)),INDEX($L$9:$L$2008,$W32),VALUE(SUBSTITUTE(INDEX($L$9:$L$2008,$W32),",",""))),""))</f>
        <v/>
      </c>
      <c r="AK32" s="30">
        <f>IF($W32="","",IFERROR(IF(ISNUMBER(INDEX($M$9:$M$2008,$W32)),INDEX($M$9:$M$2008,$W32),VALUE(SUBSTITUTE(INDEX($M$9:$M$2008,$W32),",",""))),""))</f>
        <v/>
      </c>
      <c r="AL32" s="31">
        <f>IF($W32="","",IFERROR(IF(ISNUMBER(INDEX($P$9:$P$2008,$W32)),INDEX($P$9:$P$2008,$W32),VALUE(SUBSTITUTE(INDEX($P$9:$P$2008,$W32),"%",""))/100),""))</f>
        <v/>
      </c>
    </row>
    <row r="33">
      <c r="S33">
        <f>IF(AND(ISTEXT($A33),ISNUMBER(SEARCH(" - ",$A33)),ISERROR(SEARCH("Folio",$A33)),$D33=""),TRIM($A33),$S32)</f>
        <v/>
      </c>
      <c r="T33">
        <f>IF(AND(ISNUMBER(SEARCH("Folio",$A33)),$D33&lt;&gt;""),1,"")</f>
        <v/>
      </c>
      <c r="U33">
        <f>IF($T33=1,COUNTIF($T$9:$T33,1),"")</f>
        <v/>
      </c>
      <c r="V33">
        <f>IF(AND(ISTEXT($A33),LEFT($A34,3)="Pan"),1,"")</f>
        <v/>
      </c>
      <c r="W33" s="21">
        <f>IFERROR(MATCH(25,$U$9:$U$2008,0),"")</f>
        <v/>
      </c>
      <c r="X33" s="22">
        <f>IF($W33="","",IF($R$5&lt;&gt;"",$R$5,$R$6))</f>
        <v/>
      </c>
      <c r="Y33" s="22">
        <f>IF($W33="","",INDEX($S$9:$S$2008,$W33))</f>
        <v/>
      </c>
      <c r="Z33" s="22">
        <f>IF($W33="","",IFERROR(TRIM(LEFT(SUBSTITUTE(INDEX($A$9:$A$2008,$W33),CHAR(10)," "),SEARCH("Folio",SUBSTITUTE(INDEX($A$9:$A$2008,$W33),CHAR(10)," "))-1)),TRIM(SUBSTITUTE(INDEX($A$9:$A$2008,$W33),CHAR(10)," "))))</f>
        <v/>
      </c>
      <c r="AA33" s="22">
        <f>IF($W33="","",IFERROR(TRIM(SUBSTITUTE(MID(SUBSTITUTE(INDEX($A$9:$A$2008,$W33),CHAR(10)," "),SEARCH("Folio",SUBSTITUTE(INDEX($A$9:$A$2008,$W33),CHAR(10)," "))+5,200),":","")),""))</f>
        <v/>
      </c>
      <c r="AB33" s="23">
        <f>IF($W33="","",IF(ISNUMBER(INDEX($D$9:$D$2008,$W33)),INDEX($D$9:$D$2008,$W33),IFERROR(DATE(2000+VALUE(RIGHT(INDEX($D$9:$D$2008,$W33),2)),VALUE(MID(INDEX($D$9:$D$2008,$W33),4,2)),VALUE(LEFT(INDEX($D$9:$D$2008,$W33),2))),"")))</f>
        <v/>
      </c>
      <c r="AC33" s="24">
        <f>IF($W33="","",IFERROR(IF(ISNUMBER(INDEX($E$9:$E$2008,$W33)),INDEX($E$9:$E$2008,$W33),VALUE(SUBSTITUTE(INDEX($E$9:$E$2008,$W33),",",""))),""))</f>
        <v/>
      </c>
      <c r="AD33" s="24">
        <f>IF($W33="","",IFERROR(IF(ISNUMBER(INDEX($F$9:$F$2008,$W33)),INDEX($F$9:$F$2008,$W33),VALUE(SUBSTITUTE(INDEX($F$9:$F$2008,$W33),",",""))),""))</f>
        <v/>
      </c>
      <c r="AE33" s="24">
        <f>IF($W33="","",IFERROR(IF(ISNUMBER(INDEX($G$9:$G$2008,$W33)),INDEX($G$9:$G$2008,$W33),VALUE(SUBSTITUTE(INDEX($G$9:$G$2008,$W33),",",""))),""))</f>
        <v/>
      </c>
      <c r="AF33" s="24">
        <f>IF($W33="","",IFERROR(IF(ISNUMBER(INDEX($H$9:$H$2008,$W33)),INDEX($H$9:$H$2008,$W33),VALUE(SUBSTITUTE(INDEX($H$9:$H$2008,$W33),",",""))),""))</f>
        <v/>
      </c>
      <c r="AG33" s="24">
        <f>IF($W33="","",IFERROR(IF(ISNUMBER(INDEX($I$9:$I$2008,$W33)),INDEX($I$9:$I$2008,$W33),VALUE(SUBSTITUTE(INDEX($I$9:$I$2008,$W33),",",""))),""))</f>
        <v/>
      </c>
      <c r="AH33" s="24">
        <f>IF($W33="","",IFERROR(IF(ISNUMBER(INDEX($J$9:$J$2008,$W33)),INDEX($J$9:$J$2008,$W33),VALUE(SUBSTITUTE(INDEX($J$9:$J$2008,$W33),",",""))),""))</f>
        <v/>
      </c>
      <c r="AI33" s="24">
        <f>IF($W33="","",IFERROR(IF(ISNUMBER(INDEX($K$9:$K$2008,$W33)),INDEX($K$9:$K$2008,$W33),VALUE(SUBSTITUTE(INDEX($K$9:$K$2008,$W33),",",""))),""))</f>
        <v/>
      </c>
      <c r="AJ33" s="25">
        <f>IF($W33="","",IFERROR(IF(ISNUMBER(INDEX($L$9:$L$2008,$W33)),INDEX($L$9:$L$2008,$W33),VALUE(SUBSTITUTE(INDEX($L$9:$L$2008,$W33),",",""))),""))</f>
        <v/>
      </c>
      <c r="AK33" s="25">
        <f>IF($W33="","",IFERROR(IF(ISNUMBER(INDEX($M$9:$M$2008,$W33)),INDEX($M$9:$M$2008,$W33),VALUE(SUBSTITUTE(INDEX($M$9:$M$2008,$W33),",",""))),""))</f>
        <v/>
      </c>
      <c r="AL33" s="26">
        <f>IF($W33="","",IFERROR(IF(ISNUMBER(INDEX($P$9:$P$2008,$W33)),INDEX($P$9:$P$2008,$W33),VALUE(SUBSTITUTE(INDEX($P$9:$P$2008,$W33),"%",""))/100),""))</f>
        <v/>
      </c>
    </row>
    <row r="34">
      <c r="S34">
        <f>IF(AND(ISTEXT($A34),ISNUMBER(SEARCH(" - ",$A34)),ISERROR(SEARCH("Folio",$A34)),$D34=""),TRIM($A34),$S33)</f>
        <v/>
      </c>
      <c r="T34">
        <f>IF(AND(ISNUMBER(SEARCH("Folio",$A34)),$D34&lt;&gt;""),1,"")</f>
        <v/>
      </c>
      <c r="U34">
        <f>IF($T34=1,COUNTIF($T$9:$T34,1),"")</f>
        <v/>
      </c>
      <c r="V34">
        <f>IF(AND(ISTEXT($A34),LEFT($A35,3)="Pan"),1,"")</f>
        <v/>
      </c>
      <c r="W34" s="21">
        <f>IFERROR(MATCH(26,$U$9:$U$2008,0),"")</f>
        <v/>
      </c>
      <c r="X34" s="27">
        <f>IF($W34="","",IF($R$5&lt;&gt;"",$R$5,$R$6))</f>
        <v/>
      </c>
      <c r="Y34" s="27">
        <f>IF($W34="","",INDEX($S$9:$S$2008,$W34))</f>
        <v/>
      </c>
      <c r="Z34" s="27">
        <f>IF($W34="","",IFERROR(TRIM(LEFT(SUBSTITUTE(INDEX($A$9:$A$2008,$W34),CHAR(10)," "),SEARCH("Folio",SUBSTITUTE(INDEX($A$9:$A$2008,$W34),CHAR(10)," "))-1)),TRIM(SUBSTITUTE(INDEX($A$9:$A$2008,$W34),CHAR(10)," "))))</f>
        <v/>
      </c>
      <c r="AA34" s="27">
        <f>IF($W34="","",IFERROR(TRIM(SUBSTITUTE(MID(SUBSTITUTE(INDEX($A$9:$A$2008,$W34),CHAR(10)," "),SEARCH("Folio",SUBSTITUTE(INDEX($A$9:$A$2008,$W34),CHAR(10)," "))+5,200),":","")),""))</f>
        <v/>
      </c>
      <c r="AB34" s="28">
        <f>IF($W34="","",IF(ISNUMBER(INDEX($D$9:$D$2008,$W34)),INDEX($D$9:$D$2008,$W34),IFERROR(DATE(2000+VALUE(RIGHT(INDEX($D$9:$D$2008,$W34),2)),VALUE(MID(INDEX($D$9:$D$2008,$W34),4,2)),VALUE(LEFT(INDEX($D$9:$D$2008,$W34),2))),"")))</f>
        <v/>
      </c>
      <c r="AC34" s="29">
        <f>IF($W34="","",IFERROR(IF(ISNUMBER(INDEX($E$9:$E$2008,$W34)),INDEX($E$9:$E$2008,$W34),VALUE(SUBSTITUTE(INDEX($E$9:$E$2008,$W34),",",""))),""))</f>
        <v/>
      </c>
      <c r="AD34" s="29">
        <f>IF($W34="","",IFERROR(IF(ISNUMBER(INDEX($F$9:$F$2008,$W34)),INDEX($F$9:$F$2008,$W34),VALUE(SUBSTITUTE(INDEX($F$9:$F$2008,$W34),",",""))),""))</f>
        <v/>
      </c>
      <c r="AE34" s="29">
        <f>IF($W34="","",IFERROR(IF(ISNUMBER(INDEX($G$9:$G$2008,$W34)),INDEX($G$9:$G$2008,$W34),VALUE(SUBSTITUTE(INDEX($G$9:$G$2008,$W34),",",""))),""))</f>
        <v/>
      </c>
      <c r="AF34" s="29">
        <f>IF($W34="","",IFERROR(IF(ISNUMBER(INDEX($H$9:$H$2008,$W34)),INDEX($H$9:$H$2008,$W34),VALUE(SUBSTITUTE(INDEX($H$9:$H$2008,$W34),",",""))),""))</f>
        <v/>
      </c>
      <c r="AG34" s="29">
        <f>IF($W34="","",IFERROR(IF(ISNUMBER(INDEX($I$9:$I$2008,$W34)),INDEX($I$9:$I$2008,$W34),VALUE(SUBSTITUTE(INDEX($I$9:$I$2008,$W34),",",""))),""))</f>
        <v/>
      </c>
      <c r="AH34" s="29">
        <f>IF($W34="","",IFERROR(IF(ISNUMBER(INDEX($J$9:$J$2008,$W34)),INDEX($J$9:$J$2008,$W34),VALUE(SUBSTITUTE(INDEX($J$9:$J$2008,$W34),",",""))),""))</f>
        <v/>
      </c>
      <c r="AI34" s="29">
        <f>IF($W34="","",IFERROR(IF(ISNUMBER(INDEX($K$9:$K$2008,$W34)),INDEX($K$9:$K$2008,$W34),VALUE(SUBSTITUTE(INDEX($K$9:$K$2008,$W34),",",""))),""))</f>
        <v/>
      </c>
      <c r="AJ34" s="30">
        <f>IF($W34="","",IFERROR(IF(ISNUMBER(INDEX($L$9:$L$2008,$W34)),INDEX($L$9:$L$2008,$W34),VALUE(SUBSTITUTE(INDEX($L$9:$L$2008,$W34),",",""))),""))</f>
        <v/>
      </c>
      <c r="AK34" s="30">
        <f>IF($W34="","",IFERROR(IF(ISNUMBER(INDEX($M$9:$M$2008,$W34)),INDEX($M$9:$M$2008,$W34),VALUE(SUBSTITUTE(INDEX($M$9:$M$2008,$W34),",",""))),""))</f>
        <v/>
      </c>
      <c r="AL34" s="31">
        <f>IF($W34="","",IFERROR(IF(ISNUMBER(INDEX($P$9:$P$2008,$W34)),INDEX($P$9:$P$2008,$W34),VALUE(SUBSTITUTE(INDEX($P$9:$P$2008,$W34),"%",""))/100),""))</f>
        <v/>
      </c>
    </row>
    <row r="35">
      <c r="S35">
        <f>IF(AND(ISTEXT($A35),ISNUMBER(SEARCH(" - ",$A35)),ISERROR(SEARCH("Folio",$A35)),$D35=""),TRIM($A35),$S34)</f>
        <v/>
      </c>
      <c r="T35">
        <f>IF(AND(ISNUMBER(SEARCH("Folio",$A35)),$D35&lt;&gt;""),1,"")</f>
        <v/>
      </c>
      <c r="U35">
        <f>IF($T35=1,COUNTIF($T$9:$T35,1),"")</f>
        <v/>
      </c>
      <c r="V35">
        <f>IF(AND(ISTEXT($A35),LEFT($A36,3)="Pan"),1,"")</f>
        <v/>
      </c>
      <c r="W35" s="21">
        <f>IFERROR(MATCH(27,$U$9:$U$2008,0),"")</f>
        <v/>
      </c>
      <c r="X35" s="22">
        <f>IF($W35="","",IF($R$5&lt;&gt;"",$R$5,$R$6))</f>
        <v/>
      </c>
      <c r="Y35" s="22">
        <f>IF($W35="","",INDEX($S$9:$S$2008,$W35))</f>
        <v/>
      </c>
      <c r="Z35" s="22">
        <f>IF($W35="","",IFERROR(TRIM(LEFT(SUBSTITUTE(INDEX($A$9:$A$2008,$W35),CHAR(10)," "),SEARCH("Folio",SUBSTITUTE(INDEX($A$9:$A$2008,$W35),CHAR(10)," "))-1)),TRIM(SUBSTITUTE(INDEX($A$9:$A$2008,$W35),CHAR(10)," "))))</f>
        <v/>
      </c>
      <c r="AA35" s="22">
        <f>IF($W35="","",IFERROR(TRIM(SUBSTITUTE(MID(SUBSTITUTE(INDEX($A$9:$A$2008,$W35),CHAR(10)," "),SEARCH("Folio",SUBSTITUTE(INDEX($A$9:$A$2008,$W35),CHAR(10)," "))+5,200),":","")),""))</f>
        <v/>
      </c>
      <c r="AB35" s="23">
        <f>IF($W35="","",IF(ISNUMBER(INDEX($D$9:$D$2008,$W35)),INDEX($D$9:$D$2008,$W35),IFERROR(DATE(2000+VALUE(RIGHT(INDEX($D$9:$D$2008,$W35),2)),VALUE(MID(INDEX($D$9:$D$2008,$W35),4,2)),VALUE(LEFT(INDEX($D$9:$D$2008,$W35),2))),"")))</f>
        <v/>
      </c>
      <c r="AC35" s="24">
        <f>IF($W35="","",IFERROR(IF(ISNUMBER(INDEX($E$9:$E$2008,$W35)),INDEX($E$9:$E$2008,$W35),VALUE(SUBSTITUTE(INDEX($E$9:$E$2008,$W35),",",""))),""))</f>
        <v/>
      </c>
      <c r="AD35" s="24">
        <f>IF($W35="","",IFERROR(IF(ISNUMBER(INDEX($F$9:$F$2008,$W35)),INDEX($F$9:$F$2008,$W35),VALUE(SUBSTITUTE(INDEX($F$9:$F$2008,$W35),",",""))),""))</f>
        <v/>
      </c>
      <c r="AE35" s="24">
        <f>IF($W35="","",IFERROR(IF(ISNUMBER(INDEX($G$9:$G$2008,$W35)),INDEX($G$9:$G$2008,$W35),VALUE(SUBSTITUTE(INDEX($G$9:$G$2008,$W35),",",""))),""))</f>
        <v/>
      </c>
      <c r="AF35" s="24">
        <f>IF($W35="","",IFERROR(IF(ISNUMBER(INDEX($H$9:$H$2008,$W35)),INDEX($H$9:$H$2008,$W35),VALUE(SUBSTITUTE(INDEX($H$9:$H$2008,$W35),",",""))),""))</f>
        <v/>
      </c>
      <c r="AG35" s="24">
        <f>IF($W35="","",IFERROR(IF(ISNUMBER(INDEX($I$9:$I$2008,$W35)),INDEX($I$9:$I$2008,$W35),VALUE(SUBSTITUTE(INDEX($I$9:$I$2008,$W35),",",""))),""))</f>
        <v/>
      </c>
      <c r="AH35" s="24">
        <f>IF($W35="","",IFERROR(IF(ISNUMBER(INDEX($J$9:$J$2008,$W35)),INDEX($J$9:$J$2008,$W35),VALUE(SUBSTITUTE(INDEX($J$9:$J$2008,$W35),",",""))),""))</f>
        <v/>
      </c>
      <c r="AI35" s="24">
        <f>IF($W35="","",IFERROR(IF(ISNUMBER(INDEX($K$9:$K$2008,$W35)),INDEX($K$9:$K$2008,$W35),VALUE(SUBSTITUTE(INDEX($K$9:$K$2008,$W35),",",""))),""))</f>
        <v/>
      </c>
      <c r="AJ35" s="25">
        <f>IF($W35="","",IFERROR(IF(ISNUMBER(INDEX($L$9:$L$2008,$W35)),INDEX($L$9:$L$2008,$W35),VALUE(SUBSTITUTE(INDEX($L$9:$L$2008,$W35),",",""))),""))</f>
        <v/>
      </c>
      <c r="AK35" s="25">
        <f>IF($W35="","",IFERROR(IF(ISNUMBER(INDEX($M$9:$M$2008,$W35)),INDEX($M$9:$M$2008,$W35),VALUE(SUBSTITUTE(INDEX($M$9:$M$2008,$W35),",",""))),""))</f>
        <v/>
      </c>
      <c r="AL35" s="26">
        <f>IF($W35="","",IFERROR(IF(ISNUMBER(INDEX($P$9:$P$2008,$W35)),INDEX($P$9:$P$2008,$W35),VALUE(SUBSTITUTE(INDEX($P$9:$P$2008,$W35),"%",""))/100),""))</f>
        <v/>
      </c>
    </row>
    <row r="36">
      <c r="S36">
        <f>IF(AND(ISTEXT($A36),ISNUMBER(SEARCH(" - ",$A36)),ISERROR(SEARCH("Folio",$A36)),$D36=""),TRIM($A36),$S35)</f>
        <v/>
      </c>
      <c r="T36">
        <f>IF(AND(ISNUMBER(SEARCH("Folio",$A36)),$D36&lt;&gt;""),1,"")</f>
        <v/>
      </c>
      <c r="U36">
        <f>IF($T36=1,COUNTIF($T$9:$T36,1),"")</f>
        <v/>
      </c>
      <c r="V36">
        <f>IF(AND(ISTEXT($A36),LEFT($A37,3)="Pan"),1,"")</f>
        <v/>
      </c>
      <c r="W36" s="21">
        <f>IFERROR(MATCH(28,$U$9:$U$2008,0),"")</f>
        <v/>
      </c>
      <c r="X36" s="27">
        <f>IF($W36="","",IF($R$5&lt;&gt;"",$R$5,$R$6))</f>
        <v/>
      </c>
      <c r="Y36" s="27">
        <f>IF($W36="","",INDEX($S$9:$S$2008,$W36))</f>
        <v/>
      </c>
      <c r="Z36" s="27">
        <f>IF($W36="","",IFERROR(TRIM(LEFT(SUBSTITUTE(INDEX($A$9:$A$2008,$W36),CHAR(10)," "),SEARCH("Folio",SUBSTITUTE(INDEX($A$9:$A$2008,$W36),CHAR(10)," "))-1)),TRIM(SUBSTITUTE(INDEX($A$9:$A$2008,$W36),CHAR(10)," "))))</f>
        <v/>
      </c>
      <c r="AA36" s="27">
        <f>IF($W36="","",IFERROR(TRIM(SUBSTITUTE(MID(SUBSTITUTE(INDEX($A$9:$A$2008,$W36),CHAR(10)," "),SEARCH("Folio",SUBSTITUTE(INDEX($A$9:$A$2008,$W36),CHAR(10)," "))+5,200),":","")),""))</f>
        <v/>
      </c>
      <c r="AB36" s="28">
        <f>IF($W36="","",IF(ISNUMBER(INDEX($D$9:$D$2008,$W36)),INDEX($D$9:$D$2008,$W36),IFERROR(DATE(2000+VALUE(RIGHT(INDEX($D$9:$D$2008,$W36),2)),VALUE(MID(INDEX($D$9:$D$2008,$W36),4,2)),VALUE(LEFT(INDEX($D$9:$D$2008,$W36),2))),"")))</f>
        <v/>
      </c>
      <c r="AC36" s="29">
        <f>IF($W36="","",IFERROR(IF(ISNUMBER(INDEX($E$9:$E$2008,$W36)),INDEX($E$9:$E$2008,$W36),VALUE(SUBSTITUTE(INDEX($E$9:$E$2008,$W36),",",""))),""))</f>
        <v/>
      </c>
      <c r="AD36" s="29">
        <f>IF($W36="","",IFERROR(IF(ISNUMBER(INDEX($F$9:$F$2008,$W36)),INDEX($F$9:$F$2008,$W36),VALUE(SUBSTITUTE(INDEX($F$9:$F$2008,$W36),",",""))),""))</f>
        <v/>
      </c>
      <c r="AE36" s="29">
        <f>IF($W36="","",IFERROR(IF(ISNUMBER(INDEX($G$9:$G$2008,$W36)),INDEX($G$9:$G$2008,$W36),VALUE(SUBSTITUTE(INDEX($G$9:$G$2008,$W36),",",""))),""))</f>
        <v/>
      </c>
      <c r="AF36" s="29">
        <f>IF($W36="","",IFERROR(IF(ISNUMBER(INDEX($H$9:$H$2008,$W36)),INDEX($H$9:$H$2008,$W36),VALUE(SUBSTITUTE(INDEX($H$9:$H$2008,$W36),",",""))),""))</f>
        <v/>
      </c>
      <c r="AG36" s="29">
        <f>IF($W36="","",IFERROR(IF(ISNUMBER(INDEX($I$9:$I$2008,$W36)),INDEX($I$9:$I$2008,$W36),VALUE(SUBSTITUTE(INDEX($I$9:$I$2008,$W36),",",""))),""))</f>
        <v/>
      </c>
      <c r="AH36" s="29">
        <f>IF($W36="","",IFERROR(IF(ISNUMBER(INDEX($J$9:$J$2008,$W36)),INDEX($J$9:$J$2008,$W36),VALUE(SUBSTITUTE(INDEX($J$9:$J$2008,$W36),",",""))),""))</f>
        <v/>
      </c>
      <c r="AI36" s="29">
        <f>IF($W36="","",IFERROR(IF(ISNUMBER(INDEX($K$9:$K$2008,$W36)),INDEX($K$9:$K$2008,$W36),VALUE(SUBSTITUTE(INDEX($K$9:$K$2008,$W36),",",""))),""))</f>
        <v/>
      </c>
      <c r="AJ36" s="30">
        <f>IF($W36="","",IFERROR(IF(ISNUMBER(INDEX($L$9:$L$2008,$W36)),INDEX($L$9:$L$2008,$W36),VALUE(SUBSTITUTE(INDEX($L$9:$L$2008,$W36),",",""))),""))</f>
        <v/>
      </c>
      <c r="AK36" s="30">
        <f>IF($W36="","",IFERROR(IF(ISNUMBER(INDEX($M$9:$M$2008,$W36)),INDEX($M$9:$M$2008,$W36),VALUE(SUBSTITUTE(INDEX($M$9:$M$2008,$W36),",",""))),""))</f>
        <v/>
      </c>
      <c r="AL36" s="31">
        <f>IF($W36="","",IFERROR(IF(ISNUMBER(INDEX($P$9:$P$2008,$W36)),INDEX($P$9:$P$2008,$W36),VALUE(SUBSTITUTE(INDEX($P$9:$P$2008,$W36),"%",""))/100),""))</f>
        <v/>
      </c>
    </row>
    <row r="37">
      <c r="S37">
        <f>IF(AND(ISTEXT($A37),ISNUMBER(SEARCH(" - ",$A37)),ISERROR(SEARCH("Folio",$A37)),$D37=""),TRIM($A37),$S36)</f>
        <v/>
      </c>
      <c r="T37">
        <f>IF(AND(ISNUMBER(SEARCH("Folio",$A37)),$D37&lt;&gt;""),1,"")</f>
        <v/>
      </c>
      <c r="U37">
        <f>IF($T37=1,COUNTIF($T$9:$T37,1),"")</f>
        <v/>
      </c>
      <c r="V37">
        <f>IF(AND(ISTEXT($A37),LEFT($A38,3)="Pan"),1,"")</f>
        <v/>
      </c>
      <c r="W37" s="21">
        <f>IFERROR(MATCH(29,$U$9:$U$2008,0),"")</f>
        <v/>
      </c>
      <c r="X37" s="22">
        <f>IF($W37="","",IF($R$5&lt;&gt;"",$R$5,$R$6))</f>
        <v/>
      </c>
      <c r="Y37" s="22">
        <f>IF($W37="","",INDEX($S$9:$S$2008,$W37))</f>
        <v/>
      </c>
      <c r="Z37" s="22">
        <f>IF($W37="","",IFERROR(TRIM(LEFT(SUBSTITUTE(INDEX($A$9:$A$2008,$W37),CHAR(10)," "),SEARCH("Folio",SUBSTITUTE(INDEX($A$9:$A$2008,$W37),CHAR(10)," "))-1)),TRIM(SUBSTITUTE(INDEX($A$9:$A$2008,$W37),CHAR(10)," "))))</f>
        <v/>
      </c>
      <c r="AA37" s="22">
        <f>IF($W37="","",IFERROR(TRIM(SUBSTITUTE(MID(SUBSTITUTE(INDEX($A$9:$A$2008,$W37),CHAR(10)," "),SEARCH("Folio",SUBSTITUTE(INDEX($A$9:$A$2008,$W37),CHAR(10)," "))+5,200),":","")),""))</f>
        <v/>
      </c>
      <c r="AB37" s="23">
        <f>IF($W37="","",IF(ISNUMBER(INDEX($D$9:$D$2008,$W37)),INDEX($D$9:$D$2008,$W37),IFERROR(DATE(2000+VALUE(RIGHT(INDEX($D$9:$D$2008,$W37),2)),VALUE(MID(INDEX($D$9:$D$2008,$W37),4,2)),VALUE(LEFT(INDEX($D$9:$D$2008,$W37),2))),"")))</f>
        <v/>
      </c>
      <c r="AC37" s="24">
        <f>IF($W37="","",IFERROR(IF(ISNUMBER(INDEX($E$9:$E$2008,$W37)),INDEX($E$9:$E$2008,$W37),VALUE(SUBSTITUTE(INDEX($E$9:$E$2008,$W37),",",""))),""))</f>
        <v/>
      </c>
      <c r="AD37" s="24">
        <f>IF($W37="","",IFERROR(IF(ISNUMBER(INDEX($F$9:$F$2008,$W37)),INDEX($F$9:$F$2008,$W37),VALUE(SUBSTITUTE(INDEX($F$9:$F$2008,$W37),",",""))),""))</f>
        <v/>
      </c>
      <c r="AE37" s="24">
        <f>IF($W37="","",IFERROR(IF(ISNUMBER(INDEX($G$9:$G$2008,$W37)),INDEX($G$9:$G$2008,$W37),VALUE(SUBSTITUTE(INDEX($G$9:$G$2008,$W37),",",""))),""))</f>
        <v/>
      </c>
      <c r="AF37" s="24">
        <f>IF($W37="","",IFERROR(IF(ISNUMBER(INDEX($H$9:$H$2008,$W37)),INDEX($H$9:$H$2008,$W37),VALUE(SUBSTITUTE(INDEX($H$9:$H$2008,$W37),",",""))),""))</f>
        <v/>
      </c>
      <c r="AG37" s="24">
        <f>IF($W37="","",IFERROR(IF(ISNUMBER(INDEX($I$9:$I$2008,$W37)),INDEX($I$9:$I$2008,$W37),VALUE(SUBSTITUTE(INDEX($I$9:$I$2008,$W37),",",""))),""))</f>
        <v/>
      </c>
      <c r="AH37" s="24">
        <f>IF($W37="","",IFERROR(IF(ISNUMBER(INDEX($J$9:$J$2008,$W37)),INDEX($J$9:$J$2008,$W37),VALUE(SUBSTITUTE(INDEX($J$9:$J$2008,$W37),",",""))),""))</f>
        <v/>
      </c>
      <c r="AI37" s="24">
        <f>IF($W37="","",IFERROR(IF(ISNUMBER(INDEX($K$9:$K$2008,$W37)),INDEX($K$9:$K$2008,$W37),VALUE(SUBSTITUTE(INDEX($K$9:$K$2008,$W37),",",""))),""))</f>
        <v/>
      </c>
      <c r="AJ37" s="25">
        <f>IF($W37="","",IFERROR(IF(ISNUMBER(INDEX($L$9:$L$2008,$W37)),INDEX($L$9:$L$2008,$W37),VALUE(SUBSTITUTE(INDEX($L$9:$L$2008,$W37),",",""))),""))</f>
        <v/>
      </c>
      <c r="AK37" s="25">
        <f>IF($W37="","",IFERROR(IF(ISNUMBER(INDEX($M$9:$M$2008,$W37)),INDEX($M$9:$M$2008,$W37),VALUE(SUBSTITUTE(INDEX($M$9:$M$2008,$W37),",",""))),""))</f>
        <v/>
      </c>
      <c r="AL37" s="26">
        <f>IF($W37="","",IFERROR(IF(ISNUMBER(INDEX($P$9:$P$2008,$W37)),INDEX($P$9:$P$2008,$W37),VALUE(SUBSTITUTE(INDEX($P$9:$P$2008,$W37),"%",""))/100),""))</f>
        <v/>
      </c>
    </row>
    <row r="38">
      <c r="S38">
        <f>IF(AND(ISTEXT($A38),ISNUMBER(SEARCH(" - ",$A38)),ISERROR(SEARCH("Folio",$A38)),$D38=""),TRIM($A38),$S37)</f>
        <v/>
      </c>
      <c r="T38">
        <f>IF(AND(ISNUMBER(SEARCH("Folio",$A38)),$D38&lt;&gt;""),1,"")</f>
        <v/>
      </c>
      <c r="U38">
        <f>IF($T38=1,COUNTIF($T$9:$T38,1),"")</f>
        <v/>
      </c>
      <c r="V38">
        <f>IF(AND(ISTEXT($A38),LEFT($A39,3)="Pan"),1,"")</f>
        <v/>
      </c>
      <c r="W38" s="21">
        <f>IFERROR(MATCH(30,$U$9:$U$2008,0),"")</f>
        <v/>
      </c>
      <c r="X38" s="27">
        <f>IF($W38="","",IF($R$5&lt;&gt;"",$R$5,$R$6))</f>
        <v/>
      </c>
      <c r="Y38" s="27">
        <f>IF($W38="","",INDEX($S$9:$S$2008,$W38))</f>
        <v/>
      </c>
      <c r="Z38" s="27">
        <f>IF($W38="","",IFERROR(TRIM(LEFT(SUBSTITUTE(INDEX($A$9:$A$2008,$W38),CHAR(10)," "),SEARCH("Folio",SUBSTITUTE(INDEX($A$9:$A$2008,$W38),CHAR(10)," "))-1)),TRIM(SUBSTITUTE(INDEX($A$9:$A$2008,$W38),CHAR(10)," "))))</f>
        <v/>
      </c>
      <c r="AA38" s="27">
        <f>IF($W38="","",IFERROR(TRIM(SUBSTITUTE(MID(SUBSTITUTE(INDEX($A$9:$A$2008,$W38),CHAR(10)," "),SEARCH("Folio",SUBSTITUTE(INDEX($A$9:$A$2008,$W38),CHAR(10)," "))+5,200),":","")),""))</f>
        <v/>
      </c>
      <c r="AB38" s="28">
        <f>IF($W38="","",IF(ISNUMBER(INDEX($D$9:$D$2008,$W38)),INDEX($D$9:$D$2008,$W38),IFERROR(DATE(2000+VALUE(RIGHT(INDEX($D$9:$D$2008,$W38),2)),VALUE(MID(INDEX($D$9:$D$2008,$W38),4,2)),VALUE(LEFT(INDEX($D$9:$D$2008,$W38),2))),"")))</f>
        <v/>
      </c>
      <c r="AC38" s="29">
        <f>IF($W38="","",IFERROR(IF(ISNUMBER(INDEX($E$9:$E$2008,$W38)),INDEX($E$9:$E$2008,$W38),VALUE(SUBSTITUTE(INDEX($E$9:$E$2008,$W38),",",""))),""))</f>
        <v/>
      </c>
      <c r="AD38" s="29">
        <f>IF($W38="","",IFERROR(IF(ISNUMBER(INDEX($F$9:$F$2008,$W38)),INDEX($F$9:$F$2008,$W38),VALUE(SUBSTITUTE(INDEX($F$9:$F$2008,$W38),",",""))),""))</f>
        <v/>
      </c>
      <c r="AE38" s="29">
        <f>IF($W38="","",IFERROR(IF(ISNUMBER(INDEX($G$9:$G$2008,$W38)),INDEX($G$9:$G$2008,$W38),VALUE(SUBSTITUTE(INDEX($G$9:$G$2008,$W38),",",""))),""))</f>
        <v/>
      </c>
      <c r="AF38" s="29">
        <f>IF($W38="","",IFERROR(IF(ISNUMBER(INDEX($H$9:$H$2008,$W38)),INDEX($H$9:$H$2008,$W38),VALUE(SUBSTITUTE(INDEX($H$9:$H$2008,$W38),",",""))),""))</f>
        <v/>
      </c>
      <c r="AG38" s="29">
        <f>IF($W38="","",IFERROR(IF(ISNUMBER(INDEX($I$9:$I$2008,$W38)),INDEX($I$9:$I$2008,$W38),VALUE(SUBSTITUTE(INDEX($I$9:$I$2008,$W38),",",""))),""))</f>
        <v/>
      </c>
      <c r="AH38" s="29">
        <f>IF($W38="","",IFERROR(IF(ISNUMBER(INDEX($J$9:$J$2008,$W38)),INDEX($J$9:$J$2008,$W38),VALUE(SUBSTITUTE(INDEX($J$9:$J$2008,$W38),",",""))),""))</f>
        <v/>
      </c>
      <c r="AI38" s="29">
        <f>IF($W38="","",IFERROR(IF(ISNUMBER(INDEX($K$9:$K$2008,$W38)),INDEX($K$9:$K$2008,$W38),VALUE(SUBSTITUTE(INDEX($K$9:$K$2008,$W38),",",""))),""))</f>
        <v/>
      </c>
      <c r="AJ38" s="30">
        <f>IF($W38="","",IFERROR(IF(ISNUMBER(INDEX($L$9:$L$2008,$W38)),INDEX($L$9:$L$2008,$W38),VALUE(SUBSTITUTE(INDEX($L$9:$L$2008,$W38),",",""))),""))</f>
        <v/>
      </c>
      <c r="AK38" s="30">
        <f>IF($W38="","",IFERROR(IF(ISNUMBER(INDEX($M$9:$M$2008,$W38)),INDEX($M$9:$M$2008,$W38),VALUE(SUBSTITUTE(INDEX($M$9:$M$2008,$W38),",",""))),""))</f>
        <v/>
      </c>
      <c r="AL38" s="31">
        <f>IF($W38="","",IFERROR(IF(ISNUMBER(INDEX($P$9:$P$2008,$W38)),INDEX($P$9:$P$2008,$W38),VALUE(SUBSTITUTE(INDEX($P$9:$P$2008,$W38),"%",""))/100),""))</f>
        <v/>
      </c>
    </row>
    <row r="39">
      <c r="S39">
        <f>IF(AND(ISTEXT($A39),ISNUMBER(SEARCH(" - ",$A39)),ISERROR(SEARCH("Folio",$A39)),$D39=""),TRIM($A39),$S38)</f>
        <v/>
      </c>
      <c r="T39">
        <f>IF(AND(ISNUMBER(SEARCH("Folio",$A39)),$D39&lt;&gt;""),1,"")</f>
        <v/>
      </c>
      <c r="U39">
        <f>IF($T39=1,COUNTIF($T$9:$T39,1),"")</f>
        <v/>
      </c>
      <c r="V39">
        <f>IF(AND(ISTEXT($A39),LEFT($A40,3)="Pan"),1,"")</f>
        <v/>
      </c>
      <c r="W39" s="21">
        <f>IFERROR(MATCH(31,$U$9:$U$2008,0),"")</f>
        <v/>
      </c>
      <c r="X39" s="22">
        <f>IF($W39="","",IF($R$5&lt;&gt;"",$R$5,$R$6))</f>
        <v/>
      </c>
      <c r="Y39" s="22">
        <f>IF($W39="","",INDEX($S$9:$S$2008,$W39))</f>
        <v/>
      </c>
      <c r="Z39" s="22">
        <f>IF($W39="","",IFERROR(TRIM(LEFT(SUBSTITUTE(INDEX($A$9:$A$2008,$W39),CHAR(10)," "),SEARCH("Folio",SUBSTITUTE(INDEX($A$9:$A$2008,$W39),CHAR(10)," "))-1)),TRIM(SUBSTITUTE(INDEX($A$9:$A$2008,$W39),CHAR(10)," "))))</f>
        <v/>
      </c>
      <c r="AA39" s="22">
        <f>IF($W39="","",IFERROR(TRIM(SUBSTITUTE(MID(SUBSTITUTE(INDEX($A$9:$A$2008,$W39),CHAR(10)," "),SEARCH("Folio",SUBSTITUTE(INDEX($A$9:$A$2008,$W39),CHAR(10)," "))+5,200),":","")),""))</f>
        <v/>
      </c>
      <c r="AB39" s="23">
        <f>IF($W39="","",IF(ISNUMBER(INDEX($D$9:$D$2008,$W39)),INDEX($D$9:$D$2008,$W39),IFERROR(DATE(2000+VALUE(RIGHT(INDEX($D$9:$D$2008,$W39),2)),VALUE(MID(INDEX($D$9:$D$2008,$W39),4,2)),VALUE(LEFT(INDEX($D$9:$D$2008,$W39),2))),"")))</f>
        <v/>
      </c>
      <c r="AC39" s="24">
        <f>IF($W39="","",IFERROR(IF(ISNUMBER(INDEX($E$9:$E$2008,$W39)),INDEX($E$9:$E$2008,$W39),VALUE(SUBSTITUTE(INDEX($E$9:$E$2008,$W39),",",""))),""))</f>
        <v/>
      </c>
      <c r="AD39" s="24">
        <f>IF($W39="","",IFERROR(IF(ISNUMBER(INDEX($F$9:$F$2008,$W39)),INDEX($F$9:$F$2008,$W39),VALUE(SUBSTITUTE(INDEX($F$9:$F$2008,$W39),",",""))),""))</f>
        <v/>
      </c>
      <c r="AE39" s="24">
        <f>IF($W39="","",IFERROR(IF(ISNUMBER(INDEX($G$9:$G$2008,$W39)),INDEX($G$9:$G$2008,$W39),VALUE(SUBSTITUTE(INDEX($G$9:$G$2008,$W39),",",""))),""))</f>
        <v/>
      </c>
      <c r="AF39" s="24">
        <f>IF($W39="","",IFERROR(IF(ISNUMBER(INDEX($H$9:$H$2008,$W39)),INDEX($H$9:$H$2008,$W39),VALUE(SUBSTITUTE(INDEX($H$9:$H$2008,$W39),",",""))),""))</f>
        <v/>
      </c>
      <c r="AG39" s="24">
        <f>IF($W39="","",IFERROR(IF(ISNUMBER(INDEX($I$9:$I$2008,$W39)),INDEX($I$9:$I$2008,$W39),VALUE(SUBSTITUTE(INDEX($I$9:$I$2008,$W39),",",""))),""))</f>
        <v/>
      </c>
      <c r="AH39" s="24">
        <f>IF($W39="","",IFERROR(IF(ISNUMBER(INDEX($J$9:$J$2008,$W39)),INDEX($J$9:$J$2008,$W39),VALUE(SUBSTITUTE(INDEX($J$9:$J$2008,$W39),",",""))),""))</f>
        <v/>
      </c>
      <c r="AI39" s="24">
        <f>IF($W39="","",IFERROR(IF(ISNUMBER(INDEX($K$9:$K$2008,$W39)),INDEX($K$9:$K$2008,$W39),VALUE(SUBSTITUTE(INDEX($K$9:$K$2008,$W39),",",""))),""))</f>
        <v/>
      </c>
      <c r="AJ39" s="25">
        <f>IF($W39="","",IFERROR(IF(ISNUMBER(INDEX($L$9:$L$2008,$W39)),INDEX($L$9:$L$2008,$W39),VALUE(SUBSTITUTE(INDEX($L$9:$L$2008,$W39),",",""))),""))</f>
        <v/>
      </c>
      <c r="AK39" s="25">
        <f>IF($W39="","",IFERROR(IF(ISNUMBER(INDEX($M$9:$M$2008,$W39)),INDEX($M$9:$M$2008,$W39),VALUE(SUBSTITUTE(INDEX($M$9:$M$2008,$W39),",",""))),""))</f>
        <v/>
      </c>
      <c r="AL39" s="26">
        <f>IF($W39="","",IFERROR(IF(ISNUMBER(INDEX($P$9:$P$2008,$W39)),INDEX($P$9:$P$2008,$W39),VALUE(SUBSTITUTE(INDEX($P$9:$P$2008,$W39),"%",""))/100),""))</f>
        <v/>
      </c>
    </row>
    <row r="40">
      <c r="S40">
        <f>IF(AND(ISTEXT($A40),ISNUMBER(SEARCH(" - ",$A40)),ISERROR(SEARCH("Folio",$A40)),$D40=""),TRIM($A40),$S39)</f>
        <v/>
      </c>
      <c r="T40">
        <f>IF(AND(ISNUMBER(SEARCH("Folio",$A40)),$D40&lt;&gt;""),1,"")</f>
        <v/>
      </c>
      <c r="U40">
        <f>IF($T40=1,COUNTIF($T$9:$T40,1),"")</f>
        <v/>
      </c>
      <c r="V40">
        <f>IF(AND(ISTEXT($A40),LEFT($A41,3)="Pan"),1,"")</f>
        <v/>
      </c>
      <c r="W40" s="21">
        <f>IFERROR(MATCH(32,$U$9:$U$2008,0),"")</f>
        <v/>
      </c>
      <c r="X40" s="27">
        <f>IF($W40="","",IF($R$5&lt;&gt;"",$R$5,$R$6))</f>
        <v/>
      </c>
      <c r="Y40" s="27">
        <f>IF($W40="","",INDEX($S$9:$S$2008,$W40))</f>
        <v/>
      </c>
      <c r="Z40" s="27">
        <f>IF($W40="","",IFERROR(TRIM(LEFT(SUBSTITUTE(INDEX($A$9:$A$2008,$W40),CHAR(10)," "),SEARCH("Folio",SUBSTITUTE(INDEX($A$9:$A$2008,$W40),CHAR(10)," "))-1)),TRIM(SUBSTITUTE(INDEX($A$9:$A$2008,$W40),CHAR(10)," "))))</f>
        <v/>
      </c>
      <c r="AA40" s="27">
        <f>IF($W40="","",IFERROR(TRIM(SUBSTITUTE(MID(SUBSTITUTE(INDEX($A$9:$A$2008,$W40),CHAR(10)," "),SEARCH("Folio",SUBSTITUTE(INDEX($A$9:$A$2008,$W40),CHAR(10)," "))+5,200),":","")),""))</f>
        <v/>
      </c>
      <c r="AB40" s="28">
        <f>IF($W40="","",IF(ISNUMBER(INDEX($D$9:$D$2008,$W40)),INDEX($D$9:$D$2008,$W40),IFERROR(DATE(2000+VALUE(RIGHT(INDEX($D$9:$D$2008,$W40),2)),VALUE(MID(INDEX($D$9:$D$2008,$W40),4,2)),VALUE(LEFT(INDEX($D$9:$D$2008,$W40),2))),"")))</f>
        <v/>
      </c>
      <c r="AC40" s="29">
        <f>IF($W40="","",IFERROR(IF(ISNUMBER(INDEX($E$9:$E$2008,$W40)),INDEX($E$9:$E$2008,$W40),VALUE(SUBSTITUTE(INDEX($E$9:$E$2008,$W40),",",""))),""))</f>
        <v/>
      </c>
      <c r="AD40" s="29">
        <f>IF($W40="","",IFERROR(IF(ISNUMBER(INDEX($F$9:$F$2008,$W40)),INDEX($F$9:$F$2008,$W40),VALUE(SUBSTITUTE(INDEX($F$9:$F$2008,$W40),",",""))),""))</f>
        <v/>
      </c>
      <c r="AE40" s="29">
        <f>IF($W40="","",IFERROR(IF(ISNUMBER(INDEX($G$9:$G$2008,$W40)),INDEX($G$9:$G$2008,$W40),VALUE(SUBSTITUTE(INDEX($G$9:$G$2008,$W40),",",""))),""))</f>
        <v/>
      </c>
      <c r="AF40" s="29">
        <f>IF($W40="","",IFERROR(IF(ISNUMBER(INDEX($H$9:$H$2008,$W40)),INDEX($H$9:$H$2008,$W40),VALUE(SUBSTITUTE(INDEX($H$9:$H$2008,$W40),",",""))),""))</f>
        <v/>
      </c>
      <c r="AG40" s="29">
        <f>IF($W40="","",IFERROR(IF(ISNUMBER(INDEX($I$9:$I$2008,$W40)),INDEX($I$9:$I$2008,$W40),VALUE(SUBSTITUTE(INDEX($I$9:$I$2008,$W40),",",""))),""))</f>
        <v/>
      </c>
      <c r="AH40" s="29">
        <f>IF($W40="","",IFERROR(IF(ISNUMBER(INDEX($J$9:$J$2008,$W40)),INDEX($J$9:$J$2008,$W40),VALUE(SUBSTITUTE(INDEX($J$9:$J$2008,$W40),",",""))),""))</f>
        <v/>
      </c>
      <c r="AI40" s="29">
        <f>IF($W40="","",IFERROR(IF(ISNUMBER(INDEX($K$9:$K$2008,$W40)),INDEX($K$9:$K$2008,$W40),VALUE(SUBSTITUTE(INDEX($K$9:$K$2008,$W40),",",""))),""))</f>
        <v/>
      </c>
      <c r="AJ40" s="30">
        <f>IF($W40="","",IFERROR(IF(ISNUMBER(INDEX($L$9:$L$2008,$W40)),INDEX($L$9:$L$2008,$W40),VALUE(SUBSTITUTE(INDEX($L$9:$L$2008,$W40),",",""))),""))</f>
        <v/>
      </c>
      <c r="AK40" s="30">
        <f>IF($W40="","",IFERROR(IF(ISNUMBER(INDEX($M$9:$M$2008,$W40)),INDEX($M$9:$M$2008,$W40),VALUE(SUBSTITUTE(INDEX($M$9:$M$2008,$W40),",",""))),""))</f>
        <v/>
      </c>
      <c r="AL40" s="31">
        <f>IF($W40="","",IFERROR(IF(ISNUMBER(INDEX($P$9:$P$2008,$W40)),INDEX($P$9:$P$2008,$W40),VALUE(SUBSTITUTE(INDEX($P$9:$P$2008,$W40),"%",""))/100),""))</f>
        <v/>
      </c>
    </row>
    <row r="41">
      <c r="S41">
        <f>IF(AND(ISTEXT($A41),ISNUMBER(SEARCH(" - ",$A41)),ISERROR(SEARCH("Folio",$A41)),$D41=""),TRIM($A41),$S40)</f>
        <v/>
      </c>
      <c r="T41">
        <f>IF(AND(ISNUMBER(SEARCH("Folio",$A41)),$D41&lt;&gt;""),1,"")</f>
        <v/>
      </c>
      <c r="U41">
        <f>IF($T41=1,COUNTIF($T$9:$T41,1),"")</f>
        <v/>
      </c>
      <c r="V41">
        <f>IF(AND(ISTEXT($A41),LEFT($A42,3)="Pan"),1,"")</f>
        <v/>
      </c>
      <c r="W41" s="21">
        <f>IFERROR(MATCH(33,$U$9:$U$2008,0),"")</f>
        <v/>
      </c>
      <c r="X41" s="22">
        <f>IF($W41="","",IF($R$5&lt;&gt;"",$R$5,$R$6))</f>
        <v/>
      </c>
      <c r="Y41" s="22">
        <f>IF($W41="","",INDEX($S$9:$S$2008,$W41))</f>
        <v/>
      </c>
      <c r="Z41" s="22">
        <f>IF($W41="","",IFERROR(TRIM(LEFT(SUBSTITUTE(INDEX($A$9:$A$2008,$W41),CHAR(10)," "),SEARCH("Folio",SUBSTITUTE(INDEX($A$9:$A$2008,$W41),CHAR(10)," "))-1)),TRIM(SUBSTITUTE(INDEX($A$9:$A$2008,$W41),CHAR(10)," "))))</f>
        <v/>
      </c>
      <c r="AA41" s="22">
        <f>IF($W41="","",IFERROR(TRIM(SUBSTITUTE(MID(SUBSTITUTE(INDEX($A$9:$A$2008,$W41),CHAR(10)," "),SEARCH("Folio",SUBSTITUTE(INDEX($A$9:$A$2008,$W41),CHAR(10)," "))+5,200),":","")),""))</f>
        <v/>
      </c>
      <c r="AB41" s="23">
        <f>IF($W41="","",IF(ISNUMBER(INDEX($D$9:$D$2008,$W41)),INDEX($D$9:$D$2008,$W41),IFERROR(DATE(2000+VALUE(RIGHT(INDEX($D$9:$D$2008,$W41),2)),VALUE(MID(INDEX($D$9:$D$2008,$W41),4,2)),VALUE(LEFT(INDEX($D$9:$D$2008,$W41),2))),"")))</f>
        <v/>
      </c>
      <c r="AC41" s="24">
        <f>IF($W41="","",IFERROR(IF(ISNUMBER(INDEX($E$9:$E$2008,$W41)),INDEX($E$9:$E$2008,$W41),VALUE(SUBSTITUTE(INDEX($E$9:$E$2008,$W41),",",""))),""))</f>
        <v/>
      </c>
      <c r="AD41" s="24">
        <f>IF($W41="","",IFERROR(IF(ISNUMBER(INDEX($F$9:$F$2008,$W41)),INDEX($F$9:$F$2008,$W41),VALUE(SUBSTITUTE(INDEX($F$9:$F$2008,$W41),",",""))),""))</f>
        <v/>
      </c>
      <c r="AE41" s="24">
        <f>IF($W41="","",IFERROR(IF(ISNUMBER(INDEX($G$9:$G$2008,$W41)),INDEX($G$9:$G$2008,$W41),VALUE(SUBSTITUTE(INDEX($G$9:$G$2008,$W41),",",""))),""))</f>
        <v/>
      </c>
      <c r="AF41" s="24">
        <f>IF($W41="","",IFERROR(IF(ISNUMBER(INDEX($H$9:$H$2008,$W41)),INDEX($H$9:$H$2008,$W41),VALUE(SUBSTITUTE(INDEX($H$9:$H$2008,$W41),",",""))),""))</f>
        <v/>
      </c>
      <c r="AG41" s="24">
        <f>IF($W41="","",IFERROR(IF(ISNUMBER(INDEX($I$9:$I$2008,$W41)),INDEX($I$9:$I$2008,$W41),VALUE(SUBSTITUTE(INDEX($I$9:$I$2008,$W41),",",""))),""))</f>
        <v/>
      </c>
      <c r="AH41" s="24">
        <f>IF($W41="","",IFERROR(IF(ISNUMBER(INDEX($J$9:$J$2008,$W41)),INDEX($J$9:$J$2008,$W41),VALUE(SUBSTITUTE(INDEX($J$9:$J$2008,$W41),",",""))),""))</f>
        <v/>
      </c>
      <c r="AI41" s="24">
        <f>IF($W41="","",IFERROR(IF(ISNUMBER(INDEX($K$9:$K$2008,$W41)),INDEX($K$9:$K$2008,$W41),VALUE(SUBSTITUTE(INDEX($K$9:$K$2008,$W41),",",""))),""))</f>
        <v/>
      </c>
      <c r="AJ41" s="25">
        <f>IF($W41="","",IFERROR(IF(ISNUMBER(INDEX($L$9:$L$2008,$W41)),INDEX($L$9:$L$2008,$W41),VALUE(SUBSTITUTE(INDEX($L$9:$L$2008,$W41),",",""))),""))</f>
        <v/>
      </c>
      <c r="AK41" s="25">
        <f>IF($W41="","",IFERROR(IF(ISNUMBER(INDEX($M$9:$M$2008,$W41)),INDEX($M$9:$M$2008,$W41),VALUE(SUBSTITUTE(INDEX($M$9:$M$2008,$W41),",",""))),""))</f>
        <v/>
      </c>
      <c r="AL41" s="26">
        <f>IF($W41="","",IFERROR(IF(ISNUMBER(INDEX($P$9:$P$2008,$W41)),INDEX($P$9:$P$2008,$W41),VALUE(SUBSTITUTE(INDEX($P$9:$P$2008,$W41),"%",""))/100),""))</f>
        <v/>
      </c>
    </row>
    <row r="42">
      <c r="S42">
        <f>IF(AND(ISTEXT($A42),ISNUMBER(SEARCH(" - ",$A42)),ISERROR(SEARCH("Folio",$A42)),$D42=""),TRIM($A42),$S41)</f>
        <v/>
      </c>
      <c r="T42">
        <f>IF(AND(ISNUMBER(SEARCH("Folio",$A42)),$D42&lt;&gt;""),1,"")</f>
        <v/>
      </c>
      <c r="U42">
        <f>IF($T42=1,COUNTIF($T$9:$T42,1),"")</f>
        <v/>
      </c>
      <c r="V42">
        <f>IF(AND(ISTEXT($A42),LEFT($A43,3)="Pan"),1,"")</f>
        <v/>
      </c>
      <c r="W42" s="21">
        <f>IFERROR(MATCH(34,$U$9:$U$2008,0),"")</f>
        <v/>
      </c>
      <c r="X42" s="27">
        <f>IF($W42="","",IF($R$5&lt;&gt;"",$R$5,$R$6))</f>
        <v/>
      </c>
      <c r="Y42" s="27">
        <f>IF($W42="","",INDEX($S$9:$S$2008,$W42))</f>
        <v/>
      </c>
      <c r="Z42" s="27">
        <f>IF($W42="","",IFERROR(TRIM(LEFT(SUBSTITUTE(INDEX($A$9:$A$2008,$W42),CHAR(10)," "),SEARCH("Folio",SUBSTITUTE(INDEX($A$9:$A$2008,$W42),CHAR(10)," "))-1)),TRIM(SUBSTITUTE(INDEX($A$9:$A$2008,$W42),CHAR(10)," "))))</f>
        <v/>
      </c>
      <c r="AA42" s="27">
        <f>IF($W42="","",IFERROR(TRIM(SUBSTITUTE(MID(SUBSTITUTE(INDEX($A$9:$A$2008,$W42),CHAR(10)," "),SEARCH("Folio",SUBSTITUTE(INDEX($A$9:$A$2008,$W42),CHAR(10)," "))+5,200),":","")),""))</f>
        <v/>
      </c>
      <c r="AB42" s="28">
        <f>IF($W42="","",IF(ISNUMBER(INDEX($D$9:$D$2008,$W42)),INDEX($D$9:$D$2008,$W42),IFERROR(DATE(2000+VALUE(RIGHT(INDEX($D$9:$D$2008,$W42),2)),VALUE(MID(INDEX($D$9:$D$2008,$W42),4,2)),VALUE(LEFT(INDEX($D$9:$D$2008,$W42),2))),"")))</f>
        <v/>
      </c>
      <c r="AC42" s="29">
        <f>IF($W42="","",IFERROR(IF(ISNUMBER(INDEX($E$9:$E$2008,$W42)),INDEX($E$9:$E$2008,$W42),VALUE(SUBSTITUTE(INDEX($E$9:$E$2008,$W42),",",""))),""))</f>
        <v/>
      </c>
      <c r="AD42" s="29">
        <f>IF($W42="","",IFERROR(IF(ISNUMBER(INDEX($F$9:$F$2008,$W42)),INDEX($F$9:$F$2008,$W42),VALUE(SUBSTITUTE(INDEX($F$9:$F$2008,$W42),",",""))),""))</f>
        <v/>
      </c>
      <c r="AE42" s="29">
        <f>IF($W42="","",IFERROR(IF(ISNUMBER(INDEX($G$9:$G$2008,$W42)),INDEX($G$9:$G$2008,$W42),VALUE(SUBSTITUTE(INDEX($G$9:$G$2008,$W42),",",""))),""))</f>
        <v/>
      </c>
      <c r="AF42" s="29">
        <f>IF($W42="","",IFERROR(IF(ISNUMBER(INDEX($H$9:$H$2008,$W42)),INDEX($H$9:$H$2008,$W42),VALUE(SUBSTITUTE(INDEX($H$9:$H$2008,$W42),",",""))),""))</f>
        <v/>
      </c>
      <c r="AG42" s="29">
        <f>IF($W42="","",IFERROR(IF(ISNUMBER(INDEX($I$9:$I$2008,$W42)),INDEX($I$9:$I$2008,$W42),VALUE(SUBSTITUTE(INDEX($I$9:$I$2008,$W42),",",""))),""))</f>
        <v/>
      </c>
      <c r="AH42" s="29">
        <f>IF($W42="","",IFERROR(IF(ISNUMBER(INDEX($J$9:$J$2008,$W42)),INDEX($J$9:$J$2008,$W42),VALUE(SUBSTITUTE(INDEX($J$9:$J$2008,$W42),",",""))),""))</f>
        <v/>
      </c>
      <c r="AI42" s="29">
        <f>IF($W42="","",IFERROR(IF(ISNUMBER(INDEX($K$9:$K$2008,$W42)),INDEX($K$9:$K$2008,$W42),VALUE(SUBSTITUTE(INDEX($K$9:$K$2008,$W42),",",""))),""))</f>
        <v/>
      </c>
      <c r="AJ42" s="30">
        <f>IF($W42="","",IFERROR(IF(ISNUMBER(INDEX($L$9:$L$2008,$W42)),INDEX($L$9:$L$2008,$W42),VALUE(SUBSTITUTE(INDEX($L$9:$L$2008,$W42),",",""))),""))</f>
        <v/>
      </c>
      <c r="AK42" s="30">
        <f>IF($W42="","",IFERROR(IF(ISNUMBER(INDEX($M$9:$M$2008,$W42)),INDEX($M$9:$M$2008,$W42),VALUE(SUBSTITUTE(INDEX($M$9:$M$2008,$W42),",",""))),""))</f>
        <v/>
      </c>
      <c r="AL42" s="31">
        <f>IF($W42="","",IFERROR(IF(ISNUMBER(INDEX($P$9:$P$2008,$W42)),INDEX($P$9:$P$2008,$W42),VALUE(SUBSTITUTE(INDEX($P$9:$P$2008,$W42),"%",""))/100),""))</f>
        <v/>
      </c>
    </row>
    <row r="43">
      <c r="S43">
        <f>IF(AND(ISTEXT($A43),ISNUMBER(SEARCH(" - ",$A43)),ISERROR(SEARCH("Folio",$A43)),$D43=""),TRIM($A43),$S42)</f>
        <v/>
      </c>
      <c r="T43">
        <f>IF(AND(ISNUMBER(SEARCH("Folio",$A43)),$D43&lt;&gt;""),1,"")</f>
        <v/>
      </c>
      <c r="U43">
        <f>IF($T43=1,COUNTIF($T$9:$T43,1),"")</f>
        <v/>
      </c>
      <c r="V43">
        <f>IF(AND(ISTEXT($A43),LEFT($A44,3)="Pan"),1,"")</f>
        <v/>
      </c>
      <c r="W43" s="21">
        <f>IFERROR(MATCH(35,$U$9:$U$2008,0),"")</f>
        <v/>
      </c>
      <c r="X43" s="22">
        <f>IF($W43="","",IF($R$5&lt;&gt;"",$R$5,$R$6))</f>
        <v/>
      </c>
      <c r="Y43" s="22">
        <f>IF($W43="","",INDEX($S$9:$S$2008,$W43))</f>
        <v/>
      </c>
      <c r="Z43" s="22">
        <f>IF($W43="","",IFERROR(TRIM(LEFT(SUBSTITUTE(INDEX($A$9:$A$2008,$W43),CHAR(10)," "),SEARCH("Folio",SUBSTITUTE(INDEX($A$9:$A$2008,$W43),CHAR(10)," "))-1)),TRIM(SUBSTITUTE(INDEX($A$9:$A$2008,$W43),CHAR(10)," "))))</f>
        <v/>
      </c>
      <c r="AA43" s="22">
        <f>IF($W43="","",IFERROR(TRIM(SUBSTITUTE(MID(SUBSTITUTE(INDEX($A$9:$A$2008,$W43),CHAR(10)," "),SEARCH("Folio",SUBSTITUTE(INDEX($A$9:$A$2008,$W43),CHAR(10)," "))+5,200),":","")),""))</f>
        <v/>
      </c>
      <c r="AB43" s="23">
        <f>IF($W43="","",IF(ISNUMBER(INDEX($D$9:$D$2008,$W43)),INDEX($D$9:$D$2008,$W43),IFERROR(DATE(2000+VALUE(RIGHT(INDEX($D$9:$D$2008,$W43),2)),VALUE(MID(INDEX($D$9:$D$2008,$W43),4,2)),VALUE(LEFT(INDEX($D$9:$D$2008,$W43),2))),"")))</f>
        <v/>
      </c>
      <c r="AC43" s="24">
        <f>IF($W43="","",IFERROR(IF(ISNUMBER(INDEX($E$9:$E$2008,$W43)),INDEX($E$9:$E$2008,$W43),VALUE(SUBSTITUTE(INDEX($E$9:$E$2008,$W43),",",""))),""))</f>
        <v/>
      </c>
      <c r="AD43" s="24">
        <f>IF($W43="","",IFERROR(IF(ISNUMBER(INDEX($F$9:$F$2008,$W43)),INDEX($F$9:$F$2008,$W43),VALUE(SUBSTITUTE(INDEX($F$9:$F$2008,$W43),",",""))),""))</f>
        <v/>
      </c>
      <c r="AE43" s="24">
        <f>IF($W43="","",IFERROR(IF(ISNUMBER(INDEX($G$9:$G$2008,$W43)),INDEX($G$9:$G$2008,$W43),VALUE(SUBSTITUTE(INDEX($G$9:$G$2008,$W43),",",""))),""))</f>
        <v/>
      </c>
      <c r="AF43" s="24">
        <f>IF($W43="","",IFERROR(IF(ISNUMBER(INDEX($H$9:$H$2008,$W43)),INDEX($H$9:$H$2008,$W43),VALUE(SUBSTITUTE(INDEX($H$9:$H$2008,$W43),",",""))),""))</f>
        <v/>
      </c>
      <c r="AG43" s="24">
        <f>IF($W43="","",IFERROR(IF(ISNUMBER(INDEX($I$9:$I$2008,$W43)),INDEX($I$9:$I$2008,$W43),VALUE(SUBSTITUTE(INDEX($I$9:$I$2008,$W43),",",""))),""))</f>
        <v/>
      </c>
      <c r="AH43" s="24">
        <f>IF($W43="","",IFERROR(IF(ISNUMBER(INDEX($J$9:$J$2008,$W43)),INDEX($J$9:$J$2008,$W43),VALUE(SUBSTITUTE(INDEX($J$9:$J$2008,$W43),",",""))),""))</f>
        <v/>
      </c>
      <c r="AI43" s="24">
        <f>IF($W43="","",IFERROR(IF(ISNUMBER(INDEX($K$9:$K$2008,$W43)),INDEX($K$9:$K$2008,$W43),VALUE(SUBSTITUTE(INDEX($K$9:$K$2008,$W43),",",""))),""))</f>
        <v/>
      </c>
      <c r="AJ43" s="25">
        <f>IF($W43="","",IFERROR(IF(ISNUMBER(INDEX($L$9:$L$2008,$W43)),INDEX($L$9:$L$2008,$W43),VALUE(SUBSTITUTE(INDEX($L$9:$L$2008,$W43),",",""))),""))</f>
        <v/>
      </c>
      <c r="AK43" s="25">
        <f>IF($W43="","",IFERROR(IF(ISNUMBER(INDEX($M$9:$M$2008,$W43)),INDEX($M$9:$M$2008,$W43),VALUE(SUBSTITUTE(INDEX($M$9:$M$2008,$W43),",",""))),""))</f>
        <v/>
      </c>
      <c r="AL43" s="26">
        <f>IF($W43="","",IFERROR(IF(ISNUMBER(INDEX($P$9:$P$2008,$W43)),INDEX($P$9:$P$2008,$W43),VALUE(SUBSTITUTE(INDEX($P$9:$P$2008,$W43),"%",""))/100),""))</f>
        <v/>
      </c>
    </row>
    <row r="44">
      <c r="S44">
        <f>IF(AND(ISTEXT($A44),ISNUMBER(SEARCH(" - ",$A44)),ISERROR(SEARCH("Folio",$A44)),$D44=""),TRIM($A44),$S43)</f>
        <v/>
      </c>
      <c r="T44">
        <f>IF(AND(ISNUMBER(SEARCH("Folio",$A44)),$D44&lt;&gt;""),1,"")</f>
        <v/>
      </c>
      <c r="U44">
        <f>IF($T44=1,COUNTIF($T$9:$T44,1),"")</f>
        <v/>
      </c>
      <c r="V44">
        <f>IF(AND(ISTEXT($A44),LEFT($A45,3)="Pan"),1,"")</f>
        <v/>
      </c>
      <c r="W44" s="21">
        <f>IFERROR(MATCH(36,$U$9:$U$2008,0),"")</f>
        <v/>
      </c>
      <c r="X44" s="27">
        <f>IF($W44="","",IF($R$5&lt;&gt;"",$R$5,$R$6))</f>
        <v/>
      </c>
      <c r="Y44" s="27">
        <f>IF($W44="","",INDEX($S$9:$S$2008,$W44))</f>
        <v/>
      </c>
      <c r="Z44" s="27">
        <f>IF($W44="","",IFERROR(TRIM(LEFT(SUBSTITUTE(INDEX($A$9:$A$2008,$W44),CHAR(10)," "),SEARCH("Folio",SUBSTITUTE(INDEX($A$9:$A$2008,$W44),CHAR(10)," "))-1)),TRIM(SUBSTITUTE(INDEX($A$9:$A$2008,$W44),CHAR(10)," "))))</f>
        <v/>
      </c>
      <c r="AA44" s="27">
        <f>IF($W44="","",IFERROR(TRIM(SUBSTITUTE(MID(SUBSTITUTE(INDEX($A$9:$A$2008,$W44),CHAR(10)," "),SEARCH("Folio",SUBSTITUTE(INDEX($A$9:$A$2008,$W44),CHAR(10)," "))+5,200),":","")),""))</f>
        <v/>
      </c>
      <c r="AB44" s="28">
        <f>IF($W44="","",IF(ISNUMBER(INDEX($D$9:$D$2008,$W44)),INDEX($D$9:$D$2008,$W44),IFERROR(DATE(2000+VALUE(RIGHT(INDEX($D$9:$D$2008,$W44),2)),VALUE(MID(INDEX($D$9:$D$2008,$W44),4,2)),VALUE(LEFT(INDEX($D$9:$D$2008,$W44),2))),"")))</f>
        <v/>
      </c>
      <c r="AC44" s="29">
        <f>IF($W44="","",IFERROR(IF(ISNUMBER(INDEX($E$9:$E$2008,$W44)),INDEX($E$9:$E$2008,$W44),VALUE(SUBSTITUTE(INDEX($E$9:$E$2008,$W44),",",""))),""))</f>
        <v/>
      </c>
      <c r="AD44" s="29">
        <f>IF($W44="","",IFERROR(IF(ISNUMBER(INDEX($F$9:$F$2008,$W44)),INDEX($F$9:$F$2008,$W44),VALUE(SUBSTITUTE(INDEX($F$9:$F$2008,$W44),",",""))),""))</f>
        <v/>
      </c>
      <c r="AE44" s="29">
        <f>IF($W44="","",IFERROR(IF(ISNUMBER(INDEX($G$9:$G$2008,$W44)),INDEX($G$9:$G$2008,$W44),VALUE(SUBSTITUTE(INDEX($G$9:$G$2008,$W44),",",""))),""))</f>
        <v/>
      </c>
      <c r="AF44" s="29">
        <f>IF($W44="","",IFERROR(IF(ISNUMBER(INDEX($H$9:$H$2008,$W44)),INDEX($H$9:$H$2008,$W44),VALUE(SUBSTITUTE(INDEX($H$9:$H$2008,$W44),",",""))),""))</f>
        <v/>
      </c>
      <c r="AG44" s="29">
        <f>IF($W44="","",IFERROR(IF(ISNUMBER(INDEX($I$9:$I$2008,$W44)),INDEX($I$9:$I$2008,$W44),VALUE(SUBSTITUTE(INDEX($I$9:$I$2008,$W44),",",""))),""))</f>
        <v/>
      </c>
      <c r="AH44" s="29">
        <f>IF($W44="","",IFERROR(IF(ISNUMBER(INDEX($J$9:$J$2008,$W44)),INDEX($J$9:$J$2008,$W44),VALUE(SUBSTITUTE(INDEX($J$9:$J$2008,$W44),",",""))),""))</f>
        <v/>
      </c>
      <c r="AI44" s="29">
        <f>IF($W44="","",IFERROR(IF(ISNUMBER(INDEX($K$9:$K$2008,$W44)),INDEX($K$9:$K$2008,$W44),VALUE(SUBSTITUTE(INDEX($K$9:$K$2008,$W44),",",""))),""))</f>
        <v/>
      </c>
      <c r="AJ44" s="30">
        <f>IF($W44="","",IFERROR(IF(ISNUMBER(INDEX($L$9:$L$2008,$W44)),INDEX($L$9:$L$2008,$W44),VALUE(SUBSTITUTE(INDEX($L$9:$L$2008,$W44),",",""))),""))</f>
        <v/>
      </c>
      <c r="AK44" s="30">
        <f>IF($W44="","",IFERROR(IF(ISNUMBER(INDEX($M$9:$M$2008,$W44)),INDEX($M$9:$M$2008,$W44),VALUE(SUBSTITUTE(INDEX($M$9:$M$2008,$W44),",",""))),""))</f>
        <v/>
      </c>
      <c r="AL44" s="31">
        <f>IF($W44="","",IFERROR(IF(ISNUMBER(INDEX($P$9:$P$2008,$W44)),INDEX($P$9:$P$2008,$W44),VALUE(SUBSTITUTE(INDEX($P$9:$P$2008,$W44),"%",""))/100),""))</f>
        <v/>
      </c>
    </row>
    <row r="45">
      <c r="S45">
        <f>IF(AND(ISTEXT($A45),ISNUMBER(SEARCH(" - ",$A45)),ISERROR(SEARCH("Folio",$A45)),$D45=""),TRIM($A45),$S44)</f>
        <v/>
      </c>
      <c r="T45">
        <f>IF(AND(ISNUMBER(SEARCH("Folio",$A45)),$D45&lt;&gt;""),1,"")</f>
        <v/>
      </c>
      <c r="U45">
        <f>IF($T45=1,COUNTIF($T$9:$T45,1),"")</f>
        <v/>
      </c>
      <c r="V45">
        <f>IF(AND(ISTEXT($A45),LEFT($A46,3)="Pan"),1,"")</f>
        <v/>
      </c>
      <c r="W45" s="21">
        <f>IFERROR(MATCH(37,$U$9:$U$2008,0),"")</f>
        <v/>
      </c>
      <c r="X45" s="22">
        <f>IF($W45="","",IF($R$5&lt;&gt;"",$R$5,$R$6))</f>
        <v/>
      </c>
      <c r="Y45" s="22">
        <f>IF($W45="","",INDEX($S$9:$S$2008,$W45))</f>
        <v/>
      </c>
      <c r="Z45" s="22">
        <f>IF($W45="","",IFERROR(TRIM(LEFT(SUBSTITUTE(INDEX($A$9:$A$2008,$W45),CHAR(10)," "),SEARCH("Folio",SUBSTITUTE(INDEX($A$9:$A$2008,$W45),CHAR(10)," "))-1)),TRIM(SUBSTITUTE(INDEX($A$9:$A$2008,$W45),CHAR(10)," "))))</f>
        <v/>
      </c>
      <c r="AA45" s="22">
        <f>IF($W45="","",IFERROR(TRIM(SUBSTITUTE(MID(SUBSTITUTE(INDEX($A$9:$A$2008,$W45),CHAR(10)," "),SEARCH("Folio",SUBSTITUTE(INDEX($A$9:$A$2008,$W45),CHAR(10)," "))+5,200),":","")),""))</f>
        <v/>
      </c>
      <c r="AB45" s="23">
        <f>IF($W45="","",IF(ISNUMBER(INDEX($D$9:$D$2008,$W45)),INDEX($D$9:$D$2008,$W45),IFERROR(DATE(2000+VALUE(RIGHT(INDEX($D$9:$D$2008,$W45),2)),VALUE(MID(INDEX($D$9:$D$2008,$W45),4,2)),VALUE(LEFT(INDEX($D$9:$D$2008,$W45),2))),"")))</f>
        <v/>
      </c>
      <c r="AC45" s="24">
        <f>IF($W45="","",IFERROR(IF(ISNUMBER(INDEX($E$9:$E$2008,$W45)),INDEX($E$9:$E$2008,$W45),VALUE(SUBSTITUTE(INDEX($E$9:$E$2008,$W45),",",""))),""))</f>
        <v/>
      </c>
      <c r="AD45" s="24">
        <f>IF($W45="","",IFERROR(IF(ISNUMBER(INDEX($F$9:$F$2008,$W45)),INDEX($F$9:$F$2008,$W45),VALUE(SUBSTITUTE(INDEX($F$9:$F$2008,$W45),",",""))),""))</f>
        <v/>
      </c>
      <c r="AE45" s="24">
        <f>IF($W45="","",IFERROR(IF(ISNUMBER(INDEX($G$9:$G$2008,$W45)),INDEX($G$9:$G$2008,$W45),VALUE(SUBSTITUTE(INDEX($G$9:$G$2008,$W45),",",""))),""))</f>
        <v/>
      </c>
      <c r="AF45" s="24">
        <f>IF($W45="","",IFERROR(IF(ISNUMBER(INDEX($H$9:$H$2008,$W45)),INDEX($H$9:$H$2008,$W45),VALUE(SUBSTITUTE(INDEX($H$9:$H$2008,$W45),",",""))),""))</f>
        <v/>
      </c>
      <c r="AG45" s="24">
        <f>IF($W45="","",IFERROR(IF(ISNUMBER(INDEX($I$9:$I$2008,$W45)),INDEX($I$9:$I$2008,$W45),VALUE(SUBSTITUTE(INDEX($I$9:$I$2008,$W45),",",""))),""))</f>
        <v/>
      </c>
      <c r="AH45" s="24">
        <f>IF($W45="","",IFERROR(IF(ISNUMBER(INDEX($J$9:$J$2008,$W45)),INDEX($J$9:$J$2008,$W45),VALUE(SUBSTITUTE(INDEX($J$9:$J$2008,$W45),",",""))),""))</f>
        <v/>
      </c>
      <c r="AI45" s="24">
        <f>IF($W45="","",IFERROR(IF(ISNUMBER(INDEX($K$9:$K$2008,$W45)),INDEX($K$9:$K$2008,$W45),VALUE(SUBSTITUTE(INDEX($K$9:$K$2008,$W45),",",""))),""))</f>
        <v/>
      </c>
      <c r="AJ45" s="25">
        <f>IF($W45="","",IFERROR(IF(ISNUMBER(INDEX($L$9:$L$2008,$W45)),INDEX($L$9:$L$2008,$W45),VALUE(SUBSTITUTE(INDEX($L$9:$L$2008,$W45),",",""))),""))</f>
        <v/>
      </c>
      <c r="AK45" s="25">
        <f>IF($W45="","",IFERROR(IF(ISNUMBER(INDEX($M$9:$M$2008,$W45)),INDEX($M$9:$M$2008,$W45),VALUE(SUBSTITUTE(INDEX($M$9:$M$2008,$W45),",",""))),""))</f>
        <v/>
      </c>
      <c r="AL45" s="26">
        <f>IF($W45="","",IFERROR(IF(ISNUMBER(INDEX($P$9:$P$2008,$W45)),INDEX($P$9:$P$2008,$W45),VALUE(SUBSTITUTE(INDEX($P$9:$P$2008,$W45),"%",""))/100),""))</f>
        <v/>
      </c>
    </row>
    <row r="46">
      <c r="S46">
        <f>IF(AND(ISTEXT($A46),ISNUMBER(SEARCH(" - ",$A46)),ISERROR(SEARCH("Folio",$A46)),$D46=""),TRIM($A46),$S45)</f>
        <v/>
      </c>
      <c r="T46">
        <f>IF(AND(ISNUMBER(SEARCH("Folio",$A46)),$D46&lt;&gt;""),1,"")</f>
        <v/>
      </c>
      <c r="U46">
        <f>IF($T46=1,COUNTIF($T$9:$T46,1),"")</f>
        <v/>
      </c>
      <c r="V46">
        <f>IF(AND(ISTEXT($A46),LEFT($A47,3)="Pan"),1,"")</f>
        <v/>
      </c>
      <c r="W46" s="21">
        <f>IFERROR(MATCH(38,$U$9:$U$2008,0),"")</f>
        <v/>
      </c>
      <c r="X46" s="27">
        <f>IF($W46="","",IF($R$5&lt;&gt;"",$R$5,$R$6))</f>
        <v/>
      </c>
      <c r="Y46" s="27">
        <f>IF($W46="","",INDEX($S$9:$S$2008,$W46))</f>
        <v/>
      </c>
      <c r="Z46" s="27">
        <f>IF($W46="","",IFERROR(TRIM(LEFT(SUBSTITUTE(INDEX($A$9:$A$2008,$W46),CHAR(10)," "),SEARCH("Folio",SUBSTITUTE(INDEX($A$9:$A$2008,$W46),CHAR(10)," "))-1)),TRIM(SUBSTITUTE(INDEX($A$9:$A$2008,$W46),CHAR(10)," "))))</f>
        <v/>
      </c>
      <c r="AA46" s="27">
        <f>IF($W46="","",IFERROR(TRIM(SUBSTITUTE(MID(SUBSTITUTE(INDEX($A$9:$A$2008,$W46),CHAR(10)," "),SEARCH("Folio",SUBSTITUTE(INDEX($A$9:$A$2008,$W46),CHAR(10)," "))+5,200),":","")),""))</f>
        <v/>
      </c>
      <c r="AB46" s="28">
        <f>IF($W46="","",IF(ISNUMBER(INDEX($D$9:$D$2008,$W46)),INDEX($D$9:$D$2008,$W46),IFERROR(DATE(2000+VALUE(RIGHT(INDEX($D$9:$D$2008,$W46),2)),VALUE(MID(INDEX($D$9:$D$2008,$W46),4,2)),VALUE(LEFT(INDEX($D$9:$D$2008,$W46),2))),"")))</f>
        <v/>
      </c>
      <c r="AC46" s="29">
        <f>IF($W46="","",IFERROR(IF(ISNUMBER(INDEX($E$9:$E$2008,$W46)),INDEX($E$9:$E$2008,$W46),VALUE(SUBSTITUTE(INDEX($E$9:$E$2008,$W46),",",""))),""))</f>
        <v/>
      </c>
      <c r="AD46" s="29">
        <f>IF($W46="","",IFERROR(IF(ISNUMBER(INDEX($F$9:$F$2008,$W46)),INDEX($F$9:$F$2008,$W46),VALUE(SUBSTITUTE(INDEX($F$9:$F$2008,$W46),",",""))),""))</f>
        <v/>
      </c>
      <c r="AE46" s="29">
        <f>IF($W46="","",IFERROR(IF(ISNUMBER(INDEX($G$9:$G$2008,$W46)),INDEX($G$9:$G$2008,$W46),VALUE(SUBSTITUTE(INDEX($G$9:$G$2008,$W46),",",""))),""))</f>
        <v/>
      </c>
      <c r="AF46" s="29">
        <f>IF($W46="","",IFERROR(IF(ISNUMBER(INDEX($H$9:$H$2008,$W46)),INDEX($H$9:$H$2008,$W46),VALUE(SUBSTITUTE(INDEX($H$9:$H$2008,$W46),",",""))),""))</f>
        <v/>
      </c>
      <c r="AG46" s="29">
        <f>IF($W46="","",IFERROR(IF(ISNUMBER(INDEX($I$9:$I$2008,$W46)),INDEX($I$9:$I$2008,$W46),VALUE(SUBSTITUTE(INDEX($I$9:$I$2008,$W46),",",""))),""))</f>
        <v/>
      </c>
      <c r="AH46" s="29">
        <f>IF($W46="","",IFERROR(IF(ISNUMBER(INDEX($J$9:$J$2008,$W46)),INDEX($J$9:$J$2008,$W46),VALUE(SUBSTITUTE(INDEX($J$9:$J$2008,$W46),",",""))),""))</f>
        <v/>
      </c>
      <c r="AI46" s="29">
        <f>IF($W46="","",IFERROR(IF(ISNUMBER(INDEX($K$9:$K$2008,$W46)),INDEX($K$9:$K$2008,$W46),VALUE(SUBSTITUTE(INDEX($K$9:$K$2008,$W46),",",""))),""))</f>
        <v/>
      </c>
      <c r="AJ46" s="30">
        <f>IF($W46="","",IFERROR(IF(ISNUMBER(INDEX($L$9:$L$2008,$W46)),INDEX($L$9:$L$2008,$W46),VALUE(SUBSTITUTE(INDEX($L$9:$L$2008,$W46),",",""))),""))</f>
        <v/>
      </c>
      <c r="AK46" s="30">
        <f>IF($W46="","",IFERROR(IF(ISNUMBER(INDEX($M$9:$M$2008,$W46)),INDEX($M$9:$M$2008,$W46),VALUE(SUBSTITUTE(INDEX($M$9:$M$2008,$W46),",",""))),""))</f>
        <v/>
      </c>
      <c r="AL46" s="31">
        <f>IF($W46="","",IFERROR(IF(ISNUMBER(INDEX($P$9:$P$2008,$W46)),INDEX($P$9:$P$2008,$W46),VALUE(SUBSTITUTE(INDEX($P$9:$P$2008,$W46),"%",""))/100),""))</f>
        <v/>
      </c>
    </row>
    <row r="47">
      <c r="S47">
        <f>IF(AND(ISTEXT($A47),ISNUMBER(SEARCH(" - ",$A47)),ISERROR(SEARCH("Folio",$A47)),$D47=""),TRIM($A47),$S46)</f>
        <v/>
      </c>
      <c r="T47">
        <f>IF(AND(ISNUMBER(SEARCH("Folio",$A47)),$D47&lt;&gt;""),1,"")</f>
        <v/>
      </c>
      <c r="U47">
        <f>IF($T47=1,COUNTIF($T$9:$T47,1),"")</f>
        <v/>
      </c>
      <c r="V47">
        <f>IF(AND(ISTEXT($A47),LEFT($A48,3)="Pan"),1,"")</f>
        <v/>
      </c>
      <c r="W47" s="21">
        <f>IFERROR(MATCH(39,$U$9:$U$2008,0),"")</f>
        <v/>
      </c>
      <c r="X47" s="22">
        <f>IF($W47="","",IF($R$5&lt;&gt;"",$R$5,$R$6))</f>
        <v/>
      </c>
      <c r="Y47" s="22">
        <f>IF($W47="","",INDEX($S$9:$S$2008,$W47))</f>
        <v/>
      </c>
      <c r="Z47" s="22">
        <f>IF($W47="","",IFERROR(TRIM(LEFT(SUBSTITUTE(INDEX($A$9:$A$2008,$W47),CHAR(10)," "),SEARCH("Folio",SUBSTITUTE(INDEX($A$9:$A$2008,$W47),CHAR(10)," "))-1)),TRIM(SUBSTITUTE(INDEX($A$9:$A$2008,$W47),CHAR(10)," "))))</f>
        <v/>
      </c>
      <c r="AA47" s="22">
        <f>IF($W47="","",IFERROR(TRIM(SUBSTITUTE(MID(SUBSTITUTE(INDEX($A$9:$A$2008,$W47),CHAR(10)," "),SEARCH("Folio",SUBSTITUTE(INDEX($A$9:$A$2008,$W47),CHAR(10)," "))+5,200),":","")),""))</f>
        <v/>
      </c>
      <c r="AB47" s="23">
        <f>IF($W47="","",IF(ISNUMBER(INDEX($D$9:$D$2008,$W47)),INDEX($D$9:$D$2008,$W47),IFERROR(DATE(2000+VALUE(RIGHT(INDEX($D$9:$D$2008,$W47),2)),VALUE(MID(INDEX($D$9:$D$2008,$W47),4,2)),VALUE(LEFT(INDEX($D$9:$D$2008,$W47),2))),"")))</f>
        <v/>
      </c>
      <c r="AC47" s="24">
        <f>IF($W47="","",IFERROR(IF(ISNUMBER(INDEX($E$9:$E$2008,$W47)),INDEX($E$9:$E$2008,$W47),VALUE(SUBSTITUTE(INDEX($E$9:$E$2008,$W47),",",""))),""))</f>
        <v/>
      </c>
      <c r="AD47" s="24">
        <f>IF($W47="","",IFERROR(IF(ISNUMBER(INDEX($F$9:$F$2008,$W47)),INDEX($F$9:$F$2008,$W47),VALUE(SUBSTITUTE(INDEX($F$9:$F$2008,$W47),",",""))),""))</f>
        <v/>
      </c>
      <c r="AE47" s="24">
        <f>IF($W47="","",IFERROR(IF(ISNUMBER(INDEX($G$9:$G$2008,$W47)),INDEX($G$9:$G$2008,$W47),VALUE(SUBSTITUTE(INDEX($G$9:$G$2008,$W47),",",""))),""))</f>
        <v/>
      </c>
      <c r="AF47" s="24">
        <f>IF($W47="","",IFERROR(IF(ISNUMBER(INDEX($H$9:$H$2008,$W47)),INDEX($H$9:$H$2008,$W47),VALUE(SUBSTITUTE(INDEX($H$9:$H$2008,$W47),",",""))),""))</f>
        <v/>
      </c>
      <c r="AG47" s="24">
        <f>IF($W47="","",IFERROR(IF(ISNUMBER(INDEX($I$9:$I$2008,$W47)),INDEX($I$9:$I$2008,$W47),VALUE(SUBSTITUTE(INDEX($I$9:$I$2008,$W47),",",""))),""))</f>
        <v/>
      </c>
      <c r="AH47" s="24">
        <f>IF($W47="","",IFERROR(IF(ISNUMBER(INDEX($J$9:$J$2008,$W47)),INDEX($J$9:$J$2008,$W47),VALUE(SUBSTITUTE(INDEX($J$9:$J$2008,$W47),",",""))),""))</f>
        <v/>
      </c>
      <c r="AI47" s="24">
        <f>IF($W47="","",IFERROR(IF(ISNUMBER(INDEX($K$9:$K$2008,$W47)),INDEX($K$9:$K$2008,$W47),VALUE(SUBSTITUTE(INDEX($K$9:$K$2008,$W47),",",""))),""))</f>
        <v/>
      </c>
      <c r="AJ47" s="25">
        <f>IF($W47="","",IFERROR(IF(ISNUMBER(INDEX($L$9:$L$2008,$W47)),INDEX($L$9:$L$2008,$W47),VALUE(SUBSTITUTE(INDEX($L$9:$L$2008,$W47),",",""))),""))</f>
        <v/>
      </c>
      <c r="AK47" s="25">
        <f>IF($W47="","",IFERROR(IF(ISNUMBER(INDEX($M$9:$M$2008,$W47)),INDEX($M$9:$M$2008,$W47),VALUE(SUBSTITUTE(INDEX($M$9:$M$2008,$W47),",",""))),""))</f>
        <v/>
      </c>
      <c r="AL47" s="26">
        <f>IF($W47="","",IFERROR(IF(ISNUMBER(INDEX($P$9:$P$2008,$W47)),INDEX($P$9:$P$2008,$W47),VALUE(SUBSTITUTE(INDEX($P$9:$P$2008,$W47),"%",""))/100),""))</f>
        <v/>
      </c>
    </row>
    <row r="48">
      <c r="S48">
        <f>IF(AND(ISTEXT($A48),ISNUMBER(SEARCH(" - ",$A48)),ISERROR(SEARCH("Folio",$A48)),$D48=""),TRIM($A48),$S47)</f>
        <v/>
      </c>
      <c r="T48">
        <f>IF(AND(ISNUMBER(SEARCH("Folio",$A48)),$D48&lt;&gt;""),1,"")</f>
        <v/>
      </c>
      <c r="U48">
        <f>IF($T48=1,COUNTIF($T$9:$T48,1),"")</f>
        <v/>
      </c>
      <c r="V48">
        <f>IF(AND(ISTEXT($A48),LEFT($A49,3)="Pan"),1,"")</f>
        <v/>
      </c>
      <c r="W48" s="21">
        <f>IFERROR(MATCH(40,$U$9:$U$2008,0),"")</f>
        <v/>
      </c>
      <c r="X48" s="27">
        <f>IF($W48="","",IF($R$5&lt;&gt;"",$R$5,$R$6))</f>
        <v/>
      </c>
      <c r="Y48" s="27">
        <f>IF($W48="","",INDEX($S$9:$S$2008,$W48))</f>
        <v/>
      </c>
      <c r="Z48" s="27">
        <f>IF($W48="","",IFERROR(TRIM(LEFT(SUBSTITUTE(INDEX($A$9:$A$2008,$W48),CHAR(10)," "),SEARCH("Folio",SUBSTITUTE(INDEX($A$9:$A$2008,$W48),CHAR(10)," "))-1)),TRIM(SUBSTITUTE(INDEX($A$9:$A$2008,$W48),CHAR(10)," "))))</f>
        <v/>
      </c>
      <c r="AA48" s="27">
        <f>IF($W48="","",IFERROR(TRIM(SUBSTITUTE(MID(SUBSTITUTE(INDEX($A$9:$A$2008,$W48),CHAR(10)," "),SEARCH("Folio",SUBSTITUTE(INDEX($A$9:$A$2008,$W48),CHAR(10)," "))+5,200),":","")),""))</f>
        <v/>
      </c>
      <c r="AB48" s="28">
        <f>IF($W48="","",IF(ISNUMBER(INDEX($D$9:$D$2008,$W48)),INDEX($D$9:$D$2008,$W48),IFERROR(DATE(2000+VALUE(RIGHT(INDEX($D$9:$D$2008,$W48),2)),VALUE(MID(INDEX($D$9:$D$2008,$W48),4,2)),VALUE(LEFT(INDEX($D$9:$D$2008,$W48),2))),"")))</f>
        <v/>
      </c>
      <c r="AC48" s="29">
        <f>IF($W48="","",IFERROR(IF(ISNUMBER(INDEX($E$9:$E$2008,$W48)),INDEX($E$9:$E$2008,$W48),VALUE(SUBSTITUTE(INDEX($E$9:$E$2008,$W48),",",""))),""))</f>
        <v/>
      </c>
      <c r="AD48" s="29">
        <f>IF($W48="","",IFERROR(IF(ISNUMBER(INDEX($F$9:$F$2008,$W48)),INDEX($F$9:$F$2008,$W48),VALUE(SUBSTITUTE(INDEX($F$9:$F$2008,$W48),",",""))),""))</f>
        <v/>
      </c>
      <c r="AE48" s="29">
        <f>IF($W48="","",IFERROR(IF(ISNUMBER(INDEX($G$9:$G$2008,$W48)),INDEX($G$9:$G$2008,$W48),VALUE(SUBSTITUTE(INDEX($G$9:$G$2008,$W48),",",""))),""))</f>
        <v/>
      </c>
      <c r="AF48" s="29">
        <f>IF($W48="","",IFERROR(IF(ISNUMBER(INDEX($H$9:$H$2008,$W48)),INDEX($H$9:$H$2008,$W48),VALUE(SUBSTITUTE(INDEX($H$9:$H$2008,$W48),",",""))),""))</f>
        <v/>
      </c>
      <c r="AG48" s="29">
        <f>IF($W48="","",IFERROR(IF(ISNUMBER(INDEX($I$9:$I$2008,$W48)),INDEX($I$9:$I$2008,$W48),VALUE(SUBSTITUTE(INDEX($I$9:$I$2008,$W48),",",""))),""))</f>
        <v/>
      </c>
      <c r="AH48" s="29">
        <f>IF($W48="","",IFERROR(IF(ISNUMBER(INDEX($J$9:$J$2008,$W48)),INDEX($J$9:$J$2008,$W48),VALUE(SUBSTITUTE(INDEX($J$9:$J$2008,$W48),",",""))),""))</f>
        <v/>
      </c>
      <c r="AI48" s="29">
        <f>IF($W48="","",IFERROR(IF(ISNUMBER(INDEX($K$9:$K$2008,$W48)),INDEX($K$9:$K$2008,$W48),VALUE(SUBSTITUTE(INDEX($K$9:$K$2008,$W48),",",""))),""))</f>
        <v/>
      </c>
      <c r="AJ48" s="30">
        <f>IF($W48="","",IFERROR(IF(ISNUMBER(INDEX($L$9:$L$2008,$W48)),INDEX($L$9:$L$2008,$W48),VALUE(SUBSTITUTE(INDEX($L$9:$L$2008,$W48),",",""))),""))</f>
        <v/>
      </c>
      <c r="AK48" s="30">
        <f>IF($W48="","",IFERROR(IF(ISNUMBER(INDEX($M$9:$M$2008,$W48)),INDEX($M$9:$M$2008,$W48),VALUE(SUBSTITUTE(INDEX($M$9:$M$2008,$W48),",",""))),""))</f>
        <v/>
      </c>
      <c r="AL48" s="31">
        <f>IF($W48="","",IFERROR(IF(ISNUMBER(INDEX($P$9:$P$2008,$W48)),INDEX($P$9:$P$2008,$W48),VALUE(SUBSTITUTE(INDEX($P$9:$P$2008,$W48),"%",""))/100),""))</f>
        <v/>
      </c>
    </row>
    <row r="49">
      <c r="S49">
        <f>IF(AND(ISTEXT($A49),ISNUMBER(SEARCH(" - ",$A49)),ISERROR(SEARCH("Folio",$A49)),$D49=""),TRIM($A49),$S48)</f>
        <v/>
      </c>
      <c r="T49">
        <f>IF(AND(ISNUMBER(SEARCH("Folio",$A49)),$D49&lt;&gt;""),1,"")</f>
        <v/>
      </c>
      <c r="U49">
        <f>IF($T49=1,COUNTIF($T$9:$T49,1),"")</f>
        <v/>
      </c>
      <c r="V49">
        <f>IF(AND(ISTEXT($A49),LEFT($A50,3)="Pan"),1,"")</f>
        <v/>
      </c>
      <c r="W49" s="21">
        <f>IFERROR(MATCH(41,$U$9:$U$2008,0),"")</f>
        <v/>
      </c>
      <c r="X49" s="22">
        <f>IF($W49="","",IF($R$5&lt;&gt;"",$R$5,$R$6))</f>
        <v/>
      </c>
      <c r="Y49" s="22">
        <f>IF($W49="","",INDEX($S$9:$S$2008,$W49))</f>
        <v/>
      </c>
      <c r="Z49" s="22">
        <f>IF($W49="","",IFERROR(TRIM(LEFT(SUBSTITUTE(INDEX($A$9:$A$2008,$W49),CHAR(10)," "),SEARCH("Folio",SUBSTITUTE(INDEX($A$9:$A$2008,$W49),CHAR(10)," "))-1)),TRIM(SUBSTITUTE(INDEX($A$9:$A$2008,$W49),CHAR(10)," "))))</f>
        <v/>
      </c>
      <c r="AA49" s="22">
        <f>IF($W49="","",IFERROR(TRIM(SUBSTITUTE(MID(SUBSTITUTE(INDEX($A$9:$A$2008,$W49),CHAR(10)," "),SEARCH("Folio",SUBSTITUTE(INDEX($A$9:$A$2008,$W49),CHAR(10)," "))+5,200),":","")),""))</f>
        <v/>
      </c>
      <c r="AB49" s="23">
        <f>IF($W49="","",IF(ISNUMBER(INDEX($D$9:$D$2008,$W49)),INDEX($D$9:$D$2008,$W49),IFERROR(DATE(2000+VALUE(RIGHT(INDEX($D$9:$D$2008,$W49),2)),VALUE(MID(INDEX($D$9:$D$2008,$W49),4,2)),VALUE(LEFT(INDEX($D$9:$D$2008,$W49),2))),"")))</f>
        <v/>
      </c>
      <c r="AC49" s="24">
        <f>IF($W49="","",IFERROR(IF(ISNUMBER(INDEX($E$9:$E$2008,$W49)),INDEX($E$9:$E$2008,$W49),VALUE(SUBSTITUTE(INDEX($E$9:$E$2008,$W49),",",""))),""))</f>
        <v/>
      </c>
      <c r="AD49" s="24">
        <f>IF($W49="","",IFERROR(IF(ISNUMBER(INDEX($F$9:$F$2008,$W49)),INDEX($F$9:$F$2008,$W49),VALUE(SUBSTITUTE(INDEX($F$9:$F$2008,$W49),",",""))),""))</f>
        <v/>
      </c>
      <c r="AE49" s="24">
        <f>IF($W49="","",IFERROR(IF(ISNUMBER(INDEX($G$9:$G$2008,$W49)),INDEX($G$9:$G$2008,$W49),VALUE(SUBSTITUTE(INDEX($G$9:$G$2008,$W49),",",""))),""))</f>
        <v/>
      </c>
      <c r="AF49" s="24">
        <f>IF($W49="","",IFERROR(IF(ISNUMBER(INDEX($H$9:$H$2008,$W49)),INDEX($H$9:$H$2008,$W49),VALUE(SUBSTITUTE(INDEX($H$9:$H$2008,$W49),",",""))),""))</f>
        <v/>
      </c>
      <c r="AG49" s="24">
        <f>IF($W49="","",IFERROR(IF(ISNUMBER(INDEX($I$9:$I$2008,$W49)),INDEX($I$9:$I$2008,$W49),VALUE(SUBSTITUTE(INDEX($I$9:$I$2008,$W49),",",""))),""))</f>
        <v/>
      </c>
      <c r="AH49" s="24">
        <f>IF($W49="","",IFERROR(IF(ISNUMBER(INDEX($J$9:$J$2008,$W49)),INDEX($J$9:$J$2008,$W49),VALUE(SUBSTITUTE(INDEX($J$9:$J$2008,$W49),",",""))),""))</f>
        <v/>
      </c>
      <c r="AI49" s="24">
        <f>IF($W49="","",IFERROR(IF(ISNUMBER(INDEX($K$9:$K$2008,$W49)),INDEX($K$9:$K$2008,$W49),VALUE(SUBSTITUTE(INDEX($K$9:$K$2008,$W49),",",""))),""))</f>
        <v/>
      </c>
      <c r="AJ49" s="25">
        <f>IF($W49="","",IFERROR(IF(ISNUMBER(INDEX($L$9:$L$2008,$W49)),INDEX($L$9:$L$2008,$W49),VALUE(SUBSTITUTE(INDEX($L$9:$L$2008,$W49),",",""))),""))</f>
        <v/>
      </c>
      <c r="AK49" s="25">
        <f>IF($W49="","",IFERROR(IF(ISNUMBER(INDEX($M$9:$M$2008,$W49)),INDEX($M$9:$M$2008,$W49),VALUE(SUBSTITUTE(INDEX($M$9:$M$2008,$W49),",",""))),""))</f>
        <v/>
      </c>
      <c r="AL49" s="26">
        <f>IF($W49="","",IFERROR(IF(ISNUMBER(INDEX($P$9:$P$2008,$W49)),INDEX($P$9:$P$2008,$W49),VALUE(SUBSTITUTE(INDEX($P$9:$P$2008,$W49),"%",""))/100),""))</f>
        <v/>
      </c>
    </row>
    <row r="50">
      <c r="S50">
        <f>IF(AND(ISTEXT($A50),ISNUMBER(SEARCH(" - ",$A50)),ISERROR(SEARCH("Folio",$A50)),$D50=""),TRIM($A50),$S49)</f>
        <v/>
      </c>
      <c r="T50">
        <f>IF(AND(ISNUMBER(SEARCH("Folio",$A50)),$D50&lt;&gt;""),1,"")</f>
        <v/>
      </c>
      <c r="U50">
        <f>IF($T50=1,COUNTIF($T$9:$T50,1),"")</f>
        <v/>
      </c>
      <c r="V50">
        <f>IF(AND(ISTEXT($A50),LEFT($A51,3)="Pan"),1,"")</f>
        <v/>
      </c>
      <c r="W50" s="21">
        <f>IFERROR(MATCH(42,$U$9:$U$2008,0),"")</f>
        <v/>
      </c>
      <c r="X50" s="27">
        <f>IF($W50="","",IF($R$5&lt;&gt;"",$R$5,$R$6))</f>
        <v/>
      </c>
      <c r="Y50" s="27">
        <f>IF($W50="","",INDEX($S$9:$S$2008,$W50))</f>
        <v/>
      </c>
      <c r="Z50" s="27">
        <f>IF($W50="","",IFERROR(TRIM(LEFT(SUBSTITUTE(INDEX($A$9:$A$2008,$W50),CHAR(10)," "),SEARCH("Folio",SUBSTITUTE(INDEX($A$9:$A$2008,$W50),CHAR(10)," "))-1)),TRIM(SUBSTITUTE(INDEX($A$9:$A$2008,$W50),CHAR(10)," "))))</f>
        <v/>
      </c>
      <c r="AA50" s="27">
        <f>IF($W50="","",IFERROR(TRIM(SUBSTITUTE(MID(SUBSTITUTE(INDEX($A$9:$A$2008,$W50),CHAR(10)," "),SEARCH("Folio",SUBSTITUTE(INDEX($A$9:$A$2008,$W50),CHAR(10)," "))+5,200),":","")),""))</f>
        <v/>
      </c>
      <c r="AB50" s="28">
        <f>IF($W50="","",IF(ISNUMBER(INDEX($D$9:$D$2008,$W50)),INDEX($D$9:$D$2008,$W50),IFERROR(DATE(2000+VALUE(RIGHT(INDEX($D$9:$D$2008,$W50),2)),VALUE(MID(INDEX($D$9:$D$2008,$W50),4,2)),VALUE(LEFT(INDEX($D$9:$D$2008,$W50),2))),"")))</f>
        <v/>
      </c>
      <c r="AC50" s="29">
        <f>IF($W50="","",IFERROR(IF(ISNUMBER(INDEX($E$9:$E$2008,$W50)),INDEX($E$9:$E$2008,$W50),VALUE(SUBSTITUTE(INDEX($E$9:$E$2008,$W50),",",""))),""))</f>
        <v/>
      </c>
      <c r="AD50" s="29">
        <f>IF($W50="","",IFERROR(IF(ISNUMBER(INDEX($F$9:$F$2008,$W50)),INDEX($F$9:$F$2008,$W50),VALUE(SUBSTITUTE(INDEX($F$9:$F$2008,$W50),",",""))),""))</f>
        <v/>
      </c>
      <c r="AE50" s="29">
        <f>IF($W50="","",IFERROR(IF(ISNUMBER(INDEX($G$9:$G$2008,$W50)),INDEX($G$9:$G$2008,$W50),VALUE(SUBSTITUTE(INDEX($G$9:$G$2008,$W50),",",""))),""))</f>
        <v/>
      </c>
      <c r="AF50" s="29">
        <f>IF($W50="","",IFERROR(IF(ISNUMBER(INDEX($H$9:$H$2008,$W50)),INDEX($H$9:$H$2008,$W50),VALUE(SUBSTITUTE(INDEX($H$9:$H$2008,$W50),",",""))),""))</f>
        <v/>
      </c>
      <c r="AG50" s="29">
        <f>IF($W50="","",IFERROR(IF(ISNUMBER(INDEX($I$9:$I$2008,$W50)),INDEX($I$9:$I$2008,$W50),VALUE(SUBSTITUTE(INDEX($I$9:$I$2008,$W50),",",""))),""))</f>
        <v/>
      </c>
      <c r="AH50" s="29">
        <f>IF($W50="","",IFERROR(IF(ISNUMBER(INDEX($J$9:$J$2008,$W50)),INDEX($J$9:$J$2008,$W50),VALUE(SUBSTITUTE(INDEX($J$9:$J$2008,$W50),",",""))),""))</f>
        <v/>
      </c>
      <c r="AI50" s="29">
        <f>IF($W50="","",IFERROR(IF(ISNUMBER(INDEX($K$9:$K$2008,$W50)),INDEX($K$9:$K$2008,$W50),VALUE(SUBSTITUTE(INDEX($K$9:$K$2008,$W50),",",""))),""))</f>
        <v/>
      </c>
      <c r="AJ50" s="30">
        <f>IF($W50="","",IFERROR(IF(ISNUMBER(INDEX($L$9:$L$2008,$W50)),INDEX($L$9:$L$2008,$W50),VALUE(SUBSTITUTE(INDEX($L$9:$L$2008,$W50),",",""))),""))</f>
        <v/>
      </c>
      <c r="AK50" s="30">
        <f>IF($W50="","",IFERROR(IF(ISNUMBER(INDEX($M$9:$M$2008,$W50)),INDEX($M$9:$M$2008,$W50),VALUE(SUBSTITUTE(INDEX($M$9:$M$2008,$W50),",",""))),""))</f>
        <v/>
      </c>
      <c r="AL50" s="31">
        <f>IF($W50="","",IFERROR(IF(ISNUMBER(INDEX($P$9:$P$2008,$W50)),INDEX($P$9:$P$2008,$W50),VALUE(SUBSTITUTE(INDEX($P$9:$P$2008,$W50),"%",""))/100),""))</f>
        <v/>
      </c>
    </row>
    <row r="51">
      <c r="S51">
        <f>IF(AND(ISTEXT($A51),ISNUMBER(SEARCH(" - ",$A51)),ISERROR(SEARCH("Folio",$A51)),$D51=""),TRIM($A51),$S50)</f>
        <v/>
      </c>
      <c r="T51">
        <f>IF(AND(ISNUMBER(SEARCH("Folio",$A51)),$D51&lt;&gt;""),1,"")</f>
        <v/>
      </c>
      <c r="U51">
        <f>IF($T51=1,COUNTIF($T$9:$T51,1),"")</f>
        <v/>
      </c>
      <c r="V51">
        <f>IF(AND(ISTEXT($A51),LEFT($A52,3)="Pan"),1,"")</f>
        <v/>
      </c>
      <c r="W51" s="21">
        <f>IFERROR(MATCH(43,$U$9:$U$2008,0),"")</f>
        <v/>
      </c>
      <c r="X51" s="22">
        <f>IF($W51="","",IF($R$5&lt;&gt;"",$R$5,$R$6))</f>
        <v/>
      </c>
      <c r="Y51" s="22">
        <f>IF($W51="","",INDEX($S$9:$S$2008,$W51))</f>
        <v/>
      </c>
      <c r="Z51" s="22">
        <f>IF($W51="","",IFERROR(TRIM(LEFT(SUBSTITUTE(INDEX($A$9:$A$2008,$W51),CHAR(10)," "),SEARCH("Folio",SUBSTITUTE(INDEX($A$9:$A$2008,$W51),CHAR(10)," "))-1)),TRIM(SUBSTITUTE(INDEX($A$9:$A$2008,$W51),CHAR(10)," "))))</f>
        <v/>
      </c>
      <c r="AA51" s="22">
        <f>IF($W51="","",IFERROR(TRIM(SUBSTITUTE(MID(SUBSTITUTE(INDEX($A$9:$A$2008,$W51),CHAR(10)," "),SEARCH("Folio",SUBSTITUTE(INDEX($A$9:$A$2008,$W51),CHAR(10)," "))+5,200),":","")),""))</f>
        <v/>
      </c>
      <c r="AB51" s="23">
        <f>IF($W51="","",IF(ISNUMBER(INDEX($D$9:$D$2008,$W51)),INDEX($D$9:$D$2008,$W51),IFERROR(DATE(2000+VALUE(RIGHT(INDEX($D$9:$D$2008,$W51),2)),VALUE(MID(INDEX($D$9:$D$2008,$W51),4,2)),VALUE(LEFT(INDEX($D$9:$D$2008,$W51),2))),"")))</f>
        <v/>
      </c>
      <c r="AC51" s="24">
        <f>IF($W51="","",IFERROR(IF(ISNUMBER(INDEX($E$9:$E$2008,$W51)),INDEX($E$9:$E$2008,$W51),VALUE(SUBSTITUTE(INDEX($E$9:$E$2008,$W51),",",""))),""))</f>
        <v/>
      </c>
      <c r="AD51" s="24">
        <f>IF($W51="","",IFERROR(IF(ISNUMBER(INDEX($F$9:$F$2008,$W51)),INDEX($F$9:$F$2008,$W51),VALUE(SUBSTITUTE(INDEX($F$9:$F$2008,$W51),",",""))),""))</f>
        <v/>
      </c>
      <c r="AE51" s="24">
        <f>IF($W51="","",IFERROR(IF(ISNUMBER(INDEX($G$9:$G$2008,$W51)),INDEX($G$9:$G$2008,$W51),VALUE(SUBSTITUTE(INDEX($G$9:$G$2008,$W51),",",""))),""))</f>
        <v/>
      </c>
      <c r="AF51" s="24">
        <f>IF($W51="","",IFERROR(IF(ISNUMBER(INDEX($H$9:$H$2008,$W51)),INDEX($H$9:$H$2008,$W51),VALUE(SUBSTITUTE(INDEX($H$9:$H$2008,$W51),",",""))),""))</f>
        <v/>
      </c>
      <c r="AG51" s="24">
        <f>IF($W51="","",IFERROR(IF(ISNUMBER(INDEX($I$9:$I$2008,$W51)),INDEX($I$9:$I$2008,$W51),VALUE(SUBSTITUTE(INDEX($I$9:$I$2008,$W51),",",""))),""))</f>
        <v/>
      </c>
      <c r="AH51" s="24">
        <f>IF($W51="","",IFERROR(IF(ISNUMBER(INDEX($J$9:$J$2008,$W51)),INDEX($J$9:$J$2008,$W51),VALUE(SUBSTITUTE(INDEX($J$9:$J$2008,$W51),",",""))),""))</f>
        <v/>
      </c>
      <c r="AI51" s="24">
        <f>IF($W51="","",IFERROR(IF(ISNUMBER(INDEX($K$9:$K$2008,$W51)),INDEX($K$9:$K$2008,$W51),VALUE(SUBSTITUTE(INDEX($K$9:$K$2008,$W51),",",""))),""))</f>
        <v/>
      </c>
      <c r="AJ51" s="25">
        <f>IF($W51="","",IFERROR(IF(ISNUMBER(INDEX($L$9:$L$2008,$W51)),INDEX($L$9:$L$2008,$W51),VALUE(SUBSTITUTE(INDEX($L$9:$L$2008,$W51),",",""))),""))</f>
        <v/>
      </c>
      <c r="AK51" s="25">
        <f>IF($W51="","",IFERROR(IF(ISNUMBER(INDEX($M$9:$M$2008,$W51)),INDEX($M$9:$M$2008,$W51),VALUE(SUBSTITUTE(INDEX($M$9:$M$2008,$W51),",",""))),""))</f>
        <v/>
      </c>
      <c r="AL51" s="26">
        <f>IF($W51="","",IFERROR(IF(ISNUMBER(INDEX($P$9:$P$2008,$W51)),INDEX($P$9:$P$2008,$W51),VALUE(SUBSTITUTE(INDEX($P$9:$P$2008,$W51),"%",""))/100),""))</f>
        <v/>
      </c>
    </row>
    <row r="52">
      <c r="S52">
        <f>IF(AND(ISTEXT($A52),ISNUMBER(SEARCH(" - ",$A52)),ISERROR(SEARCH("Folio",$A52)),$D52=""),TRIM($A52),$S51)</f>
        <v/>
      </c>
      <c r="T52">
        <f>IF(AND(ISNUMBER(SEARCH("Folio",$A52)),$D52&lt;&gt;""),1,"")</f>
        <v/>
      </c>
      <c r="U52">
        <f>IF($T52=1,COUNTIF($T$9:$T52,1),"")</f>
        <v/>
      </c>
      <c r="V52">
        <f>IF(AND(ISTEXT($A52),LEFT($A53,3)="Pan"),1,"")</f>
        <v/>
      </c>
      <c r="W52" s="21">
        <f>IFERROR(MATCH(44,$U$9:$U$2008,0),"")</f>
        <v/>
      </c>
      <c r="X52" s="27">
        <f>IF($W52="","",IF($R$5&lt;&gt;"",$R$5,$R$6))</f>
        <v/>
      </c>
      <c r="Y52" s="27">
        <f>IF($W52="","",INDEX($S$9:$S$2008,$W52))</f>
        <v/>
      </c>
      <c r="Z52" s="27">
        <f>IF($W52="","",IFERROR(TRIM(LEFT(SUBSTITUTE(INDEX($A$9:$A$2008,$W52),CHAR(10)," "),SEARCH("Folio",SUBSTITUTE(INDEX($A$9:$A$2008,$W52),CHAR(10)," "))-1)),TRIM(SUBSTITUTE(INDEX($A$9:$A$2008,$W52),CHAR(10)," "))))</f>
        <v/>
      </c>
      <c r="AA52" s="27">
        <f>IF($W52="","",IFERROR(TRIM(SUBSTITUTE(MID(SUBSTITUTE(INDEX($A$9:$A$2008,$W52),CHAR(10)," "),SEARCH("Folio",SUBSTITUTE(INDEX($A$9:$A$2008,$W52),CHAR(10)," "))+5,200),":","")),""))</f>
        <v/>
      </c>
      <c r="AB52" s="28">
        <f>IF($W52="","",IF(ISNUMBER(INDEX($D$9:$D$2008,$W52)),INDEX($D$9:$D$2008,$W52),IFERROR(DATE(2000+VALUE(RIGHT(INDEX($D$9:$D$2008,$W52),2)),VALUE(MID(INDEX($D$9:$D$2008,$W52),4,2)),VALUE(LEFT(INDEX($D$9:$D$2008,$W52),2))),"")))</f>
        <v/>
      </c>
      <c r="AC52" s="29">
        <f>IF($W52="","",IFERROR(IF(ISNUMBER(INDEX($E$9:$E$2008,$W52)),INDEX($E$9:$E$2008,$W52),VALUE(SUBSTITUTE(INDEX($E$9:$E$2008,$W52),",",""))),""))</f>
        <v/>
      </c>
      <c r="AD52" s="29">
        <f>IF($W52="","",IFERROR(IF(ISNUMBER(INDEX($F$9:$F$2008,$W52)),INDEX($F$9:$F$2008,$W52),VALUE(SUBSTITUTE(INDEX($F$9:$F$2008,$W52),",",""))),""))</f>
        <v/>
      </c>
      <c r="AE52" s="29">
        <f>IF($W52="","",IFERROR(IF(ISNUMBER(INDEX($G$9:$G$2008,$W52)),INDEX($G$9:$G$2008,$W52),VALUE(SUBSTITUTE(INDEX($G$9:$G$2008,$W52),",",""))),""))</f>
        <v/>
      </c>
      <c r="AF52" s="29">
        <f>IF($W52="","",IFERROR(IF(ISNUMBER(INDEX($H$9:$H$2008,$W52)),INDEX($H$9:$H$2008,$W52),VALUE(SUBSTITUTE(INDEX($H$9:$H$2008,$W52),",",""))),""))</f>
        <v/>
      </c>
      <c r="AG52" s="29">
        <f>IF($W52="","",IFERROR(IF(ISNUMBER(INDEX($I$9:$I$2008,$W52)),INDEX($I$9:$I$2008,$W52),VALUE(SUBSTITUTE(INDEX($I$9:$I$2008,$W52),",",""))),""))</f>
        <v/>
      </c>
      <c r="AH52" s="29">
        <f>IF($W52="","",IFERROR(IF(ISNUMBER(INDEX($J$9:$J$2008,$W52)),INDEX($J$9:$J$2008,$W52),VALUE(SUBSTITUTE(INDEX($J$9:$J$2008,$W52),",",""))),""))</f>
        <v/>
      </c>
      <c r="AI52" s="29">
        <f>IF($W52="","",IFERROR(IF(ISNUMBER(INDEX($K$9:$K$2008,$W52)),INDEX($K$9:$K$2008,$W52),VALUE(SUBSTITUTE(INDEX($K$9:$K$2008,$W52),",",""))),""))</f>
        <v/>
      </c>
      <c r="AJ52" s="30">
        <f>IF($W52="","",IFERROR(IF(ISNUMBER(INDEX($L$9:$L$2008,$W52)),INDEX($L$9:$L$2008,$W52),VALUE(SUBSTITUTE(INDEX($L$9:$L$2008,$W52),",",""))),""))</f>
        <v/>
      </c>
      <c r="AK52" s="30">
        <f>IF($W52="","",IFERROR(IF(ISNUMBER(INDEX($M$9:$M$2008,$W52)),INDEX($M$9:$M$2008,$W52),VALUE(SUBSTITUTE(INDEX($M$9:$M$2008,$W52),",",""))),""))</f>
        <v/>
      </c>
      <c r="AL52" s="31">
        <f>IF($W52="","",IFERROR(IF(ISNUMBER(INDEX($P$9:$P$2008,$W52)),INDEX($P$9:$P$2008,$W52),VALUE(SUBSTITUTE(INDEX($P$9:$P$2008,$W52),"%",""))/100),""))</f>
        <v/>
      </c>
    </row>
    <row r="53">
      <c r="S53">
        <f>IF(AND(ISTEXT($A53),ISNUMBER(SEARCH(" - ",$A53)),ISERROR(SEARCH("Folio",$A53)),$D53=""),TRIM($A53),$S52)</f>
        <v/>
      </c>
      <c r="T53">
        <f>IF(AND(ISNUMBER(SEARCH("Folio",$A53)),$D53&lt;&gt;""),1,"")</f>
        <v/>
      </c>
      <c r="U53">
        <f>IF($T53=1,COUNTIF($T$9:$T53,1),"")</f>
        <v/>
      </c>
      <c r="V53">
        <f>IF(AND(ISTEXT($A53),LEFT($A54,3)="Pan"),1,"")</f>
        <v/>
      </c>
      <c r="W53" s="21">
        <f>IFERROR(MATCH(45,$U$9:$U$2008,0),"")</f>
        <v/>
      </c>
      <c r="X53" s="22">
        <f>IF($W53="","",IF($R$5&lt;&gt;"",$R$5,$R$6))</f>
        <v/>
      </c>
      <c r="Y53" s="22">
        <f>IF($W53="","",INDEX($S$9:$S$2008,$W53))</f>
        <v/>
      </c>
      <c r="Z53" s="22">
        <f>IF($W53="","",IFERROR(TRIM(LEFT(SUBSTITUTE(INDEX($A$9:$A$2008,$W53),CHAR(10)," "),SEARCH("Folio",SUBSTITUTE(INDEX($A$9:$A$2008,$W53),CHAR(10)," "))-1)),TRIM(SUBSTITUTE(INDEX($A$9:$A$2008,$W53),CHAR(10)," "))))</f>
        <v/>
      </c>
      <c r="AA53" s="22">
        <f>IF($W53="","",IFERROR(TRIM(SUBSTITUTE(MID(SUBSTITUTE(INDEX($A$9:$A$2008,$W53),CHAR(10)," "),SEARCH("Folio",SUBSTITUTE(INDEX($A$9:$A$2008,$W53),CHAR(10)," "))+5,200),":","")),""))</f>
        <v/>
      </c>
      <c r="AB53" s="23">
        <f>IF($W53="","",IF(ISNUMBER(INDEX($D$9:$D$2008,$W53)),INDEX($D$9:$D$2008,$W53),IFERROR(DATE(2000+VALUE(RIGHT(INDEX($D$9:$D$2008,$W53),2)),VALUE(MID(INDEX($D$9:$D$2008,$W53),4,2)),VALUE(LEFT(INDEX($D$9:$D$2008,$W53),2))),"")))</f>
        <v/>
      </c>
      <c r="AC53" s="24">
        <f>IF($W53="","",IFERROR(IF(ISNUMBER(INDEX($E$9:$E$2008,$W53)),INDEX($E$9:$E$2008,$W53),VALUE(SUBSTITUTE(INDEX($E$9:$E$2008,$W53),",",""))),""))</f>
        <v/>
      </c>
      <c r="AD53" s="24">
        <f>IF($W53="","",IFERROR(IF(ISNUMBER(INDEX($F$9:$F$2008,$W53)),INDEX($F$9:$F$2008,$W53),VALUE(SUBSTITUTE(INDEX($F$9:$F$2008,$W53),",",""))),""))</f>
        <v/>
      </c>
      <c r="AE53" s="24">
        <f>IF($W53="","",IFERROR(IF(ISNUMBER(INDEX($G$9:$G$2008,$W53)),INDEX($G$9:$G$2008,$W53),VALUE(SUBSTITUTE(INDEX($G$9:$G$2008,$W53),",",""))),""))</f>
        <v/>
      </c>
      <c r="AF53" s="24">
        <f>IF($W53="","",IFERROR(IF(ISNUMBER(INDEX($H$9:$H$2008,$W53)),INDEX($H$9:$H$2008,$W53),VALUE(SUBSTITUTE(INDEX($H$9:$H$2008,$W53),",",""))),""))</f>
        <v/>
      </c>
      <c r="AG53" s="24">
        <f>IF($W53="","",IFERROR(IF(ISNUMBER(INDEX($I$9:$I$2008,$W53)),INDEX($I$9:$I$2008,$W53),VALUE(SUBSTITUTE(INDEX($I$9:$I$2008,$W53),",",""))),""))</f>
        <v/>
      </c>
      <c r="AH53" s="24">
        <f>IF($W53="","",IFERROR(IF(ISNUMBER(INDEX($J$9:$J$2008,$W53)),INDEX($J$9:$J$2008,$W53),VALUE(SUBSTITUTE(INDEX($J$9:$J$2008,$W53),",",""))),""))</f>
        <v/>
      </c>
      <c r="AI53" s="24">
        <f>IF($W53="","",IFERROR(IF(ISNUMBER(INDEX($K$9:$K$2008,$W53)),INDEX($K$9:$K$2008,$W53),VALUE(SUBSTITUTE(INDEX($K$9:$K$2008,$W53),",",""))),""))</f>
        <v/>
      </c>
      <c r="AJ53" s="25">
        <f>IF($W53="","",IFERROR(IF(ISNUMBER(INDEX($L$9:$L$2008,$W53)),INDEX($L$9:$L$2008,$W53),VALUE(SUBSTITUTE(INDEX($L$9:$L$2008,$W53),",",""))),""))</f>
        <v/>
      </c>
      <c r="AK53" s="25">
        <f>IF($W53="","",IFERROR(IF(ISNUMBER(INDEX($M$9:$M$2008,$W53)),INDEX($M$9:$M$2008,$W53),VALUE(SUBSTITUTE(INDEX($M$9:$M$2008,$W53),",",""))),""))</f>
        <v/>
      </c>
      <c r="AL53" s="26">
        <f>IF($W53="","",IFERROR(IF(ISNUMBER(INDEX($P$9:$P$2008,$W53)),INDEX($P$9:$P$2008,$W53),VALUE(SUBSTITUTE(INDEX($P$9:$P$2008,$W53),"%",""))/100),""))</f>
        <v/>
      </c>
    </row>
    <row r="54">
      <c r="S54">
        <f>IF(AND(ISTEXT($A54),ISNUMBER(SEARCH(" - ",$A54)),ISERROR(SEARCH("Folio",$A54)),$D54=""),TRIM($A54),$S53)</f>
        <v/>
      </c>
      <c r="T54">
        <f>IF(AND(ISNUMBER(SEARCH("Folio",$A54)),$D54&lt;&gt;""),1,"")</f>
        <v/>
      </c>
      <c r="U54">
        <f>IF($T54=1,COUNTIF($T$9:$T54,1),"")</f>
        <v/>
      </c>
      <c r="V54">
        <f>IF(AND(ISTEXT($A54),LEFT($A55,3)="Pan"),1,"")</f>
        <v/>
      </c>
      <c r="W54" s="21">
        <f>IFERROR(MATCH(46,$U$9:$U$2008,0),"")</f>
        <v/>
      </c>
      <c r="X54" s="27">
        <f>IF($W54="","",IF($R$5&lt;&gt;"",$R$5,$R$6))</f>
        <v/>
      </c>
      <c r="Y54" s="27">
        <f>IF($W54="","",INDEX($S$9:$S$2008,$W54))</f>
        <v/>
      </c>
      <c r="Z54" s="27">
        <f>IF($W54="","",IFERROR(TRIM(LEFT(SUBSTITUTE(INDEX($A$9:$A$2008,$W54),CHAR(10)," "),SEARCH("Folio",SUBSTITUTE(INDEX($A$9:$A$2008,$W54),CHAR(10)," "))-1)),TRIM(SUBSTITUTE(INDEX($A$9:$A$2008,$W54),CHAR(10)," "))))</f>
        <v/>
      </c>
      <c r="AA54" s="27">
        <f>IF($W54="","",IFERROR(TRIM(SUBSTITUTE(MID(SUBSTITUTE(INDEX($A$9:$A$2008,$W54),CHAR(10)," "),SEARCH("Folio",SUBSTITUTE(INDEX($A$9:$A$2008,$W54),CHAR(10)," "))+5,200),":","")),""))</f>
        <v/>
      </c>
      <c r="AB54" s="28">
        <f>IF($W54="","",IF(ISNUMBER(INDEX($D$9:$D$2008,$W54)),INDEX($D$9:$D$2008,$W54),IFERROR(DATE(2000+VALUE(RIGHT(INDEX($D$9:$D$2008,$W54),2)),VALUE(MID(INDEX($D$9:$D$2008,$W54),4,2)),VALUE(LEFT(INDEX($D$9:$D$2008,$W54),2))),"")))</f>
        <v/>
      </c>
      <c r="AC54" s="29">
        <f>IF($W54="","",IFERROR(IF(ISNUMBER(INDEX($E$9:$E$2008,$W54)),INDEX($E$9:$E$2008,$W54),VALUE(SUBSTITUTE(INDEX($E$9:$E$2008,$W54),",",""))),""))</f>
        <v/>
      </c>
      <c r="AD54" s="29">
        <f>IF($W54="","",IFERROR(IF(ISNUMBER(INDEX($F$9:$F$2008,$W54)),INDEX($F$9:$F$2008,$W54),VALUE(SUBSTITUTE(INDEX($F$9:$F$2008,$W54),",",""))),""))</f>
        <v/>
      </c>
      <c r="AE54" s="29">
        <f>IF($W54="","",IFERROR(IF(ISNUMBER(INDEX($G$9:$G$2008,$W54)),INDEX($G$9:$G$2008,$W54),VALUE(SUBSTITUTE(INDEX($G$9:$G$2008,$W54),",",""))),""))</f>
        <v/>
      </c>
      <c r="AF54" s="29">
        <f>IF($W54="","",IFERROR(IF(ISNUMBER(INDEX($H$9:$H$2008,$W54)),INDEX($H$9:$H$2008,$W54),VALUE(SUBSTITUTE(INDEX($H$9:$H$2008,$W54),",",""))),""))</f>
        <v/>
      </c>
      <c r="AG54" s="29">
        <f>IF($W54="","",IFERROR(IF(ISNUMBER(INDEX($I$9:$I$2008,$W54)),INDEX($I$9:$I$2008,$W54),VALUE(SUBSTITUTE(INDEX($I$9:$I$2008,$W54),",",""))),""))</f>
        <v/>
      </c>
      <c r="AH54" s="29">
        <f>IF($W54="","",IFERROR(IF(ISNUMBER(INDEX($J$9:$J$2008,$W54)),INDEX($J$9:$J$2008,$W54),VALUE(SUBSTITUTE(INDEX($J$9:$J$2008,$W54),",",""))),""))</f>
        <v/>
      </c>
      <c r="AI54" s="29">
        <f>IF($W54="","",IFERROR(IF(ISNUMBER(INDEX($K$9:$K$2008,$W54)),INDEX($K$9:$K$2008,$W54),VALUE(SUBSTITUTE(INDEX($K$9:$K$2008,$W54),",",""))),""))</f>
        <v/>
      </c>
      <c r="AJ54" s="30">
        <f>IF($W54="","",IFERROR(IF(ISNUMBER(INDEX($L$9:$L$2008,$W54)),INDEX($L$9:$L$2008,$W54),VALUE(SUBSTITUTE(INDEX($L$9:$L$2008,$W54),",",""))),""))</f>
        <v/>
      </c>
      <c r="AK54" s="30">
        <f>IF($W54="","",IFERROR(IF(ISNUMBER(INDEX($M$9:$M$2008,$W54)),INDEX($M$9:$M$2008,$W54),VALUE(SUBSTITUTE(INDEX($M$9:$M$2008,$W54),",",""))),""))</f>
        <v/>
      </c>
      <c r="AL54" s="31">
        <f>IF($W54="","",IFERROR(IF(ISNUMBER(INDEX($P$9:$P$2008,$W54)),INDEX($P$9:$P$2008,$W54),VALUE(SUBSTITUTE(INDEX($P$9:$P$2008,$W54),"%",""))/100),""))</f>
        <v/>
      </c>
    </row>
    <row r="55">
      <c r="S55">
        <f>IF(AND(ISTEXT($A55),ISNUMBER(SEARCH(" - ",$A55)),ISERROR(SEARCH("Folio",$A55)),$D55=""),TRIM($A55),$S54)</f>
        <v/>
      </c>
      <c r="T55">
        <f>IF(AND(ISNUMBER(SEARCH("Folio",$A55)),$D55&lt;&gt;""),1,"")</f>
        <v/>
      </c>
      <c r="U55">
        <f>IF($T55=1,COUNTIF($T$9:$T55,1),"")</f>
        <v/>
      </c>
      <c r="V55">
        <f>IF(AND(ISTEXT($A55),LEFT($A56,3)="Pan"),1,"")</f>
        <v/>
      </c>
      <c r="W55" s="21">
        <f>IFERROR(MATCH(47,$U$9:$U$2008,0),"")</f>
        <v/>
      </c>
      <c r="X55" s="22">
        <f>IF($W55="","",IF($R$5&lt;&gt;"",$R$5,$R$6))</f>
        <v/>
      </c>
      <c r="Y55" s="22">
        <f>IF($W55="","",INDEX($S$9:$S$2008,$W55))</f>
        <v/>
      </c>
      <c r="Z55" s="22">
        <f>IF($W55="","",IFERROR(TRIM(LEFT(SUBSTITUTE(INDEX($A$9:$A$2008,$W55),CHAR(10)," "),SEARCH("Folio",SUBSTITUTE(INDEX($A$9:$A$2008,$W55),CHAR(10)," "))-1)),TRIM(SUBSTITUTE(INDEX($A$9:$A$2008,$W55),CHAR(10)," "))))</f>
        <v/>
      </c>
      <c r="AA55" s="22">
        <f>IF($W55="","",IFERROR(TRIM(SUBSTITUTE(MID(SUBSTITUTE(INDEX($A$9:$A$2008,$W55),CHAR(10)," "),SEARCH("Folio",SUBSTITUTE(INDEX($A$9:$A$2008,$W55),CHAR(10)," "))+5,200),":","")),""))</f>
        <v/>
      </c>
      <c r="AB55" s="23">
        <f>IF($W55="","",IF(ISNUMBER(INDEX($D$9:$D$2008,$W55)),INDEX($D$9:$D$2008,$W55),IFERROR(DATE(2000+VALUE(RIGHT(INDEX($D$9:$D$2008,$W55),2)),VALUE(MID(INDEX($D$9:$D$2008,$W55),4,2)),VALUE(LEFT(INDEX($D$9:$D$2008,$W55),2))),"")))</f>
        <v/>
      </c>
      <c r="AC55" s="24">
        <f>IF($W55="","",IFERROR(IF(ISNUMBER(INDEX($E$9:$E$2008,$W55)),INDEX($E$9:$E$2008,$W55),VALUE(SUBSTITUTE(INDEX($E$9:$E$2008,$W55),",",""))),""))</f>
        <v/>
      </c>
      <c r="AD55" s="24">
        <f>IF($W55="","",IFERROR(IF(ISNUMBER(INDEX($F$9:$F$2008,$W55)),INDEX($F$9:$F$2008,$W55),VALUE(SUBSTITUTE(INDEX($F$9:$F$2008,$W55),",",""))),""))</f>
        <v/>
      </c>
      <c r="AE55" s="24">
        <f>IF($W55="","",IFERROR(IF(ISNUMBER(INDEX($G$9:$G$2008,$W55)),INDEX($G$9:$G$2008,$W55),VALUE(SUBSTITUTE(INDEX($G$9:$G$2008,$W55),",",""))),""))</f>
        <v/>
      </c>
      <c r="AF55" s="24">
        <f>IF($W55="","",IFERROR(IF(ISNUMBER(INDEX($H$9:$H$2008,$W55)),INDEX($H$9:$H$2008,$W55),VALUE(SUBSTITUTE(INDEX($H$9:$H$2008,$W55),",",""))),""))</f>
        <v/>
      </c>
      <c r="AG55" s="24">
        <f>IF($W55="","",IFERROR(IF(ISNUMBER(INDEX($I$9:$I$2008,$W55)),INDEX($I$9:$I$2008,$W55),VALUE(SUBSTITUTE(INDEX($I$9:$I$2008,$W55),",",""))),""))</f>
        <v/>
      </c>
      <c r="AH55" s="24">
        <f>IF($W55="","",IFERROR(IF(ISNUMBER(INDEX($J$9:$J$2008,$W55)),INDEX($J$9:$J$2008,$W55),VALUE(SUBSTITUTE(INDEX($J$9:$J$2008,$W55),",",""))),""))</f>
        <v/>
      </c>
      <c r="AI55" s="24">
        <f>IF($W55="","",IFERROR(IF(ISNUMBER(INDEX($K$9:$K$2008,$W55)),INDEX($K$9:$K$2008,$W55),VALUE(SUBSTITUTE(INDEX($K$9:$K$2008,$W55),",",""))),""))</f>
        <v/>
      </c>
      <c r="AJ55" s="25">
        <f>IF($W55="","",IFERROR(IF(ISNUMBER(INDEX($L$9:$L$2008,$W55)),INDEX($L$9:$L$2008,$W55),VALUE(SUBSTITUTE(INDEX($L$9:$L$2008,$W55),",",""))),""))</f>
        <v/>
      </c>
      <c r="AK55" s="25">
        <f>IF($W55="","",IFERROR(IF(ISNUMBER(INDEX($M$9:$M$2008,$W55)),INDEX($M$9:$M$2008,$W55),VALUE(SUBSTITUTE(INDEX($M$9:$M$2008,$W55),",",""))),""))</f>
        <v/>
      </c>
      <c r="AL55" s="26">
        <f>IF($W55="","",IFERROR(IF(ISNUMBER(INDEX($P$9:$P$2008,$W55)),INDEX($P$9:$P$2008,$W55),VALUE(SUBSTITUTE(INDEX($P$9:$P$2008,$W55),"%",""))/100),""))</f>
        <v/>
      </c>
    </row>
    <row r="56">
      <c r="S56">
        <f>IF(AND(ISTEXT($A56),ISNUMBER(SEARCH(" - ",$A56)),ISERROR(SEARCH("Folio",$A56)),$D56=""),TRIM($A56),$S55)</f>
        <v/>
      </c>
      <c r="T56">
        <f>IF(AND(ISNUMBER(SEARCH("Folio",$A56)),$D56&lt;&gt;""),1,"")</f>
        <v/>
      </c>
      <c r="U56">
        <f>IF($T56=1,COUNTIF($T$9:$T56,1),"")</f>
        <v/>
      </c>
      <c r="V56">
        <f>IF(AND(ISTEXT($A56),LEFT($A57,3)="Pan"),1,"")</f>
        <v/>
      </c>
      <c r="W56" s="21">
        <f>IFERROR(MATCH(48,$U$9:$U$2008,0),"")</f>
        <v/>
      </c>
      <c r="X56" s="27">
        <f>IF($W56="","",IF($R$5&lt;&gt;"",$R$5,$R$6))</f>
        <v/>
      </c>
      <c r="Y56" s="27">
        <f>IF($W56="","",INDEX($S$9:$S$2008,$W56))</f>
        <v/>
      </c>
      <c r="Z56" s="27">
        <f>IF($W56="","",IFERROR(TRIM(LEFT(SUBSTITUTE(INDEX($A$9:$A$2008,$W56),CHAR(10)," "),SEARCH("Folio",SUBSTITUTE(INDEX($A$9:$A$2008,$W56),CHAR(10)," "))-1)),TRIM(SUBSTITUTE(INDEX($A$9:$A$2008,$W56),CHAR(10)," "))))</f>
        <v/>
      </c>
      <c r="AA56" s="27">
        <f>IF($W56="","",IFERROR(TRIM(SUBSTITUTE(MID(SUBSTITUTE(INDEX($A$9:$A$2008,$W56),CHAR(10)," "),SEARCH("Folio",SUBSTITUTE(INDEX($A$9:$A$2008,$W56),CHAR(10)," "))+5,200),":","")),""))</f>
        <v/>
      </c>
      <c r="AB56" s="28">
        <f>IF($W56="","",IF(ISNUMBER(INDEX($D$9:$D$2008,$W56)),INDEX($D$9:$D$2008,$W56),IFERROR(DATE(2000+VALUE(RIGHT(INDEX($D$9:$D$2008,$W56),2)),VALUE(MID(INDEX($D$9:$D$2008,$W56),4,2)),VALUE(LEFT(INDEX($D$9:$D$2008,$W56),2))),"")))</f>
        <v/>
      </c>
      <c r="AC56" s="29">
        <f>IF($W56="","",IFERROR(IF(ISNUMBER(INDEX($E$9:$E$2008,$W56)),INDEX($E$9:$E$2008,$W56),VALUE(SUBSTITUTE(INDEX($E$9:$E$2008,$W56),",",""))),""))</f>
        <v/>
      </c>
      <c r="AD56" s="29">
        <f>IF($W56="","",IFERROR(IF(ISNUMBER(INDEX($F$9:$F$2008,$W56)),INDEX($F$9:$F$2008,$W56),VALUE(SUBSTITUTE(INDEX($F$9:$F$2008,$W56),",",""))),""))</f>
        <v/>
      </c>
      <c r="AE56" s="29">
        <f>IF($W56="","",IFERROR(IF(ISNUMBER(INDEX($G$9:$G$2008,$W56)),INDEX($G$9:$G$2008,$W56),VALUE(SUBSTITUTE(INDEX($G$9:$G$2008,$W56),",",""))),""))</f>
        <v/>
      </c>
      <c r="AF56" s="29">
        <f>IF($W56="","",IFERROR(IF(ISNUMBER(INDEX($H$9:$H$2008,$W56)),INDEX($H$9:$H$2008,$W56),VALUE(SUBSTITUTE(INDEX($H$9:$H$2008,$W56),",",""))),""))</f>
        <v/>
      </c>
      <c r="AG56" s="29">
        <f>IF($W56="","",IFERROR(IF(ISNUMBER(INDEX($I$9:$I$2008,$W56)),INDEX($I$9:$I$2008,$W56),VALUE(SUBSTITUTE(INDEX($I$9:$I$2008,$W56),",",""))),""))</f>
        <v/>
      </c>
      <c r="AH56" s="29">
        <f>IF($W56="","",IFERROR(IF(ISNUMBER(INDEX($J$9:$J$2008,$W56)),INDEX($J$9:$J$2008,$W56),VALUE(SUBSTITUTE(INDEX($J$9:$J$2008,$W56),",",""))),""))</f>
        <v/>
      </c>
      <c r="AI56" s="29">
        <f>IF($W56="","",IFERROR(IF(ISNUMBER(INDEX($K$9:$K$2008,$W56)),INDEX($K$9:$K$2008,$W56),VALUE(SUBSTITUTE(INDEX($K$9:$K$2008,$W56),",",""))),""))</f>
        <v/>
      </c>
      <c r="AJ56" s="30">
        <f>IF($W56="","",IFERROR(IF(ISNUMBER(INDEX($L$9:$L$2008,$W56)),INDEX($L$9:$L$2008,$W56),VALUE(SUBSTITUTE(INDEX($L$9:$L$2008,$W56),",",""))),""))</f>
        <v/>
      </c>
      <c r="AK56" s="30">
        <f>IF($W56="","",IFERROR(IF(ISNUMBER(INDEX($M$9:$M$2008,$W56)),INDEX($M$9:$M$2008,$W56),VALUE(SUBSTITUTE(INDEX($M$9:$M$2008,$W56),",",""))),""))</f>
        <v/>
      </c>
      <c r="AL56" s="31">
        <f>IF($W56="","",IFERROR(IF(ISNUMBER(INDEX($P$9:$P$2008,$W56)),INDEX($P$9:$P$2008,$W56),VALUE(SUBSTITUTE(INDEX($P$9:$P$2008,$W56),"%",""))/100),""))</f>
        <v/>
      </c>
    </row>
    <row r="57">
      <c r="S57">
        <f>IF(AND(ISTEXT($A57),ISNUMBER(SEARCH(" - ",$A57)),ISERROR(SEARCH("Folio",$A57)),$D57=""),TRIM($A57),$S56)</f>
        <v/>
      </c>
      <c r="T57">
        <f>IF(AND(ISNUMBER(SEARCH("Folio",$A57)),$D57&lt;&gt;""),1,"")</f>
        <v/>
      </c>
      <c r="U57">
        <f>IF($T57=1,COUNTIF($T$9:$T57,1),"")</f>
        <v/>
      </c>
      <c r="V57">
        <f>IF(AND(ISTEXT($A57),LEFT($A58,3)="Pan"),1,"")</f>
        <v/>
      </c>
      <c r="W57" s="21">
        <f>IFERROR(MATCH(49,$U$9:$U$2008,0),"")</f>
        <v/>
      </c>
      <c r="X57" s="22">
        <f>IF($W57="","",IF($R$5&lt;&gt;"",$R$5,$R$6))</f>
        <v/>
      </c>
      <c r="Y57" s="22">
        <f>IF($W57="","",INDEX($S$9:$S$2008,$W57))</f>
        <v/>
      </c>
      <c r="Z57" s="22">
        <f>IF($W57="","",IFERROR(TRIM(LEFT(SUBSTITUTE(INDEX($A$9:$A$2008,$W57),CHAR(10)," "),SEARCH("Folio",SUBSTITUTE(INDEX($A$9:$A$2008,$W57),CHAR(10)," "))-1)),TRIM(SUBSTITUTE(INDEX($A$9:$A$2008,$W57),CHAR(10)," "))))</f>
        <v/>
      </c>
      <c r="AA57" s="22">
        <f>IF($W57="","",IFERROR(TRIM(SUBSTITUTE(MID(SUBSTITUTE(INDEX($A$9:$A$2008,$W57),CHAR(10)," "),SEARCH("Folio",SUBSTITUTE(INDEX($A$9:$A$2008,$W57),CHAR(10)," "))+5,200),":","")),""))</f>
        <v/>
      </c>
      <c r="AB57" s="23">
        <f>IF($W57="","",IF(ISNUMBER(INDEX($D$9:$D$2008,$W57)),INDEX($D$9:$D$2008,$W57),IFERROR(DATE(2000+VALUE(RIGHT(INDEX($D$9:$D$2008,$W57),2)),VALUE(MID(INDEX($D$9:$D$2008,$W57),4,2)),VALUE(LEFT(INDEX($D$9:$D$2008,$W57),2))),"")))</f>
        <v/>
      </c>
      <c r="AC57" s="24">
        <f>IF($W57="","",IFERROR(IF(ISNUMBER(INDEX($E$9:$E$2008,$W57)),INDEX($E$9:$E$2008,$W57),VALUE(SUBSTITUTE(INDEX($E$9:$E$2008,$W57),",",""))),""))</f>
        <v/>
      </c>
      <c r="AD57" s="24">
        <f>IF($W57="","",IFERROR(IF(ISNUMBER(INDEX($F$9:$F$2008,$W57)),INDEX($F$9:$F$2008,$W57),VALUE(SUBSTITUTE(INDEX($F$9:$F$2008,$W57),",",""))),""))</f>
        <v/>
      </c>
      <c r="AE57" s="24">
        <f>IF($W57="","",IFERROR(IF(ISNUMBER(INDEX($G$9:$G$2008,$W57)),INDEX($G$9:$G$2008,$W57),VALUE(SUBSTITUTE(INDEX($G$9:$G$2008,$W57),",",""))),""))</f>
        <v/>
      </c>
      <c r="AF57" s="24">
        <f>IF($W57="","",IFERROR(IF(ISNUMBER(INDEX($H$9:$H$2008,$W57)),INDEX($H$9:$H$2008,$W57),VALUE(SUBSTITUTE(INDEX($H$9:$H$2008,$W57),",",""))),""))</f>
        <v/>
      </c>
      <c r="AG57" s="24">
        <f>IF($W57="","",IFERROR(IF(ISNUMBER(INDEX($I$9:$I$2008,$W57)),INDEX($I$9:$I$2008,$W57),VALUE(SUBSTITUTE(INDEX($I$9:$I$2008,$W57),",",""))),""))</f>
        <v/>
      </c>
      <c r="AH57" s="24">
        <f>IF($W57="","",IFERROR(IF(ISNUMBER(INDEX($J$9:$J$2008,$W57)),INDEX($J$9:$J$2008,$W57),VALUE(SUBSTITUTE(INDEX($J$9:$J$2008,$W57),",",""))),""))</f>
        <v/>
      </c>
      <c r="AI57" s="24">
        <f>IF($W57="","",IFERROR(IF(ISNUMBER(INDEX($K$9:$K$2008,$W57)),INDEX($K$9:$K$2008,$W57),VALUE(SUBSTITUTE(INDEX($K$9:$K$2008,$W57),",",""))),""))</f>
        <v/>
      </c>
      <c r="AJ57" s="25">
        <f>IF($W57="","",IFERROR(IF(ISNUMBER(INDEX($L$9:$L$2008,$W57)),INDEX($L$9:$L$2008,$W57),VALUE(SUBSTITUTE(INDEX($L$9:$L$2008,$W57),",",""))),""))</f>
        <v/>
      </c>
      <c r="AK57" s="25">
        <f>IF($W57="","",IFERROR(IF(ISNUMBER(INDEX($M$9:$M$2008,$W57)),INDEX($M$9:$M$2008,$W57),VALUE(SUBSTITUTE(INDEX($M$9:$M$2008,$W57),",",""))),""))</f>
        <v/>
      </c>
      <c r="AL57" s="26">
        <f>IF($W57="","",IFERROR(IF(ISNUMBER(INDEX($P$9:$P$2008,$W57)),INDEX($P$9:$P$2008,$W57),VALUE(SUBSTITUTE(INDEX($P$9:$P$2008,$W57),"%",""))/100),""))</f>
        <v/>
      </c>
    </row>
    <row r="58">
      <c r="S58">
        <f>IF(AND(ISTEXT($A58),ISNUMBER(SEARCH(" - ",$A58)),ISERROR(SEARCH("Folio",$A58)),$D58=""),TRIM($A58),$S57)</f>
        <v/>
      </c>
      <c r="T58">
        <f>IF(AND(ISNUMBER(SEARCH("Folio",$A58)),$D58&lt;&gt;""),1,"")</f>
        <v/>
      </c>
      <c r="U58">
        <f>IF($T58=1,COUNTIF($T$9:$T58,1),"")</f>
        <v/>
      </c>
      <c r="V58">
        <f>IF(AND(ISTEXT($A58),LEFT($A59,3)="Pan"),1,"")</f>
        <v/>
      </c>
      <c r="W58" s="21">
        <f>IFERROR(MATCH(50,$U$9:$U$2008,0),"")</f>
        <v/>
      </c>
      <c r="X58" s="27">
        <f>IF($W58="","",IF($R$5&lt;&gt;"",$R$5,$R$6))</f>
        <v/>
      </c>
      <c r="Y58" s="27">
        <f>IF($W58="","",INDEX($S$9:$S$2008,$W58))</f>
        <v/>
      </c>
      <c r="Z58" s="27">
        <f>IF($W58="","",IFERROR(TRIM(LEFT(SUBSTITUTE(INDEX($A$9:$A$2008,$W58),CHAR(10)," "),SEARCH("Folio",SUBSTITUTE(INDEX($A$9:$A$2008,$W58),CHAR(10)," "))-1)),TRIM(SUBSTITUTE(INDEX($A$9:$A$2008,$W58),CHAR(10)," "))))</f>
        <v/>
      </c>
      <c r="AA58" s="27">
        <f>IF($W58="","",IFERROR(TRIM(SUBSTITUTE(MID(SUBSTITUTE(INDEX($A$9:$A$2008,$W58),CHAR(10)," "),SEARCH("Folio",SUBSTITUTE(INDEX($A$9:$A$2008,$W58),CHAR(10)," "))+5,200),":","")),""))</f>
        <v/>
      </c>
      <c r="AB58" s="28">
        <f>IF($W58="","",IF(ISNUMBER(INDEX($D$9:$D$2008,$W58)),INDEX($D$9:$D$2008,$W58),IFERROR(DATE(2000+VALUE(RIGHT(INDEX($D$9:$D$2008,$W58),2)),VALUE(MID(INDEX($D$9:$D$2008,$W58),4,2)),VALUE(LEFT(INDEX($D$9:$D$2008,$W58),2))),"")))</f>
        <v/>
      </c>
      <c r="AC58" s="29">
        <f>IF($W58="","",IFERROR(IF(ISNUMBER(INDEX($E$9:$E$2008,$W58)),INDEX($E$9:$E$2008,$W58),VALUE(SUBSTITUTE(INDEX($E$9:$E$2008,$W58),",",""))),""))</f>
        <v/>
      </c>
      <c r="AD58" s="29">
        <f>IF($W58="","",IFERROR(IF(ISNUMBER(INDEX($F$9:$F$2008,$W58)),INDEX($F$9:$F$2008,$W58),VALUE(SUBSTITUTE(INDEX($F$9:$F$2008,$W58),",",""))),""))</f>
        <v/>
      </c>
      <c r="AE58" s="29">
        <f>IF($W58="","",IFERROR(IF(ISNUMBER(INDEX($G$9:$G$2008,$W58)),INDEX($G$9:$G$2008,$W58),VALUE(SUBSTITUTE(INDEX($G$9:$G$2008,$W58),",",""))),""))</f>
        <v/>
      </c>
      <c r="AF58" s="29">
        <f>IF($W58="","",IFERROR(IF(ISNUMBER(INDEX($H$9:$H$2008,$W58)),INDEX($H$9:$H$2008,$W58),VALUE(SUBSTITUTE(INDEX($H$9:$H$2008,$W58),",",""))),""))</f>
        <v/>
      </c>
      <c r="AG58" s="29">
        <f>IF($W58="","",IFERROR(IF(ISNUMBER(INDEX($I$9:$I$2008,$W58)),INDEX($I$9:$I$2008,$W58),VALUE(SUBSTITUTE(INDEX($I$9:$I$2008,$W58),",",""))),""))</f>
        <v/>
      </c>
      <c r="AH58" s="29">
        <f>IF($W58="","",IFERROR(IF(ISNUMBER(INDEX($J$9:$J$2008,$W58)),INDEX($J$9:$J$2008,$W58),VALUE(SUBSTITUTE(INDEX($J$9:$J$2008,$W58),",",""))),""))</f>
        <v/>
      </c>
      <c r="AI58" s="29">
        <f>IF($W58="","",IFERROR(IF(ISNUMBER(INDEX($K$9:$K$2008,$W58)),INDEX($K$9:$K$2008,$W58),VALUE(SUBSTITUTE(INDEX($K$9:$K$2008,$W58),",",""))),""))</f>
        <v/>
      </c>
      <c r="AJ58" s="30">
        <f>IF($W58="","",IFERROR(IF(ISNUMBER(INDEX($L$9:$L$2008,$W58)),INDEX($L$9:$L$2008,$W58),VALUE(SUBSTITUTE(INDEX($L$9:$L$2008,$W58),",",""))),""))</f>
        <v/>
      </c>
      <c r="AK58" s="30">
        <f>IF($W58="","",IFERROR(IF(ISNUMBER(INDEX($M$9:$M$2008,$W58)),INDEX($M$9:$M$2008,$W58),VALUE(SUBSTITUTE(INDEX($M$9:$M$2008,$W58),",",""))),""))</f>
        <v/>
      </c>
      <c r="AL58" s="31">
        <f>IF($W58="","",IFERROR(IF(ISNUMBER(INDEX($P$9:$P$2008,$W58)),INDEX($P$9:$P$2008,$W58),VALUE(SUBSTITUTE(INDEX($P$9:$P$2008,$W58),"%",""))/100),""))</f>
        <v/>
      </c>
    </row>
    <row r="59">
      <c r="S59">
        <f>IF(AND(ISTEXT($A59),ISNUMBER(SEARCH(" - ",$A59)),ISERROR(SEARCH("Folio",$A59)),$D59=""),TRIM($A59),$S58)</f>
        <v/>
      </c>
      <c r="T59">
        <f>IF(AND(ISNUMBER(SEARCH("Folio",$A59)),$D59&lt;&gt;""),1,"")</f>
        <v/>
      </c>
      <c r="U59">
        <f>IF($T59=1,COUNTIF($T$9:$T59,1),"")</f>
        <v/>
      </c>
      <c r="V59">
        <f>IF(AND(ISTEXT($A59),LEFT($A60,3)="Pan"),1,"")</f>
        <v/>
      </c>
      <c r="W59" s="21">
        <f>IFERROR(MATCH(51,$U$9:$U$2008,0),"")</f>
        <v/>
      </c>
      <c r="X59" s="22">
        <f>IF($W59="","",IF($R$5&lt;&gt;"",$R$5,$R$6))</f>
        <v/>
      </c>
      <c r="Y59" s="22">
        <f>IF($W59="","",INDEX($S$9:$S$2008,$W59))</f>
        <v/>
      </c>
      <c r="Z59" s="22">
        <f>IF($W59="","",IFERROR(TRIM(LEFT(SUBSTITUTE(INDEX($A$9:$A$2008,$W59),CHAR(10)," "),SEARCH("Folio",SUBSTITUTE(INDEX($A$9:$A$2008,$W59),CHAR(10)," "))-1)),TRIM(SUBSTITUTE(INDEX($A$9:$A$2008,$W59),CHAR(10)," "))))</f>
        <v/>
      </c>
      <c r="AA59" s="22">
        <f>IF($W59="","",IFERROR(TRIM(SUBSTITUTE(MID(SUBSTITUTE(INDEX($A$9:$A$2008,$W59),CHAR(10)," "),SEARCH("Folio",SUBSTITUTE(INDEX($A$9:$A$2008,$W59),CHAR(10)," "))+5,200),":","")),""))</f>
        <v/>
      </c>
      <c r="AB59" s="23">
        <f>IF($W59="","",IF(ISNUMBER(INDEX($D$9:$D$2008,$W59)),INDEX($D$9:$D$2008,$W59),IFERROR(DATE(2000+VALUE(RIGHT(INDEX($D$9:$D$2008,$W59),2)),VALUE(MID(INDEX($D$9:$D$2008,$W59),4,2)),VALUE(LEFT(INDEX($D$9:$D$2008,$W59),2))),"")))</f>
        <v/>
      </c>
      <c r="AC59" s="24">
        <f>IF($W59="","",IFERROR(IF(ISNUMBER(INDEX($E$9:$E$2008,$W59)),INDEX($E$9:$E$2008,$W59),VALUE(SUBSTITUTE(INDEX($E$9:$E$2008,$W59),",",""))),""))</f>
        <v/>
      </c>
      <c r="AD59" s="24">
        <f>IF($W59="","",IFERROR(IF(ISNUMBER(INDEX($F$9:$F$2008,$W59)),INDEX($F$9:$F$2008,$W59),VALUE(SUBSTITUTE(INDEX($F$9:$F$2008,$W59),",",""))),""))</f>
        <v/>
      </c>
      <c r="AE59" s="24">
        <f>IF($W59="","",IFERROR(IF(ISNUMBER(INDEX($G$9:$G$2008,$W59)),INDEX($G$9:$G$2008,$W59),VALUE(SUBSTITUTE(INDEX($G$9:$G$2008,$W59),",",""))),""))</f>
        <v/>
      </c>
      <c r="AF59" s="24">
        <f>IF($W59="","",IFERROR(IF(ISNUMBER(INDEX($H$9:$H$2008,$W59)),INDEX($H$9:$H$2008,$W59),VALUE(SUBSTITUTE(INDEX($H$9:$H$2008,$W59),",",""))),""))</f>
        <v/>
      </c>
      <c r="AG59" s="24">
        <f>IF($W59="","",IFERROR(IF(ISNUMBER(INDEX($I$9:$I$2008,$W59)),INDEX($I$9:$I$2008,$W59),VALUE(SUBSTITUTE(INDEX($I$9:$I$2008,$W59),",",""))),""))</f>
        <v/>
      </c>
      <c r="AH59" s="24">
        <f>IF($W59="","",IFERROR(IF(ISNUMBER(INDEX($J$9:$J$2008,$W59)),INDEX($J$9:$J$2008,$W59),VALUE(SUBSTITUTE(INDEX($J$9:$J$2008,$W59),",",""))),""))</f>
        <v/>
      </c>
      <c r="AI59" s="24">
        <f>IF($W59="","",IFERROR(IF(ISNUMBER(INDEX($K$9:$K$2008,$W59)),INDEX($K$9:$K$2008,$W59),VALUE(SUBSTITUTE(INDEX($K$9:$K$2008,$W59),",",""))),""))</f>
        <v/>
      </c>
      <c r="AJ59" s="25">
        <f>IF($W59="","",IFERROR(IF(ISNUMBER(INDEX($L$9:$L$2008,$W59)),INDEX($L$9:$L$2008,$W59),VALUE(SUBSTITUTE(INDEX($L$9:$L$2008,$W59),",",""))),""))</f>
        <v/>
      </c>
      <c r="AK59" s="25">
        <f>IF($W59="","",IFERROR(IF(ISNUMBER(INDEX($M$9:$M$2008,$W59)),INDEX($M$9:$M$2008,$W59),VALUE(SUBSTITUTE(INDEX($M$9:$M$2008,$W59),",",""))),""))</f>
        <v/>
      </c>
      <c r="AL59" s="26">
        <f>IF($W59="","",IFERROR(IF(ISNUMBER(INDEX($P$9:$P$2008,$W59)),INDEX($P$9:$P$2008,$W59),VALUE(SUBSTITUTE(INDEX($P$9:$P$2008,$W59),"%",""))/100),""))</f>
        <v/>
      </c>
    </row>
    <row r="60">
      <c r="S60">
        <f>IF(AND(ISTEXT($A60),ISNUMBER(SEARCH(" - ",$A60)),ISERROR(SEARCH("Folio",$A60)),$D60=""),TRIM($A60),$S59)</f>
        <v/>
      </c>
      <c r="T60">
        <f>IF(AND(ISNUMBER(SEARCH("Folio",$A60)),$D60&lt;&gt;""),1,"")</f>
        <v/>
      </c>
      <c r="U60">
        <f>IF($T60=1,COUNTIF($T$9:$T60,1),"")</f>
        <v/>
      </c>
      <c r="V60">
        <f>IF(AND(ISTEXT($A60),LEFT($A61,3)="Pan"),1,"")</f>
        <v/>
      </c>
      <c r="W60" s="21">
        <f>IFERROR(MATCH(52,$U$9:$U$2008,0),"")</f>
        <v/>
      </c>
      <c r="X60" s="27">
        <f>IF($W60="","",IF($R$5&lt;&gt;"",$R$5,$R$6))</f>
        <v/>
      </c>
      <c r="Y60" s="27">
        <f>IF($W60="","",INDEX($S$9:$S$2008,$W60))</f>
        <v/>
      </c>
      <c r="Z60" s="27">
        <f>IF($W60="","",IFERROR(TRIM(LEFT(SUBSTITUTE(INDEX($A$9:$A$2008,$W60),CHAR(10)," "),SEARCH("Folio",SUBSTITUTE(INDEX($A$9:$A$2008,$W60),CHAR(10)," "))-1)),TRIM(SUBSTITUTE(INDEX($A$9:$A$2008,$W60),CHAR(10)," "))))</f>
        <v/>
      </c>
      <c r="AA60" s="27">
        <f>IF($W60="","",IFERROR(TRIM(SUBSTITUTE(MID(SUBSTITUTE(INDEX($A$9:$A$2008,$W60),CHAR(10)," "),SEARCH("Folio",SUBSTITUTE(INDEX($A$9:$A$2008,$W60),CHAR(10)," "))+5,200),":","")),""))</f>
        <v/>
      </c>
      <c r="AB60" s="28">
        <f>IF($W60="","",IF(ISNUMBER(INDEX($D$9:$D$2008,$W60)),INDEX($D$9:$D$2008,$W60),IFERROR(DATE(2000+VALUE(RIGHT(INDEX($D$9:$D$2008,$W60),2)),VALUE(MID(INDEX($D$9:$D$2008,$W60),4,2)),VALUE(LEFT(INDEX($D$9:$D$2008,$W60),2))),"")))</f>
        <v/>
      </c>
      <c r="AC60" s="29">
        <f>IF($W60="","",IFERROR(IF(ISNUMBER(INDEX($E$9:$E$2008,$W60)),INDEX($E$9:$E$2008,$W60),VALUE(SUBSTITUTE(INDEX($E$9:$E$2008,$W60),",",""))),""))</f>
        <v/>
      </c>
      <c r="AD60" s="29">
        <f>IF($W60="","",IFERROR(IF(ISNUMBER(INDEX($F$9:$F$2008,$W60)),INDEX($F$9:$F$2008,$W60),VALUE(SUBSTITUTE(INDEX($F$9:$F$2008,$W60),",",""))),""))</f>
        <v/>
      </c>
      <c r="AE60" s="29">
        <f>IF($W60="","",IFERROR(IF(ISNUMBER(INDEX($G$9:$G$2008,$W60)),INDEX($G$9:$G$2008,$W60),VALUE(SUBSTITUTE(INDEX($G$9:$G$2008,$W60),",",""))),""))</f>
        <v/>
      </c>
      <c r="AF60" s="29">
        <f>IF($W60="","",IFERROR(IF(ISNUMBER(INDEX($H$9:$H$2008,$W60)),INDEX($H$9:$H$2008,$W60),VALUE(SUBSTITUTE(INDEX($H$9:$H$2008,$W60),",",""))),""))</f>
        <v/>
      </c>
      <c r="AG60" s="29">
        <f>IF($W60="","",IFERROR(IF(ISNUMBER(INDEX($I$9:$I$2008,$W60)),INDEX($I$9:$I$2008,$W60),VALUE(SUBSTITUTE(INDEX($I$9:$I$2008,$W60),",",""))),""))</f>
        <v/>
      </c>
      <c r="AH60" s="29">
        <f>IF($W60="","",IFERROR(IF(ISNUMBER(INDEX($J$9:$J$2008,$W60)),INDEX($J$9:$J$2008,$W60),VALUE(SUBSTITUTE(INDEX($J$9:$J$2008,$W60),",",""))),""))</f>
        <v/>
      </c>
      <c r="AI60" s="29">
        <f>IF($W60="","",IFERROR(IF(ISNUMBER(INDEX($K$9:$K$2008,$W60)),INDEX($K$9:$K$2008,$W60),VALUE(SUBSTITUTE(INDEX($K$9:$K$2008,$W60),",",""))),""))</f>
        <v/>
      </c>
      <c r="AJ60" s="30">
        <f>IF($W60="","",IFERROR(IF(ISNUMBER(INDEX($L$9:$L$2008,$W60)),INDEX($L$9:$L$2008,$W60),VALUE(SUBSTITUTE(INDEX($L$9:$L$2008,$W60),",",""))),""))</f>
        <v/>
      </c>
      <c r="AK60" s="30">
        <f>IF($W60="","",IFERROR(IF(ISNUMBER(INDEX($M$9:$M$2008,$W60)),INDEX($M$9:$M$2008,$W60),VALUE(SUBSTITUTE(INDEX($M$9:$M$2008,$W60),",",""))),""))</f>
        <v/>
      </c>
      <c r="AL60" s="31">
        <f>IF($W60="","",IFERROR(IF(ISNUMBER(INDEX($P$9:$P$2008,$W60)),INDEX($P$9:$P$2008,$W60),VALUE(SUBSTITUTE(INDEX($P$9:$P$2008,$W60),"%",""))/100),""))</f>
        <v/>
      </c>
    </row>
    <row r="61">
      <c r="S61">
        <f>IF(AND(ISTEXT($A61),ISNUMBER(SEARCH(" - ",$A61)),ISERROR(SEARCH("Folio",$A61)),$D61=""),TRIM($A61),$S60)</f>
        <v/>
      </c>
      <c r="T61">
        <f>IF(AND(ISNUMBER(SEARCH("Folio",$A61)),$D61&lt;&gt;""),1,"")</f>
        <v/>
      </c>
      <c r="U61">
        <f>IF($T61=1,COUNTIF($T$9:$T61,1),"")</f>
        <v/>
      </c>
      <c r="V61">
        <f>IF(AND(ISTEXT($A61),LEFT($A62,3)="Pan"),1,"")</f>
        <v/>
      </c>
      <c r="W61" s="21">
        <f>IFERROR(MATCH(53,$U$9:$U$2008,0),"")</f>
        <v/>
      </c>
      <c r="X61" s="22">
        <f>IF($W61="","",IF($R$5&lt;&gt;"",$R$5,$R$6))</f>
        <v/>
      </c>
      <c r="Y61" s="22">
        <f>IF($W61="","",INDEX($S$9:$S$2008,$W61))</f>
        <v/>
      </c>
      <c r="Z61" s="22">
        <f>IF($W61="","",IFERROR(TRIM(LEFT(SUBSTITUTE(INDEX($A$9:$A$2008,$W61),CHAR(10)," "),SEARCH("Folio",SUBSTITUTE(INDEX($A$9:$A$2008,$W61),CHAR(10)," "))-1)),TRIM(SUBSTITUTE(INDEX($A$9:$A$2008,$W61),CHAR(10)," "))))</f>
        <v/>
      </c>
      <c r="AA61" s="22">
        <f>IF($W61="","",IFERROR(TRIM(SUBSTITUTE(MID(SUBSTITUTE(INDEX($A$9:$A$2008,$W61),CHAR(10)," "),SEARCH("Folio",SUBSTITUTE(INDEX($A$9:$A$2008,$W61),CHAR(10)," "))+5,200),":","")),""))</f>
        <v/>
      </c>
      <c r="AB61" s="23">
        <f>IF($W61="","",IF(ISNUMBER(INDEX($D$9:$D$2008,$W61)),INDEX($D$9:$D$2008,$W61),IFERROR(DATE(2000+VALUE(RIGHT(INDEX($D$9:$D$2008,$W61),2)),VALUE(MID(INDEX($D$9:$D$2008,$W61),4,2)),VALUE(LEFT(INDEX($D$9:$D$2008,$W61),2))),"")))</f>
        <v/>
      </c>
      <c r="AC61" s="24">
        <f>IF($W61="","",IFERROR(IF(ISNUMBER(INDEX($E$9:$E$2008,$W61)),INDEX($E$9:$E$2008,$W61),VALUE(SUBSTITUTE(INDEX($E$9:$E$2008,$W61),",",""))),""))</f>
        <v/>
      </c>
      <c r="AD61" s="24">
        <f>IF($W61="","",IFERROR(IF(ISNUMBER(INDEX($F$9:$F$2008,$W61)),INDEX($F$9:$F$2008,$W61),VALUE(SUBSTITUTE(INDEX($F$9:$F$2008,$W61),",",""))),""))</f>
        <v/>
      </c>
      <c r="AE61" s="24">
        <f>IF($W61="","",IFERROR(IF(ISNUMBER(INDEX($G$9:$G$2008,$W61)),INDEX($G$9:$G$2008,$W61),VALUE(SUBSTITUTE(INDEX($G$9:$G$2008,$W61),",",""))),""))</f>
        <v/>
      </c>
      <c r="AF61" s="24">
        <f>IF($W61="","",IFERROR(IF(ISNUMBER(INDEX($H$9:$H$2008,$W61)),INDEX($H$9:$H$2008,$W61),VALUE(SUBSTITUTE(INDEX($H$9:$H$2008,$W61),",",""))),""))</f>
        <v/>
      </c>
      <c r="AG61" s="24">
        <f>IF($W61="","",IFERROR(IF(ISNUMBER(INDEX($I$9:$I$2008,$W61)),INDEX($I$9:$I$2008,$W61),VALUE(SUBSTITUTE(INDEX($I$9:$I$2008,$W61),",",""))),""))</f>
        <v/>
      </c>
      <c r="AH61" s="24">
        <f>IF($W61="","",IFERROR(IF(ISNUMBER(INDEX($J$9:$J$2008,$W61)),INDEX($J$9:$J$2008,$W61),VALUE(SUBSTITUTE(INDEX($J$9:$J$2008,$W61),",",""))),""))</f>
        <v/>
      </c>
      <c r="AI61" s="24">
        <f>IF($W61="","",IFERROR(IF(ISNUMBER(INDEX($K$9:$K$2008,$W61)),INDEX($K$9:$K$2008,$W61),VALUE(SUBSTITUTE(INDEX($K$9:$K$2008,$W61),",",""))),""))</f>
        <v/>
      </c>
      <c r="AJ61" s="25">
        <f>IF($W61="","",IFERROR(IF(ISNUMBER(INDEX($L$9:$L$2008,$W61)),INDEX($L$9:$L$2008,$W61),VALUE(SUBSTITUTE(INDEX($L$9:$L$2008,$W61),",",""))),""))</f>
        <v/>
      </c>
      <c r="AK61" s="25">
        <f>IF($W61="","",IFERROR(IF(ISNUMBER(INDEX($M$9:$M$2008,$W61)),INDEX($M$9:$M$2008,$W61),VALUE(SUBSTITUTE(INDEX($M$9:$M$2008,$W61),",",""))),""))</f>
        <v/>
      </c>
      <c r="AL61" s="26">
        <f>IF($W61="","",IFERROR(IF(ISNUMBER(INDEX($P$9:$P$2008,$W61)),INDEX($P$9:$P$2008,$W61),VALUE(SUBSTITUTE(INDEX($P$9:$P$2008,$W61),"%",""))/100),""))</f>
        <v/>
      </c>
    </row>
    <row r="62">
      <c r="S62">
        <f>IF(AND(ISTEXT($A62),ISNUMBER(SEARCH(" - ",$A62)),ISERROR(SEARCH("Folio",$A62)),$D62=""),TRIM($A62),$S61)</f>
        <v/>
      </c>
      <c r="T62">
        <f>IF(AND(ISNUMBER(SEARCH("Folio",$A62)),$D62&lt;&gt;""),1,"")</f>
        <v/>
      </c>
      <c r="U62">
        <f>IF($T62=1,COUNTIF($T$9:$T62,1),"")</f>
        <v/>
      </c>
      <c r="V62">
        <f>IF(AND(ISTEXT($A62),LEFT($A63,3)="Pan"),1,"")</f>
        <v/>
      </c>
      <c r="W62" s="21">
        <f>IFERROR(MATCH(54,$U$9:$U$2008,0),"")</f>
        <v/>
      </c>
      <c r="X62" s="27">
        <f>IF($W62="","",IF($R$5&lt;&gt;"",$R$5,$R$6))</f>
        <v/>
      </c>
      <c r="Y62" s="27">
        <f>IF($W62="","",INDEX($S$9:$S$2008,$W62))</f>
        <v/>
      </c>
      <c r="Z62" s="27">
        <f>IF($W62="","",IFERROR(TRIM(LEFT(SUBSTITUTE(INDEX($A$9:$A$2008,$W62),CHAR(10)," "),SEARCH("Folio",SUBSTITUTE(INDEX($A$9:$A$2008,$W62),CHAR(10)," "))-1)),TRIM(SUBSTITUTE(INDEX($A$9:$A$2008,$W62),CHAR(10)," "))))</f>
        <v/>
      </c>
      <c r="AA62" s="27">
        <f>IF($W62="","",IFERROR(TRIM(SUBSTITUTE(MID(SUBSTITUTE(INDEX($A$9:$A$2008,$W62),CHAR(10)," "),SEARCH("Folio",SUBSTITUTE(INDEX($A$9:$A$2008,$W62),CHAR(10)," "))+5,200),":","")),""))</f>
        <v/>
      </c>
      <c r="AB62" s="28">
        <f>IF($W62="","",IF(ISNUMBER(INDEX($D$9:$D$2008,$W62)),INDEX($D$9:$D$2008,$W62),IFERROR(DATE(2000+VALUE(RIGHT(INDEX($D$9:$D$2008,$W62),2)),VALUE(MID(INDEX($D$9:$D$2008,$W62),4,2)),VALUE(LEFT(INDEX($D$9:$D$2008,$W62),2))),"")))</f>
        <v/>
      </c>
      <c r="AC62" s="29">
        <f>IF($W62="","",IFERROR(IF(ISNUMBER(INDEX($E$9:$E$2008,$W62)),INDEX($E$9:$E$2008,$W62),VALUE(SUBSTITUTE(INDEX($E$9:$E$2008,$W62),",",""))),""))</f>
        <v/>
      </c>
      <c r="AD62" s="29">
        <f>IF($W62="","",IFERROR(IF(ISNUMBER(INDEX($F$9:$F$2008,$W62)),INDEX($F$9:$F$2008,$W62),VALUE(SUBSTITUTE(INDEX($F$9:$F$2008,$W62),",",""))),""))</f>
        <v/>
      </c>
      <c r="AE62" s="29">
        <f>IF($W62="","",IFERROR(IF(ISNUMBER(INDEX($G$9:$G$2008,$W62)),INDEX($G$9:$G$2008,$W62),VALUE(SUBSTITUTE(INDEX($G$9:$G$2008,$W62),",",""))),""))</f>
        <v/>
      </c>
      <c r="AF62" s="29">
        <f>IF($W62="","",IFERROR(IF(ISNUMBER(INDEX($H$9:$H$2008,$W62)),INDEX($H$9:$H$2008,$W62),VALUE(SUBSTITUTE(INDEX($H$9:$H$2008,$W62),",",""))),""))</f>
        <v/>
      </c>
      <c r="AG62" s="29">
        <f>IF($W62="","",IFERROR(IF(ISNUMBER(INDEX($I$9:$I$2008,$W62)),INDEX($I$9:$I$2008,$W62),VALUE(SUBSTITUTE(INDEX($I$9:$I$2008,$W62),",",""))),""))</f>
        <v/>
      </c>
      <c r="AH62" s="29">
        <f>IF($W62="","",IFERROR(IF(ISNUMBER(INDEX($J$9:$J$2008,$W62)),INDEX($J$9:$J$2008,$W62),VALUE(SUBSTITUTE(INDEX($J$9:$J$2008,$W62),",",""))),""))</f>
        <v/>
      </c>
      <c r="AI62" s="29">
        <f>IF($W62="","",IFERROR(IF(ISNUMBER(INDEX($K$9:$K$2008,$W62)),INDEX($K$9:$K$2008,$W62),VALUE(SUBSTITUTE(INDEX($K$9:$K$2008,$W62),",",""))),""))</f>
        <v/>
      </c>
      <c r="AJ62" s="30">
        <f>IF($W62="","",IFERROR(IF(ISNUMBER(INDEX($L$9:$L$2008,$W62)),INDEX($L$9:$L$2008,$W62),VALUE(SUBSTITUTE(INDEX($L$9:$L$2008,$W62),",",""))),""))</f>
        <v/>
      </c>
      <c r="AK62" s="30">
        <f>IF($W62="","",IFERROR(IF(ISNUMBER(INDEX($M$9:$M$2008,$W62)),INDEX($M$9:$M$2008,$W62),VALUE(SUBSTITUTE(INDEX($M$9:$M$2008,$W62),",",""))),""))</f>
        <v/>
      </c>
      <c r="AL62" s="31">
        <f>IF($W62="","",IFERROR(IF(ISNUMBER(INDEX($P$9:$P$2008,$W62)),INDEX($P$9:$P$2008,$W62),VALUE(SUBSTITUTE(INDEX($P$9:$P$2008,$W62),"%",""))/100),""))</f>
        <v/>
      </c>
    </row>
    <row r="63">
      <c r="S63">
        <f>IF(AND(ISTEXT($A63),ISNUMBER(SEARCH(" - ",$A63)),ISERROR(SEARCH("Folio",$A63)),$D63=""),TRIM($A63),$S62)</f>
        <v/>
      </c>
      <c r="T63">
        <f>IF(AND(ISNUMBER(SEARCH("Folio",$A63)),$D63&lt;&gt;""),1,"")</f>
        <v/>
      </c>
      <c r="U63">
        <f>IF($T63=1,COUNTIF($T$9:$T63,1),"")</f>
        <v/>
      </c>
      <c r="V63">
        <f>IF(AND(ISTEXT($A63),LEFT($A64,3)="Pan"),1,"")</f>
        <v/>
      </c>
      <c r="W63" s="21">
        <f>IFERROR(MATCH(55,$U$9:$U$2008,0),"")</f>
        <v/>
      </c>
      <c r="X63" s="22">
        <f>IF($W63="","",IF($R$5&lt;&gt;"",$R$5,$R$6))</f>
        <v/>
      </c>
      <c r="Y63" s="22">
        <f>IF($W63="","",INDEX($S$9:$S$2008,$W63))</f>
        <v/>
      </c>
      <c r="Z63" s="22">
        <f>IF($W63="","",IFERROR(TRIM(LEFT(SUBSTITUTE(INDEX($A$9:$A$2008,$W63),CHAR(10)," "),SEARCH("Folio",SUBSTITUTE(INDEX($A$9:$A$2008,$W63),CHAR(10)," "))-1)),TRIM(SUBSTITUTE(INDEX($A$9:$A$2008,$W63),CHAR(10)," "))))</f>
        <v/>
      </c>
      <c r="AA63" s="22">
        <f>IF($W63="","",IFERROR(TRIM(SUBSTITUTE(MID(SUBSTITUTE(INDEX($A$9:$A$2008,$W63),CHAR(10)," "),SEARCH("Folio",SUBSTITUTE(INDEX($A$9:$A$2008,$W63),CHAR(10)," "))+5,200),":","")),""))</f>
        <v/>
      </c>
      <c r="AB63" s="23">
        <f>IF($W63="","",IF(ISNUMBER(INDEX($D$9:$D$2008,$W63)),INDEX($D$9:$D$2008,$W63),IFERROR(DATE(2000+VALUE(RIGHT(INDEX($D$9:$D$2008,$W63),2)),VALUE(MID(INDEX($D$9:$D$2008,$W63),4,2)),VALUE(LEFT(INDEX($D$9:$D$2008,$W63),2))),"")))</f>
        <v/>
      </c>
      <c r="AC63" s="24">
        <f>IF($W63="","",IFERROR(IF(ISNUMBER(INDEX($E$9:$E$2008,$W63)),INDEX($E$9:$E$2008,$W63),VALUE(SUBSTITUTE(INDEX($E$9:$E$2008,$W63),",",""))),""))</f>
        <v/>
      </c>
      <c r="AD63" s="24">
        <f>IF($W63="","",IFERROR(IF(ISNUMBER(INDEX($F$9:$F$2008,$W63)),INDEX($F$9:$F$2008,$W63),VALUE(SUBSTITUTE(INDEX($F$9:$F$2008,$W63),",",""))),""))</f>
        <v/>
      </c>
      <c r="AE63" s="24">
        <f>IF($W63="","",IFERROR(IF(ISNUMBER(INDEX($G$9:$G$2008,$W63)),INDEX($G$9:$G$2008,$W63),VALUE(SUBSTITUTE(INDEX($G$9:$G$2008,$W63),",",""))),""))</f>
        <v/>
      </c>
      <c r="AF63" s="24">
        <f>IF($W63="","",IFERROR(IF(ISNUMBER(INDEX($H$9:$H$2008,$W63)),INDEX($H$9:$H$2008,$W63),VALUE(SUBSTITUTE(INDEX($H$9:$H$2008,$W63),",",""))),""))</f>
        <v/>
      </c>
      <c r="AG63" s="24">
        <f>IF($W63="","",IFERROR(IF(ISNUMBER(INDEX($I$9:$I$2008,$W63)),INDEX($I$9:$I$2008,$W63),VALUE(SUBSTITUTE(INDEX($I$9:$I$2008,$W63),",",""))),""))</f>
        <v/>
      </c>
      <c r="AH63" s="24">
        <f>IF($W63="","",IFERROR(IF(ISNUMBER(INDEX($J$9:$J$2008,$W63)),INDEX($J$9:$J$2008,$W63),VALUE(SUBSTITUTE(INDEX($J$9:$J$2008,$W63),",",""))),""))</f>
        <v/>
      </c>
      <c r="AI63" s="24">
        <f>IF($W63="","",IFERROR(IF(ISNUMBER(INDEX($K$9:$K$2008,$W63)),INDEX($K$9:$K$2008,$W63),VALUE(SUBSTITUTE(INDEX($K$9:$K$2008,$W63),",",""))),""))</f>
        <v/>
      </c>
      <c r="AJ63" s="25">
        <f>IF($W63="","",IFERROR(IF(ISNUMBER(INDEX($L$9:$L$2008,$W63)),INDEX($L$9:$L$2008,$W63),VALUE(SUBSTITUTE(INDEX($L$9:$L$2008,$W63),",",""))),""))</f>
        <v/>
      </c>
      <c r="AK63" s="25">
        <f>IF($W63="","",IFERROR(IF(ISNUMBER(INDEX($M$9:$M$2008,$W63)),INDEX($M$9:$M$2008,$W63),VALUE(SUBSTITUTE(INDEX($M$9:$M$2008,$W63),",",""))),""))</f>
        <v/>
      </c>
      <c r="AL63" s="26">
        <f>IF($W63="","",IFERROR(IF(ISNUMBER(INDEX($P$9:$P$2008,$W63)),INDEX($P$9:$P$2008,$W63),VALUE(SUBSTITUTE(INDEX($P$9:$P$2008,$W63),"%",""))/100),""))</f>
        <v/>
      </c>
    </row>
    <row r="64">
      <c r="S64">
        <f>IF(AND(ISTEXT($A64),ISNUMBER(SEARCH(" - ",$A64)),ISERROR(SEARCH("Folio",$A64)),$D64=""),TRIM($A64),$S63)</f>
        <v/>
      </c>
      <c r="T64">
        <f>IF(AND(ISNUMBER(SEARCH("Folio",$A64)),$D64&lt;&gt;""),1,"")</f>
        <v/>
      </c>
      <c r="U64">
        <f>IF($T64=1,COUNTIF($T$9:$T64,1),"")</f>
        <v/>
      </c>
      <c r="V64">
        <f>IF(AND(ISTEXT($A64),LEFT($A65,3)="Pan"),1,"")</f>
        <v/>
      </c>
      <c r="W64" s="21">
        <f>IFERROR(MATCH(56,$U$9:$U$2008,0),"")</f>
        <v/>
      </c>
      <c r="X64" s="27">
        <f>IF($W64="","",IF($R$5&lt;&gt;"",$R$5,$R$6))</f>
        <v/>
      </c>
      <c r="Y64" s="27">
        <f>IF($W64="","",INDEX($S$9:$S$2008,$W64))</f>
        <v/>
      </c>
      <c r="Z64" s="27">
        <f>IF($W64="","",IFERROR(TRIM(LEFT(SUBSTITUTE(INDEX($A$9:$A$2008,$W64),CHAR(10)," "),SEARCH("Folio",SUBSTITUTE(INDEX($A$9:$A$2008,$W64),CHAR(10)," "))-1)),TRIM(SUBSTITUTE(INDEX($A$9:$A$2008,$W64),CHAR(10)," "))))</f>
        <v/>
      </c>
      <c r="AA64" s="27">
        <f>IF($W64="","",IFERROR(TRIM(SUBSTITUTE(MID(SUBSTITUTE(INDEX($A$9:$A$2008,$W64),CHAR(10)," "),SEARCH("Folio",SUBSTITUTE(INDEX($A$9:$A$2008,$W64),CHAR(10)," "))+5,200),":","")),""))</f>
        <v/>
      </c>
      <c r="AB64" s="28">
        <f>IF($W64="","",IF(ISNUMBER(INDEX($D$9:$D$2008,$W64)),INDEX($D$9:$D$2008,$W64),IFERROR(DATE(2000+VALUE(RIGHT(INDEX($D$9:$D$2008,$W64),2)),VALUE(MID(INDEX($D$9:$D$2008,$W64),4,2)),VALUE(LEFT(INDEX($D$9:$D$2008,$W64),2))),"")))</f>
        <v/>
      </c>
      <c r="AC64" s="29">
        <f>IF($W64="","",IFERROR(IF(ISNUMBER(INDEX($E$9:$E$2008,$W64)),INDEX($E$9:$E$2008,$W64),VALUE(SUBSTITUTE(INDEX($E$9:$E$2008,$W64),",",""))),""))</f>
        <v/>
      </c>
      <c r="AD64" s="29">
        <f>IF($W64="","",IFERROR(IF(ISNUMBER(INDEX($F$9:$F$2008,$W64)),INDEX($F$9:$F$2008,$W64),VALUE(SUBSTITUTE(INDEX($F$9:$F$2008,$W64),",",""))),""))</f>
        <v/>
      </c>
      <c r="AE64" s="29">
        <f>IF($W64="","",IFERROR(IF(ISNUMBER(INDEX($G$9:$G$2008,$W64)),INDEX($G$9:$G$2008,$W64),VALUE(SUBSTITUTE(INDEX($G$9:$G$2008,$W64),",",""))),""))</f>
        <v/>
      </c>
      <c r="AF64" s="29">
        <f>IF($W64="","",IFERROR(IF(ISNUMBER(INDEX($H$9:$H$2008,$W64)),INDEX($H$9:$H$2008,$W64),VALUE(SUBSTITUTE(INDEX($H$9:$H$2008,$W64),",",""))),""))</f>
        <v/>
      </c>
      <c r="AG64" s="29">
        <f>IF($W64="","",IFERROR(IF(ISNUMBER(INDEX($I$9:$I$2008,$W64)),INDEX($I$9:$I$2008,$W64),VALUE(SUBSTITUTE(INDEX($I$9:$I$2008,$W64),",",""))),""))</f>
        <v/>
      </c>
      <c r="AH64" s="29">
        <f>IF($W64="","",IFERROR(IF(ISNUMBER(INDEX($J$9:$J$2008,$W64)),INDEX($J$9:$J$2008,$W64),VALUE(SUBSTITUTE(INDEX($J$9:$J$2008,$W64),",",""))),""))</f>
        <v/>
      </c>
      <c r="AI64" s="29">
        <f>IF($W64="","",IFERROR(IF(ISNUMBER(INDEX($K$9:$K$2008,$W64)),INDEX($K$9:$K$2008,$W64),VALUE(SUBSTITUTE(INDEX($K$9:$K$2008,$W64),",",""))),""))</f>
        <v/>
      </c>
      <c r="AJ64" s="30">
        <f>IF($W64="","",IFERROR(IF(ISNUMBER(INDEX($L$9:$L$2008,$W64)),INDEX($L$9:$L$2008,$W64),VALUE(SUBSTITUTE(INDEX($L$9:$L$2008,$W64),",",""))),""))</f>
        <v/>
      </c>
      <c r="AK64" s="30">
        <f>IF($W64="","",IFERROR(IF(ISNUMBER(INDEX($M$9:$M$2008,$W64)),INDEX($M$9:$M$2008,$W64),VALUE(SUBSTITUTE(INDEX($M$9:$M$2008,$W64),",",""))),""))</f>
        <v/>
      </c>
      <c r="AL64" s="31">
        <f>IF($W64="","",IFERROR(IF(ISNUMBER(INDEX($P$9:$P$2008,$W64)),INDEX($P$9:$P$2008,$W64),VALUE(SUBSTITUTE(INDEX($P$9:$P$2008,$W64),"%",""))/100),""))</f>
        <v/>
      </c>
    </row>
    <row r="65">
      <c r="S65">
        <f>IF(AND(ISTEXT($A65),ISNUMBER(SEARCH(" - ",$A65)),ISERROR(SEARCH("Folio",$A65)),$D65=""),TRIM($A65),$S64)</f>
        <v/>
      </c>
      <c r="T65">
        <f>IF(AND(ISNUMBER(SEARCH("Folio",$A65)),$D65&lt;&gt;""),1,"")</f>
        <v/>
      </c>
      <c r="U65">
        <f>IF($T65=1,COUNTIF($T$9:$T65,1),"")</f>
        <v/>
      </c>
      <c r="V65">
        <f>IF(AND(ISTEXT($A65),LEFT($A66,3)="Pan"),1,"")</f>
        <v/>
      </c>
      <c r="W65" s="21">
        <f>IFERROR(MATCH(57,$U$9:$U$2008,0),"")</f>
        <v/>
      </c>
      <c r="X65" s="22">
        <f>IF($W65="","",IF($R$5&lt;&gt;"",$R$5,$R$6))</f>
        <v/>
      </c>
      <c r="Y65" s="22">
        <f>IF($W65="","",INDEX($S$9:$S$2008,$W65))</f>
        <v/>
      </c>
      <c r="Z65" s="22">
        <f>IF($W65="","",IFERROR(TRIM(LEFT(SUBSTITUTE(INDEX($A$9:$A$2008,$W65),CHAR(10)," "),SEARCH("Folio",SUBSTITUTE(INDEX($A$9:$A$2008,$W65),CHAR(10)," "))-1)),TRIM(SUBSTITUTE(INDEX($A$9:$A$2008,$W65),CHAR(10)," "))))</f>
        <v/>
      </c>
      <c r="AA65" s="22">
        <f>IF($W65="","",IFERROR(TRIM(SUBSTITUTE(MID(SUBSTITUTE(INDEX($A$9:$A$2008,$W65),CHAR(10)," "),SEARCH("Folio",SUBSTITUTE(INDEX($A$9:$A$2008,$W65),CHAR(10)," "))+5,200),":","")),""))</f>
        <v/>
      </c>
      <c r="AB65" s="23">
        <f>IF($W65="","",IF(ISNUMBER(INDEX($D$9:$D$2008,$W65)),INDEX($D$9:$D$2008,$W65),IFERROR(DATE(2000+VALUE(RIGHT(INDEX($D$9:$D$2008,$W65),2)),VALUE(MID(INDEX($D$9:$D$2008,$W65),4,2)),VALUE(LEFT(INDEX($D$9:$D$2008,$W65),2))),"")))</f>
        <v/>
      </c>
      <c r="AC65" s="24">
        <f>IF($W65="","",IFERROR(IF(ISNUMBER(INDEX($E$9:$E$2008,$W65)),INDEX($E$9:$E$2008,$W65),VALUE(SUBSTITUTE(INDEX($E$9:$E$2008,$W65),",",""))),""))</f>
        <v/>
      </c>
      <c r="AD65" s="24">
        <f>IF($W65="","",IFERROR(IF(ISNUMBER(INDEX($F$9:$F$2008,$W65)),INDEX($F$9:$F$2008,$W65),VALUE(SUBSTITUTE(INDEX($F$9:$F$2008,$W65),",",""))),""))</f>
        <v/>
      </c>
      <c r="AE65" s="24">
        <f>IF($W65="","",IFERROR(IF(ISNUMBER(INDEX($G$9:$G$2008,$W65)),INDEX($G$9:$G$2008,$W65),VALUE(SUBSTITUTE(INDEX($G$9:$G$2008,$W65),",",""))),""))</f>
        <v/>
      </c>
      <c r="AF65" s="24">
        <f>IF($W65="","",IFERROR(IF(ISNUMBER(INDEX($H$9:$H$2008,$W65)),INDEX($H$9:$H$2008,$W65),VALUE(SUBSTITUTE(INDEX($H$9:$H$2008,$W65),",",""))),""))</f>
        <v/>
      </c>
      <c r="AG65" s="24">
        <f>IF($W65="","",IFERROR(IF(ISNUMBER(INDEX($I$9:$I$2008,$W65)),INDEX($I$9:$I$2008,$W65),VALUE(SUBSTITUTE(INDEX($I$9:$I$2008,$W65),",",""))),""))</f>
        <v/>
      </c>
      <c r="AH65" s="24">
        <f>IF($W65="","",IFERROR(IF(ISNUMBER(INDEX($J$9:$J$2008,$W65)),INDEX($J$9:$J$2008,$W65),VALUE(SUBSTITUTE(INDEX($J$9:$J$2008,$W65),",",""))),""))</f>
        <v/>
      </c>
      <c r="AI65" s="24">
        <f>IF($W65="","",IFERROR(IF(ISNUMBER(INDEX($K$9:$K$2008,$W65)),INDEX($K$9:$K$2008,$W65),VALUE(SUBSTITUTE(INDEX($K$9:$K$2008,$W65),",",""))),""))</f>
        <v/>
      </c>
      <c r="AJ65" s="25">
        <f>IF($W65="","",IFERROR(IF(ISNUMBER(INDEX($L$9:$L$2008,$W65)),INDEX($L$9:$L$2008,$W65),VALUE(SUBSTITUTE(INDEX($L$9:$L$2008,$W65),",",""))),""))</f>
        <v/>
      </c>
      <c r="AK65" s="25">
        <f>IF($W65="","",IFERROR(IF(ISNUMBER(INDEX($M$9:$M$2008,$W65)),INDEX($M$9:$M$2008,$W65),VALUE(SUBSTITUTE(INDEX($M$9:$M$2008,$W65),",",""))),""))</f>
        <v/>
      </c>
      <c r="AL65" s="26">
        <f>IF($W65="","",IFERROR(IF(ISNUMBER(INDEX($P$9:$P$2008,$W65)),INDEX($P$9:$P$2008,$W65),VALUE(SUBSTITUTE(INDEX($P$9:$P$2008,$W65),"%",""))/100),""))</f>
        <v/>
      </c>
    </row>
    <row r="66">
      <c r="S66">
        <f>IF(AND(ISTEXT($A66),ISNUMBER(SEARCH(" - ",$A66)),ISERROR(SEARCH("Folio",$A66)),$D66=""),TRIM($A66),$S65)</f>
        <v/>
      </c>
      <c r="T66">
        <f>IF(AND(ISNUMBER(SEARCH("Folio",$A66)),$D66&lt;&gt;""),1,"")</f>
        <v/>
      </c>
      <c r="U66">
        <f>IF($T66=1,COUNTIF($T$9:$T66,1),"")</f>
        <v/>
      </c>
      <c r="V66">
        <f>IF(AND(ISTEXT($A66),LEFT($A67,3)="Pan"),1,"")</f>
        <v/>
      </c>
      <c r="W66" s="21">
        <f>IFERROR(MATCH(58,$U$9:$U$2008,0),"")</f>
        <v/>
      </c>
      <c r="X66" s="27">
        <f>IF($W66="","",IF($R$5&lt;&gt;"",$R$5,$R$6))</f>
        <v/>
      </c>
      <c r="Y66" s="27">
        <f>IF($W66="","",INDEX($S$9:$S$2008,$W66))</f>
        <v/>
      </c>
      <c r="Z66" s="27">
        <f>IF($W66="","",IFERROR(TRIM(LEFT(SUBSTITUTE(INDEX($A$9:$A$2008,$W66),CHAR(10)," "),SEARCH("Folio",SUBSTITUTE(INDEX($A$9:$A$2008,$W66),CHAR(10)," "))-1)),TRIM(SUBSTITUTE(INDEX($A$9:$A$2008,$W66),CHAR(10)," "))))</f>
        <v/>
      </c>
      <c r="AA66" s="27">
        <f>IF($W66="","",IFERROR(TRIM(SUBSTITUTE(MID(SUBSTITUTE(INDEX($A$9:$A$2008,$W66),CHAR(10)," "),SEARCH("Folio",SUBSTITUTE(INDEX($A$9:$A$2008,$W66),CHAR(10)," "))+5,200),":","")),""))</f>
        <v/>
      </c>
      <c r="AB66" s="28">
        <f>IF($W66="","",IF(ISNUMBER(INDEX($D$9:$D$2008,$W66)),INDEX($D$9:$D$2008,$W66),IFERROR(DATE(2000+VALUE(RIGHT(INDEX($D$9:$D$2008,$W66),2)),VALUE(MID(INDEX($D$9:$D$2008,$W66),4,2)),VALUE(LEFT(INDEX($D$9:$D$2008,$W66),2))),"")))</f>
        <v/>
      </c>
      <c r="AC66" s="29">
        <f>IF($W66="","",IFERROR(IF(ISNUMBER(INDEX($E$9:$E$2008,$W66)),INDEX($E$9:$E$2008,$W66),VALUE(SUBSTITUTE(INDEX($E$9:$E$2008,$W66),",",""))),""))</f>
        <v/>
      </c>
      <c r="AD66" s="29">
        <f>IF($W66="","",IFERROR(IF(ISNUMBER(INDEX($F$9:$F$2008,$W66)),INDEX($F$9:$F$2008,$W66),VALUE(SUBSTITUTE(INDEX($F$9:$F$2008,$W66),",",""))),""))</f>
        <v/>
      </c>
      <c r="AE66" s="29">
        <f>IF($W66="","",IFERROR(IF(ISNUMBER(INDEX($G$9:$G$2008,$W66)),INDEX($G$9:$G$2008,$W66),VALUE(SUBSTITUTE(INDEX($G$9:$G$2008,$W66),",",""))),""))</f>
        <v/>
      </c>
      <c r="AF66" s="29">
        <f>IF($W66="","",IFERROR(IF(ISNUMBER(INDEX($H$9:$H$2008,$W66)),INDEX($H$9:$H$2008,$W66),VALUE(SUBSTITUTE(INDEX($H$9:$H$2008,$W66),",",""))),""))</f>
        <v/>
      </c>
      <c r="AG66" s="29">
        <f>IF($W66="","",IFERROR(IF(ISNUMBER(INDEX($I$9:$I$2008,$W66)),INDEX($I$9:$I$2008,$W66),VALUE(SUBSTITUTE(INDEX($I$9:$I$2008,$W66),",",""))),""))</f>
        <v/>
      </c>
      <c r="AH66" s="29">
        <f>IF($W66="","",IFERROR(IF(ISNUMBER(INDEX($J$9:$J$2008,$W66)),INDEX($J$9:$J$2008,$W66),VALUE(SUBSTITUTE(INDEX($J$9:$J$2008,$W66),",",""))),""))</f>
        <v/>
      </c>
      <c r="AI66" s="29">
        <f>IF($W66="","",IFERROR(IF(ISNUMBER(INDEX($K$9:$K$2008,$W66)),INDEX($K$9:$K$2008,$W66),VALUE(SUBSTITUTE(INDEX($K$9:$K$2008,$W66),",",""))),""))</f>
        <v/>
      </c>
      <c r="AJ66" s="30">
        <f>IF($W66="","",IFERROR(IF(ISNUMBER(INDEX($L$9:$L$2008,$W66)),INDEX($L$9:$L$2008,$W66),VALUE(SUBSTITUTE(INDEX($L$9:$L$2008,$W66),",",""))),""))</f>
        <v/>
      </c>
      <c r="AK66" s="30">
        <f>IF($W66="","",IFERROR(IF(ISNUMBER(INDEX($M$9:$M$2008,$W66)),INDEX($M$9:$M$2008,$W66),VALUE(SUBSTITUTE(INDEX($M$9:$M$2008,$W66),",",""))),""))</f>
        <v/>
      </c>
      <c r="AL66" s="31">
        <f>IF($W66="","",IFERROR(IF(ISNUMBER(INDEX($P$9:$P$2008,$W66)),INDEX($P$9:$P$2008,$W66),VALUE(SUBSTITUTE(INDEX($P$9:$P$2008,$W66),"%",""))/100),""))</f>
        <v/>
      </c>
    </row>
    <row r="67">
      <c r="S67">
        <f>IF(AND(ISTEXT($A67),ISNUMBER(SEARCH(" - ",$A67)),ISERROR(SEARCH("Folio",$A67)),$D67=""),TRIM($A67),$S66)</f>
        <v/>
      </c>
      <c r="T67">
        <f>IF(AND(ISNUMBER(SEARCH("Folio",$A67)),$D67&lt;&gt;""),1,"")</f>
        <v/>
      </c>
      <c r="U67">
        <f>IF($T67=1,COUNTIF($T$9:$T67,1),"")</f>
        <v/>
      </c>
      <c r="V67">
        <f>IF(AND(ISTEXT($A67),LEFT($A68,3)="Pan"),1,"")</f>
        <v/>
      </c>
      <c r="W67" s="21">
        <f>IFERROR(MATCH(59,$U$9:$U$2008,0),"")</f>
        <v/>
      </c>
      <c r="X67" s="22">
        <f>IF($W67="","",IF($R$5&lt;&gt;"",$R$5,$R$6))</f>
        <v/>
      </c>
      <c r="Y67" s="22">
        <f>IF($W67="","",INDEX($S$9:$S$2008,$W67))</f>
        <v/>
      </c>
      <c r="Z67" s="22">
        <f>IF($W67="","",IFERROR(TRIM(LEFT(SUBSTITUTE(INDEX($A$9:$A$2008,$W67),CHAR(10)," "),SEARCH("Folio",SUBSTITUTE(INDEX($A$9:$A$2008,$W67),CHAR(10)," "))-1)),TRIM(SUBSTITUTE(INDEX($A$9:$A$2008,$W67),CHAR(10)," "))))</f>
        <v/>
      </c>
      <c r="AA67" s="22">
        <f>IF($W67="","",IFERROR(TRIM(SUBSTITUTE(MID(SUBSTITUTE(INDEX($A$9:$A$2008,$W67),CHAR(10)," "),SEARCH("Folio",SUBSTITUTE(INDEX($A$9:$A$2008,$W67),CHAR(10)," "))+5,200),":","")),""))</f>
        <v/>
      </c>
      <c r="AB67" s="23">
        <f>IF($W67="","",IF(ISNUMBER(INDEX($D$9:$D$2008,$W67)),INDEX($D$9:$D$2008,$W67),IFERROR(DATE(2000+VALUE(RIGHT(INDEX($D$9:$D$2008,$W67),2)),VALUE(MID(INDEX($D$9:$D$2008,$W67),4,2)),VALUE(LEFT(INDEX($D$9:$D$2008,$W67),2))),"")))</f>
        <v/>
      </c>
      <c r="AC67" s="24">
        <f>IF($W67="","",IFERROR(IF(ISNUMBER(INDEX($E$9:$E$2008,$W67)),INDEX($E$9:$E$2008,$W67),VALUE(SUBSTITUTE(INDEX($E$9:$E$2008,$W67),",",""))),""))</f>
        <v/>
      </c>
      <c r="AD67" s="24">
        <f>IF($W67="","",IFERROR(IF(ISNUMBER(INDEX($F$9:$F$2008,$W67)),INDEX($F$9:$F$2008,$W67),VALUE(SUBSTITUTE(INDEX($F$9:$F$2008,$W67),",",""))),""))</f>
        <v/>
      </c>
      <c r="AE67" s="24">
        <f>IF($W67="","",IFERROR(IF(ISNUMBER(INDEX($G$9:$G$2008,$W67)),INDEX($G$9:$G$2008,$W67),VALUE(SUBSTITUTE(INDEX($G$9:$G$2008,$W67),",",""))),""))</f>
        <v/>
      </c>
      <c r="AF67" s="24">
        <f>IF($W67="","",IFERROR(IF(ISNUMBER(INDEX($H$9:$H$2008,$W67)),INDEX($H$9:$H$2008,$W67),VALUE(SUBSTITUTE(INDEX($H$9:$H$2008,$W67),",",""))),""))</f>
        <v/>
      </c>
      <c r="AG67" s="24">
        <f>IF($W67="","",IFERROR(IF(ISNUMBER(INDEX($I$9:$I$2008,$W67)),INDEX($I$9:$I$2008,$W67),VALUE(SUBSTITUTE(INDEX($I$9:$I$2008,$W67),",",""))),""))</f>
        <v/>
      </c>
      <c r="AH67" s="24">
        <f>IF($W67="","",IFERROR(IF(ISNUMBER(INDEX($J$9:$J$2008,$W67)),INDEX($J$9:$J$2008,$W67),VALUE(SUBSTITUTE(INDEX($J$9:$J$2008,$W67),",",""))),""))</f>
        <v/>
      </c>
      <c r="AI67" s="24">
        <f>IF($W67="","",IFERROR(IF(ISNUMBER(INDEX($K$9:$K$2008,$W67)),INDEX($K$9:$K$2008,$W67),VALUE(SUBSTITUTE(INDEX($K$9:$K$2008,$W67),",",""))),""))</f>
        <v/>
      </c>
      <c r="AJ67" s="25">
        <f>IF($W67="","",IFERROR(IF(ISNUMBER(INDEX($L$9:$L$2008,$W67)),INDEX($L$9:$L$2008,$W67),VALUE(SUBSTITUTE(INDEX($L$9:$L$2008,$W67),",",""))),""))</f>
        <v/>
      </c>
      <c r="AK67" s="25">
        <f>IF($W67="","",IFERROR(IF(ISNUMBER(INDEX($M$9:$M$2008,$W67)),INDEX($M$9:$M$2008,$W67),VALUE(SUBSTITUTE(INDEX($M$9:$M$2008,$W67),",",""))),""))</f>
        <v/>
      </c>
      <c r="AL67" s="26">
        <f>IF($W67="","",IFERROR(IF(ISNUMBER(INDEX($P$9:$P$2008,$W67)),INDEX($P$9:$P$2008,$W67),VALUE(SUBSTITUTE(INDEX($P$9:$P$2008,$W67),"%",""))/100),""))</f>
        <v/>
      </c>
    </row>
    <row r="68">
      <c r="S68">
        <f>IF(AND(ISTEXT($A68),ISNUMBER(SEARCH(" - ",$A68)),ISERROR(SEARCH("Folio",$A68)),$D68=""),TRIM($A68),$S67)</f>
        <v/>
      </c>
      <c r="T68">
        <f>IF(AND(ISNUMBER(SEARCH("Folio",$A68)),$D68&lt;&gt;""),1,"")</f>
        <v/>
      </c>
      <c r="U68">
        <f>IF($T68=1,COUNTIF($T$9:$T68,1),"")</f>
        <v/>
      </c>
      <c r="V68">
        <f>IF(AND(ISTEXT($A68),LEFT($A69,3)="Pan"),1,"")</f>
        <v/>
      </c>
      <c r="W68" s="21">
        <f>IFERROR(MATCH(60,$U$9:$U$2008,0),"")</f>
        <v/>
      </c>
      <c r="X68" s="27">
        <f>IF($W68="","",IF($R$5&lt;&gt;"",$R$5,$R$6))</f>
        <v/>
      </c>
      <c r="Y68" s="27">
        <f>IF($W68="","",INDEX($S$9:$S$2008,$W68))</f>
        <v/>
      </c>
      <c r="Z68" s="27">
        <f>IF($W68="","",IFERROR(TRIM(LEFT(SUBSTITUTE(INDEX($A$9:$A$2008,$W68),CHAR(10)," "),SEARCH("Folio",SUBSTITUTE(INDEX($A$9:$A$2008,$W68),CHAR(10)," "))-1)),TRIM(SUBSTITUTE(INDEX($A$9:$A$2008,$W68),CHAR(10)," "))))</f>
        <v/>
      </c>
      <c r="AA68" s="27">
        <f>IF($W68="","",IFERROR(TRIM(SUBSTITUTE(MID(SUBSTITUTE(INDEX($A$9:$A$2008,$W68),CHAR(10)," "),SEARCH("Folio",SUBSTITUTE(INDEX($A$9:$A$2008,$W68),CHAR(10)," "))+5,200),":","")),""))</f>
        <v/>
      </c>
      <c r="AB68" s="28">
        <f>IF($W68="","",IF(ISNUMBER(INDEX($D$9:$D$2008,$W68)),INDEX($D$9:$D$2008,$W68),IFERROR(DATE(2000+VALUE(RIGHT(INDEX($D$9:$D$2008,$W68),2)),VALUE(MID(INDEX($D$9:$D$2008,$W68),4,2)),VALUE(LEFT(INDEX($D$9:$D$2008,$W68),2))),"")))</f>
        <v/>
      </c>
      <c r="AC68" s="29">
        <f>IF($W68="","",IFERROR(IF(ISNUMBER(INDEX($E$9:$E$2008,$W68)),INDEX($E$9:$E$2008,$W68),VALUE(SUBSTITUTE(INDEX($E$9:$E$2008,$W68),",",""))),""))</f>
        <v/>
      </c>
      <c r="AD68" s="29">
        <f>IF($W68="","",IFERROR(IF(ISNUMBER(INDEX($F$9:$F$2008,$W68)),INDEX($F$9:$F$2008,$W68),VALUE(SUBSTITUTE(INDEX($F$9:$F$2008,$W68),",",""))),""))</f>
        <v/>
      </c>
      <c r="AE68" s="29">
        <f>IF($W68="","",IFERROR(IF(ISNUMBER(INDEX($G$9:$G$2008,$W68)),INDEX($G$9:$G$2008,$W68),VALUE(SUBSTITUTE(INDEX($G$9:$G$2008,$W68),",",""))),""))</f>
        <v/>
      </c>
      <c r="AF68" s="29">
        <f>IF($W68="","",IFERROR(IF(ISNUMBER(INDEX($H$9:$H$2008,$W68)),INDEX($H$9:$H$2008,$W68),VALUE(SUBSTITUTE(INDEX($H$9:$H$2008,$W68),",",""))),""))</f>
        <v/>
      </c>
      <c r="AG68" s="29">
        <f>IF($W68="","",IFERROR(IF(ISNUMBER(INDEX($I$9:$I$2008,$W68)),INDEX($I$9:$I$2008,$W68),VALUE(SUBSTITUTE(INDEX($I$9:$I$2008,$W68),",",""))),""))</f>
        <v/>
      </c>
      <c r="AH68" s="29">
        <f>IF($W68="","",IFERROR(IF(ISNUMBER(INDEX($J$9:$J$2008,$W68)),INDEX($J$9:$J$2008,$W68),VALUE(SUBSTITUTE(INDEX($J$9:$J$2008,$W68),",",""))),""))</f>
        <v/>
      </c>
      <c r="AI68" s="29">
        <f>IF($W68="","",IFERROR(IF(ISNUMBER(INDEX($K$9:$K$2008,$W68)),INDEX($K$9:$K$2008,$W68),VALUE(SUBSTITUTE(INDEX($K$9:$K$2008,$W68),",",""))),""))</f>
        <v/>
      </c>
      <c r="AJ68" s="30">
        <f>IF($W68="","",IFERROR(IF(ISNUMBER(INDEX($L$9:$L$2008,$W68)),INDEX($L$9:$L$2008,$W68),VALUE(SUBSTITUTE(INDEX($L$9:$L$2008,$W68),",",""))),""))</f>
        <v/>
      </c>
      <c r="AK68" s="30">
        <f>IF($W68="","",IFERROR(IF(ISNUMBER(INDEX($M$9:$M$2008,$W68)),INDEX($M$9:$M$2008,$W68),VALUE(SUBSTITUTE(INDEX($M$9:$M$2008,$W68),",",""))),""))</f>
        <v/>
      </c>
      <c r="AL68" s="31">
        <f>IF($W68="","",IFERROR(IF(ISNUMBER(INDEX($P$9:$P$2008,$W68)),INDEX($P$9:$P$2008,$W68),VALUE(SUBSTITUTE(INDEX($P$9:$P$2008,$W68),"%",""))/100),""))</f>
        <v/>
      </c>
    </row>
    <row r="69">
      <c r="S69">
        <f>IF(AND(ISTEXT($A69),ISNUMBER(SEARCH(" - ",$A69)),ISERROR(SEARCH("Folio",$A69)),$D69=""),TRIM($A69),$S68)</f>
        <v/>
      </c>
      <c r="T69">
        <f>IF(AND(ISNUMBER(SEARCH("Folio",$A69)),$D69&lt;&gt;""),1,"")</f>
        <v/>
      </c>
      <c r="U69">
        <f>IF($T69=1,COUNTIF($T$9:$T69,1),"")</f>
        <v/>
      </c>
      <c r="V69">
        <f>IF(AND(ISTEXT($A69),LEFT($A70,3)="Pan"),1,"")</f>
        <v/>
      </c>
      <c r="W69" s="21">
        <f>IFERROR(MATCH(61,$U$9:$U$2008,0),"")</f>
        <v/>
      </c>
      <c r="X69" s="22">
        <f>IF($W69="","",IF($R$5&lt;&gt;"",$R$5,$R$6))</f>
        <v/>
      </c>
      <c r="Y69" s="22">
        <f>IF($W69="","",INDEX($S$9:$S$2008,$W69))</f>
        <v/>
      </c>
      <c r="Z69" s="22">
        <f>IF($W69="","",IFERROR(TRIM(LEFT(SUBSTITUTE(INDEX($A$9:$A$2008,$W69),CHAR(10)," "),SEARCH("Folio",SUBSTITUTE(INDEX($A$9:$A$2008,$W69),CHAR(10)," "))-1)),TRIM(SUBSTITUTE(INDEX($A$9:$A$2008,$W69),CHAR(10)," "))))</f>
        <v/>
      </c>
      <c r="AA69" s="22">
        <f>IF($W69="","",IFERROR(TRIM(SUBSTITUTE(MID(SUBSTITUTE(INDEX($A$9:$A$2008,$W69),CHAR(10)," "),SEARCH("Folio",SUBSTITUTE(INDEX($A$9:$A$2008,$W69),CHAR(10)," "))+5,200),":","")),""))</f>
        <v/>
      </c>
      <c r="AB69" s="23">
        <f>IF($W69="","",IF(ISNUMBER(INDEX($D$9:$D$2008,$W69)),INDEX($D$9:$D$2008,$W69),IFERROR(DATE(2000+VALUE(RIGHT(INDEX($D$9:$D$2008,$W69),2)),VALUE(MID(INDEX($D$9:$D$2008,$W69),4,2)),VALUE(LEFT(INDEX($D$9:$D$2008,$W69),2))),"")))</f>
        <v/>
      </c>
      <c r="AC69" s="24">
        <f>IF($W69="","",IFERROR(IF(ISNUMBER(INDEX($E$9:$E$2008,$W69)),INDEX($E$9:$E$2008,$W69),VALUE(SUBSTITUTE(INDEX($E$9:$E$2008,$W69),",",""))),""))</f>
        <v/>
      </c>
      <c r="AD69" s="24">
        <f>IF($W69="","",IFERROR(IF(ISNUMBER(INDEX($F$9:$F$2008,$W69)),INDEX($F$9:$F$2008,$W69),VALUE(SUBSTITUTE(INDEX($F$9:$F$2008,$W69),",",""))),""))</f>
        <v/>
      </c>
      <c r="AE69" s="24">
        <f>IF($W69="","",IFERROR(IF(ISNUMBER(INDEX($G$9:$G$2008,$W69)),INDEX($G$9:$G$2008,$W69),VALUE(SUBSTITUTE(INDEX($G$9:$G$2008,$W69),",",""))),""))</f>
        <v/>
      </c>
      <c r="AF69" s="24">
        <f>IF($W69="","",IFERROR(IF(ISNUMBER(INDEX($H$9:$H$2008,$W69)),INDEX($H$9:$H$2008,$W69),VALUE(SUBSTITUTE(INDEX($H$9:$H$2008,$W69),",",""))),""))</f>
        <v/>
      </c>
      <c r="AG69" s="24">
        <f>IF($W69="","",IFERROR(IF(ISNUMBER(INDEX($I$9:$I$2008,$W69)),INDEX($I$9:$I$2008,$W69),VALUE(SUBSTITUTE(INDEX($I$9:$I$2008,$W69),",",""))),""))</f>
        <v/>
      </c>
      <c r="AH69" s="24">
        <f>IF($W69="","",IFERROR(IF(ISNUMBER(INDEX($J$9:$J$2008,$W69)),INDEX($J$9:$J$2008,$W69),VALUE(SUBSTITUTE(INDEX($J$9:$J$2008,$W69),",",""))),""))</f>
        <v/>
      </c>
      <c r="AI69" s="24">
        <f>IF($W69="","",IFERROR(IF(ISNUMBER(INDEX($K$9:$K$2008,$W69)),INDEX($K$9:$K$2008,$W69),VALUE(SUBSTITUTE(INDEX($K$9:$K$2008,$W69),",",""))),""))</f>
        <v/>
      </c>
      <c r="AJ69" s="25">
        <f>IF($W69="","",IFERROR(IF(ISNUMBER(INDEX($L$9:$L$2008,$W69)),INDEX($L$9:$L$2008,$W69),VALUE(SUBSTITUTE(INDEX($L$9:$L$2008,$W69),",",""))),""))</f>
        <v/>
      </c>
      <c r="AK69" s="25">
        <f>IF($W69="","",IFERROR(IF(ISNUMBER(INDEX($M$9:$M$2008,$W69)),INDEX($M$9:$M$2008,$W69),VALUE(SUBSTITUTE(INDEX($M$9:$M$2008,$W69),",",""))),""))</f>
        <v/>
      </c>
      <c r="AL69" s="26">
        <f>IF($W69="","",IFERROR(IF(ISNUMBER(INDEX($P$9:$P$2008,$W69)),INDEX($P$9:$P$2008,$W69),VALUE(SUBSTITUTE(INDEX($P$9:$P$2008,$W69),"%",""))/100),""))</f>
        <v/>
      </c>
    </row>
    <row r="70">
      <c r="S70">
        <f>IF(AND(ISTEXT($A70),ISNUMBER(SEARCH(" - ",$A70)),ISERROR(SEARCH("Folio",$A70)),$D70=""),TRIM($A70),$S69)</f>
        <v/>
      </c>
      <c r="T70">
        <f>IF(AND(ISNUMBER(SEARCH("Folio",$A70)),$D70&lt;&gt;""),1,"")</f>
        <v/>
      </c>
      <c r="U70">
        <f>IF($T70=1,COUNTIF($T$9:$T70,1),"")</f>
        <v/>
      </c>
      <c r="V70">
        <f>IF(AND(ISTEXT($A70),LEFT($A71,3)="Pan"),1,"")</f>
        <v/>
      </c>
      <c r="W70" s="21">
        <f>IFERROR(MATCH(62,$U$9:$U$2008,0),"")</f>
        <v/>
      </c>
      <c r="X70" s="27">
        <f>IF($W70="","",IF($R$5&lt;&gt;"",$R$5,$R$6))</f>
        <v/>
      </c>
      <c r="Y70" s="27">
        <f>IF($W70="","",INDEX($S$9:$S$2008,$W70))</f>
        <v/>
      </c>
      <c r="Z70" s="27">
        <f>IF($W70="","",IFERROR(TRIM(LEFT(SUBSTITUTE(INDEX($A$9:$A$2008,$W70),CHAR(10)," "),SEARCH("Folio",SUBSTITUTE(INDEX($A$9:$A$2008,$W70),CHAR(10)," "))-1)),TRIM(SUBSTITUTE(INDEX($A$9:$A$2008,$W70),CHAR(10)," "))))</f>
        <v/>
      </c>
      <c r="AA70" s="27">
        <f>IF($W70="","",IFERROR(TRIM(SUBSTITUTE(MID(SUBSTITUTE(INDEX($A$9:$A$2008,$W70),CHAR(10)," "),SEARCH("Folio",SUBSTITUTE(INDEX($A$9:$A$2008,$W70),CHAR(10)," "))+5,200),":","")),""))</f>
        <v/>
      </c>
      <c r="AB70" s="28">
        <f>IF($W70="","",IF(ISNUMBER(INDEX($D$9:$D$2008,$W70)),INDEX($D$9:$D$2008,$W70),IFERROR(DATE(2000+VALUE(RIGHT(INDEX($D$9:$D$2008,$W70),2)),VALUE(MID(INDEX($D$9:$D$2008,$W70),4,2)),VALUE(LEFT(INDEX($D$9:$D$2008,$W70),2))),"")))</f>
        <v/>
      </c>
      <c r="AC70" s="29">
        <f>IF($W70="","",IFERROR(IF(ISNUMBER(INDEX($E$9:$E$2008,$W70)),INDEX($E$9:$E$2008,$W70),VALUE(SUBSTITUTE(INDEX($E$9:$E$2008,$W70),",",""))),""))</f>
        <v/>
      </c>
      <c r="AD70" s="29">
        <f>IF($W70="","",IFERROR(IF(ISNUMBER(INDEX($F$9:$F$2008,$W70)),INDEX($F$9:$F$2008,$W70),VALUE(SUBSTITUTE(INDEX($F$9:$F$2008,$W70),",",""))),""))</f>
        <v/>
      </c>
      <c r="AE70" s="29">
        <f>IF($W70="","",IFERROR(IF(ISNUMBER(INDEX($G$9:$G$2008,$W70)),INDEX($G$9:$G$2008,$W70),VALUE(SUBSTITUTE(INDEX($G$9:$G$2008,$W70),",",""))),""))</f>
        <v/>
      </c>
      <c r="AF70" s="29">
        <f>IF($W70="","",IFERROR(IF(ISNUMBER(INDEX($H$9:$H$2008,$W70)),INDEX($H$9:$H$2008,$W70),VALUE(SUBSTITUTE(INDEX($H$9:$H$2008,$W70),",",""))),""))</f>
        <v/>
      </c>
      <c r="AG70" s="29">
        <f>IF($W70="","",IFERROR(IF(ISNUMBER(INDEX($I$9:$I$2008,$W70)),INDEX($I$9:$I$2008,$W70),VALUE(SUBSTITUTE(INDEX($I$9:$I$2008,$W70),",",""))),""))</f>
        <v/>
      </c>
      <c r="AH70" s="29">
        <f>IF($W70="","",IFERROR(IF(ISNUMBER(INDEX($J$9:$J$2008,$W70)),INDEX($J$9:$J$2008,$W70),VALUE(SUBSTITUTE(INDEX($J$9:$J$2008,$W70),",",""))),""))</f>
        <v/>
      </c>
      <c r="AI70" s="29">
        <f>IF($W70="","",IFERROR(IF(ISNUMBER(INDEX($K$9:$K$2008,$W70)),INDEX($K$9:$K$2008,$W70),VALUE(SUBSTITUTE(INDEX($K$9:$K$2008,$W70),",",""))),""))</f>
        <v/>
      </c>
      <c r="AJ70" s="30">
        <f>IF($W70="","",IFERROR(IF(ISNUMBER(INDEX($L$9:$L$2008,$W70)),INDEX($L$9:$L$2008,$W70),VALUE(SUBSTITUTE(INDEX($L$9:$L$2008,$W70),",",""))),""))</f>
        <v/>
      </c>
      <c r="AK70" s="30">
        <f>IF($W70="","",IFERROR(IF(ISNUMBER(INDEX($M$9:$M$2008,$W70)),INDEX($M$9:$M$2008,$W70),VALUE(SUBSTITUTE(INDEX($M$9:$M$2008,$W70),",",""))),""))</f>
        <v/>
      </c>
      <c r="AL70" s="31">
        <f>IF($W70="","",IFERROR(IF(ISNUMBER(INDEX($P$9:$P$2008,$W70)),INDEX($P$9:$P$2008,$W70),VALUE(SUBSTITUTE(INDEX($P$9:$P$2008,$W70),"%",""))/100),""))</f>
        <v/>
      </c>
    </row>
    <row r="71">
      <c r="S71">
        <f>IF(AND(ISTEXT($A71),ISNUMBER(SEARCH(" - ",$A71)),ISERROR(SEARCH("Folio",$A71)),$D71=""),TRIM($A71),$S70)</f>
        <v/>
      </c>
      <c r="T71">
        <f>IF(AND(ISNUMBER(SEARCH("Folio",$A71)),$D71&lt;&gt;""),1,"")</f>
        <v/>
      </c>
      <c r="U71">
        <f>IF($T71=1,COUNTIF($T$9:$T71,1),"")</f>
        <v/>
      </c>
      <c r="V71">
        <f>IF(AND(ISTEXT($A71),LEFT($A72,3)="Pan"),1,"")</f>
        <v/>
      </c>
      <c r="W71" s="21">
        <f>IFERROR(MATCH(63,$U$9:$U$2008,0),"")</f>
        <v/>
      </c>
      <c r="X71" s="22">
        <f>IF($W71="","",IF($R$5&lt;&gt;"",$R$5,$R$6))</f>
        <v/>
      </c>
      <c r="Y71" s="22">
        <f>IF($W71="","",INDEX($S$9:$S$2008,$W71))</f>
        <v/>
      </c>
      <c r="Z71" s="22">
        <f>IF($W71="","",IFERROR(TRIM(LEFT(SUBSTITUTE(INDEX($A$9:$A$2008,$W71),CHAR(10)," "),SEARCH("Folio",SUBSTITUTE(INDEX($A$9:$A$2008,$W71),CHAR(10)," "))-1)),TRIM(SUBSTITUTE(INDEX($A$9:$A$2008,$W71),CHAR(10)," "))))</f>
        <v/>
      </c>
      <c r="AA71" s="22">
        <f>IF($W71="","",IFERROR(TRIM(SUBSTITUTE(MID(SUBSTITUTE(INDEX($A$9:$A$2008,$W71),CHAR(10)," "),SEARCH("Folio",SUBSTITUTE(INDEX($A$9:$A$2008,$W71),CHAR(10)," "))+5,200),":","")),""))</f>
        <v/>
      </c>
      <c r="AB71" s="23">
        <f>IF($W71="","",IF(ISNUMBER(INDEX($D$9:$D$2008,$W71)),INDEX($D$9:$D$2008,$W71),IFERROR(DATE(2000+VALUE(RIGHT(INDEX($D$9:$D$2008,$W71),2)),VALUE(MID(INDEX($D$9:$D$2008,$W71),4,2)),VALUE(LEFT(INDEX($D$9:$D$2008,$W71),2))),"")))</f>
        <v/>
      </c>
      <c r="AC71" s="24">
        <f>IF($W71="","",IFERROR(IF(ISNUMBER(INDEX($E$9:$E$2008,$W71)),INDEX($E$9:$E$2008,$W71),VALUE(SUBSTITUTE(INDEX($E$9:$E$2008,$W71),",",""))),""))</f>
        <v/>
      </c>
      <c r="AD71" s="24">
        <f>IF($W71="","",IFERROR(IF(ISNUMBER(INDEX($F$9:$F$2008,$W71)),INDEX($F$9:$F$2008,$W71),VALUE(SUBSTITUTE(INDEX($F$9:$F$2008,$W71),",",""))),""))</f>
        <v/>
      </c>
      <c r="AE71" s="24">
        <f>IF($W71="","",IFERROR(IF(ISNUMBER(INDEX($G$9:$G$2008,$W71)),INDEX($G$9:$G$2008,$W71),VALUE(SUBSTITUTE(INDEX($G$9:$G$2008,$W71),",",""))),""))</f>
        <v/>
      </c>
      <c r="AF71" s="24">
        <f>IF($W71="","",IFERROR(IF(ISNUMBER(INDEX($H$9:$H$2008,$W71)),INDEX($H$9:$H$2008,$W71),VALUE(SUBSTITUTE(INDEX($H$9:$H$2008,$W71),",",""))),""))</f>
        <v/>
      </c>
      <c r="AG71" s="24">
        <f>IF($W71="","",IFERROR(IF(ISNUMBER(INDEX($I$9:$I$2008,$W71)),INDEX($I$9:$I$2008,$W71),VALUE(SUBSTITUTE(INDEX($I$9:$I$2008,$W71),",",""))),""))</f>
        <v/>
      </c>
      <c r="AH71" s="24">
        <f>IF($W71="","",IFERROR(IF(ISNUMBER(INDEX($J$9:$J$2008,$W71)),INDEX($J$9:$J$2008,$W71),VALUE(SUBSTITUTE(INDEX($J$9:$J$2008,$W71),",",""))),""))</f>
        <v/>
      </c>
      <c r="AI71" s="24">
        <f>IF($W71="","",IFERROR(IF(ISNUMBER(INDEX($K$9:$K$2008,$W71)),INDEX($K$9:$K$2008,$W71),VALUE(SUBSTITUTE(INDEX($K$9:$K$2008,$W71),",",""))),""))</f>
        <v/>
      </c>
      <c r="AJ71" s="25">
        <f>IF($W71="","",IFERROR(IF(ISNUMBER(INDEX($L$9:$L$2008,$W71)),INDEX($L$9:$L$2008,$W71),VALUE(SUBSTITUTE(INDEX($L$9:$L$2008,$W71),",",""))),""))</f>
        <v/>
      </c>
      <c r="AK71" s="25">
        <f>IF($W71="","",IFERROR(IF(ISNUMBER(INDEX($M$9:$M$2008,$W71)),INDEX($M$9:$M$2008,$W71),VALUE(SUBSTITUTE(INDEX($M$9:$M$2008,$W71),",",""))),""))</f>
        <v/>
      </c>
      <c r="AL71" s="26">
        <f>IF($W71="","",IFERROR(IF(ISNUMBER(INDEX($P$9:$P$2008,$W71)),INDEX($P$9:$P$2008,$W71),VALUE(SUBSTITUTE(INDEX($P$9:$P$2008,$W71),"%",""))/100),""))</f>
        <v/>
      </c>
    </row>
    <row r="72">
      <c r="S72">
        <f>IF(AND(ISTEXT($A72),ISNUMBER(SEARCH(" - ",$A72)),ISERROR(SEARCH("Folio",$A72)),$D72=""),TRIM($A72),$S71)</f>
        <v/>
      </c>
      <c r="T72">
        <f>IF(AND(ISNUMBER(SEARCH("Folio",$A72)),$D72&lt;&gt;""),1,"")</f>
        <v/>
      </c>
      <c r="U72">
        <f>IF($T72=1,COUNTIF($T$9:$T72,1),"")</f>
        <v/>
      </c>
      <c r="V72">
        <f>IF(AND(ISTEXT($A72),LEFT($A73,3)="Pan"),1,"")</f>
        <v/>
      </c>
      <c r="W72" s="21">
        <f>IFERROR(MATCH(64,$U$9:$U$2008,0),"")</f>
        <v/>
      </c>
      <c r="X72" s="27">
        <f>IF($W72="","",IF($R$5&lt;&gt;"",$R$5,$R$6))</f>
        <v/>
      </c>
      <c r="Y72" s="27">
        <f>IF($W72="","",INDEX($S$9:$S$2008,$W72))</f>
        <v/>
      </c>
      <c r="Z72" s="27">
        <f>IF($W72="","",IFERROR(TRIM(LEFT(SUBSTITUTE(INDEX($A$9:$A$2008,$W72),CHAR(10)," "),SEARCH("Folio",SUBSTITUTE(INDEX($A$9:$A$2008,$W72),CHAR(10)," "))-1)),TRIM(SUBSTITUTE(INDEX($A$9:$A$2008,$W72),CHAR(10)," "))))</f>
        <v/>
      </c>
      <c r="AA72" s="27">
        <f>IF($W72="","",IFERROR(TRIM(SUBSTITUTE(MID(SUBSTITUTE(INDEX($A$9:$A$2008,$W72),CHAR(10)," "),SEARCH("Folio",SUBSTITUTE(INDEX($A$9:$A$2008,$W72),CHAR(10)," "))+5,200),":","")),""))</f>
        <v/>
      </c>
      <c r="AB72" s="28">
        <f>IF($W72="","",IF(ISNUMBER(INDEX($D$9:$D$2008,$W72)),INDEX($D$9:$D$2008,$W72),IFERROR(DATE(2000+VALUE(RIGHT(INDEX($D$9:$D$2008,$W72),2)),VALUE(MID(INDEX($D$9:$D$2008,$W72),4,2)),VALUE(LEFT(INDEX($D$9:$D$2008,$W72),2))),"")))</f>
        <v/>
      </c>
      <c r="AC72" s="29">
        <f>IF($W72="","",IFERROR(IF(ISNUMBER(INDEX($E$9:$E$2008,$W72)),INDEX($E$9:$E$2008,$W72),VALUE(SUBSTITUTE(INDEX($E$9:$E$2008,$W72),",",""))),""))</f>
        <v/>
      </c>
      <c r="AD72" s="29">
        <f>IF($W72="","",IFERROR(IF(ISNUMBER(INDEX($F$9:$F$2008,$W72)),INDEX($F$9:$F$2008,$W72),VALUE(SUBSTITUTE(INDEX($F$9:$F$2008,$W72),",",""))),""))</f>
        <v/>
      </c>
      <c r="AE72" s="29">
        <f>IF($W72="","",IFERROR(IF(ISNUMBER(INDEX($G$9:$G$2008,$W72)),INDEX($G$9:$G$2008,$W72),VALUE(SUBSTITUTE(INDEX($G$9:$G$2008,$W72),",",""))),""))</f>
        <v/>
      </c>
      <c r="AF72" s="29">
        <f>IF($W72="","",IFERROR(IF(ISNUMBER(INDEX($H$9:$H$2008,$W72)),INDEX($H$9:$H$2008,$W72),VALUE(SUBSTITUTE(INDEX($H$9:$H$2008,$W72),",",""))),""))</f>
        <v/>
      </c>
      <c r="AG72" s="29">
        <f>IF($W72="","",IFERROR(IF(ISNUMBER(INDEX($I$9:$I$2008,$W72)),INDEX($I$9:$I$2008,$W72),VALUE(SUBSTITUTE(INDEX($I$9:$I$2008,$W72),",",""))),""))</f>
        <v/>
      </c>
      <c r="AH72" s="29">
        <f>IF($W72="","",IFERROR(IF(ISNUMBER(INDEX($J$9:$J$2008,$W72)),INDEX($J$9:$J$2008,$W72),VALUE(SUBSTITUTE(INDEX($J$9:$J$2008,$W72),",",""))),""))</f>
        <v/>
      </c>
      <c r="AI72" s="29">
        <f>IF($W72="","",IFERROR(IF(ISNUMBER(INDEX($K$9:$K$2008,$W72)),INDEX($K$9:$K$2008,$W72),VALUE(SUBSTITUTE(INDEX($K$9:$K$2008,$W72),",",""))),""))</f>
        <v/>
      </c>
      <c r="AJ72" s="30">
        <f>IF($W72="","",IFERROR(IF(ISNUMBER(INDEX($L$9:$L$2008,$W72)),INDEX($L$9:$L$2008,$W72),VALUE(SUBSTITUTE(INDEX($L$9:$L$2008,$W72),",",""))),""))</f>
        <v/>
      </c>
      <c r="AK72" s="30">
        <f>IF($W72="","",IFERROR(IF(ISNUMBER(INDEX($M$9:$M$2008,$W72)),INDEX($M$9:$M$2008,$W72),VALUE(SUBSTITUTE(INDEX($M$9:$M$2008,$W72),",",""))),""))</f>
        <v/>
      </c>
      <c r="AL72" s="31">
        <f>IF($W72="","",IFERROR(IF(ISNUMBER(INDEX($P$9:$P$2008,$W72)),INDEX($P$9:$P$2008,$W72),VALUE(SUBSTITUTE(INDEX($P$9:$P$2008,$W72),"%",""))/100),""))</f>
        <v/>
      </c>
    </row>
    <row r="73">
      <c r="S73">
        <f>IF(AND(ISTEXT($A73),ISNUMBER(SEARCH(" - ",$A73)),ISERROR(SEARCH("Folio",$A73)),$D73=""),TRIM($A73),$S72)</f>
        <v/>
      </c>
      <c r="T73">
        <f>IF(AND(ISNUMBER(SEARCH("Folio",$A73)),$D73&lt;&gt;""),1,"")</f>
        <v/>
      </c>
      <c r="U73">
        <f>IF($T73=1,COUNTIF($T$9:$T73,1),"")</f>
        <v/>
      </c>
      <c r="V73">
        <f>IF(AND(ISTEXT($A73),LEFT($A74,3)="Pan"),1,"")</f>
        <v/>
      </c>
      <c r="W73" s="21">
        <f>IFERROR(MATCH(65,$U$9:$U$2008,0),"")</f>
        <v/>
      </c>
      <c r="X73" s="22">
        <f>IF($W73="","",IF($R$5&lt;&gt;"",$R$5,$R$6))</f>
        <v/>
      </c>
      <c r="Y73" s="22">
        <f>IF($W73="","",INDEX($S$9:$S$2008,$W73))</f>
        <v/>
      </c>
      <c r="Z73" s="22">
        <f>IF($W73="","",IFERROR(TRIM(LEFT(SUBSTITUTE(INDEX($A$9:$A$2008,$W73),CHAR(10)," "),SEARCH("Folio",SUBSTITUTE(INDEX($A$9:$A$2008,$W73),CHAR(10)," "))-1)),TRIM(SUBSTITUTE(INDEX($A$9:$A$2008,$W73),CHAR(10)," "))))</f>
        <v/>
      </c>
      <c r="AA73" s="22">
        <f>IF($W73="","",IFERROR(TRIM(SUBSTITUTE(MID(SUBSTITUTE(INDEX($A$9:$A$2008,$W73),CHAR(10)," "),SEARCH("Folio",SUBSTITUTE(INDEX($A$9:$A$2008,$W73),CHAR(10)," "))+5,200),":","")),""))</f>
        <v/>
      </c>
      <c r="AB73" s="23">
        <f>IF($W73="","",IF(ISNUMBER(INDEX($D$9:$D$2008,$W73)),INDEX($D$9:$D$2008,$W73),IFERROR(DATE(2000+VALUE(RIGHT(INDEX($D$9:$D$2008,$W73),2)),VALUE(MID(INDEX($D$9:$D$2008,$W73),4,2)),VALUE(LEFT(INDEX($D$9:$D$2008,$W73),2))),"")))</f>
        <v/>
      </c>
      <c r="AC73" s="24">
        <f>IF($W73="","",IFERROR(IF(ISNUMBER(INDEX($E$9:$E$2008,$W73)),INDEX($E$9:$E$2008,$W73),VALUE(SUBSTITUTE(INDEX($E$9:$E$2008,$W73),",",""))),""))</f>
        <v/>
      </c>
      <c r="AD73" s="24">
        <f>IF($W73="","",IFERROR(IF(ISNUMBER(INDEX($F$9:$F$2008,$W73)),INDEX($F$9:$F$2008,$W73),VALUE(SUBSTITUTE(INDEX($F$9:$F$2008,$W73),",",""))),""))</f>
        <v/>
      </c>
      <c r="AE73" s="24">
        <f>IF($W73="","",IFERROR(IF(ISNUMBER(INDEX($G$9:$G$2008,$W73)),INDEX($G$9:$G$2008,$W73),VALUE(SUBSTITUTE(INDEX($G$9:$G$2008,$W73),",",""))),""))</f>
        <v/>
      </c>
      <c r="AF73" s="24">
        <f>IF($W73="","",IFERROR(IF(ISNUMBER(INDEX($H$9:$H$2008,$W73)),INDEX($H$9:$H$2008,$W73),VALUE(SUBSTITUTE(INDEX($H$9:$H$2008,$W73),",",""))),""))</f>
        <v/>
      </c>
      <c r="AG73" s="24">
        <f>IF($W73="","",IFERROR(IF(ISNUMBER(INDEX($I$9:$I$2008,$W73)),INDEX($I$9:$I$2008,$W73),VALUE(SUBSTITUTE(INDEX($I$9:$I$2008,$W73),",",""))),""))</f>
        <v/>
      </c>
      <c r="AH73" s="24">
        <f>IF($W73="","",IFERROR(IF(ISNUMBER(INDEX($J$9:$J$2008,$W73)),INDEX($J$9:$J$2008,$W73),VALUE(SUBSTITUTE(INDEX($J$9:$J$2008,$W73),",",""))),""))</f>
        <v/>
      </c>
      <c r="AI73" s="24">
        <f>IF($W73="","",IFERROR(IF(ISNUMBER(INDEX($K$9:$K$2008,$W73)),INDEX($K$9:$K$2008,$W73),VALUE(SUBSTITUTE(INDEX($K$9:$K$2008,$W73),",",""))),""))</f>
        <v/>
      </c>
      <c r="AJ73" s="25">
        <f>IF($W73="","",IFERROR(IF(ISNUMBER(INDEX($L$9:$L$2008,$W73)),INDEX($L$9:$L$2008,$W73),VALUE(SUBSTITUTE(INDEX($L$9:$L$2008,$W73),",",""))),""))</f>
        <v/>
      </c>
      <c r="AK73" s="25">
        <f>IF($W73="","",IFERROR(IF(ISNUMBER(INDEX($M$9:$M$2008,$W73)),INDEX($M$9:$M$2008,$W73),VALUE(SUBSTITUTE(INDEX($M$9:$M$2008,$W73),",",""))),""))</f>
        <v/>
      </c>
      <c r="AL73" s="26">
        <f>IF($W73="","",IFERROR(IF(ISNUMBER(INDEX($P$9:$P$2008,$W73)),INDEX($P$9:$P$2008,$W73),VALUE(SUBSTITUTE(INDEX($P$9:$P$2008,$W73),"%",""))/100),""))</f>
        <v/>
      </c>
    </row>
    <row r="74">
      <c r="S74">
        <f>IF(AND(ISTEXT($A74),ISNUMBER(SEARCH(" - ",$A74)),ISERROR(SEARCH("Folio",$A74)),$D74=""),TRIM($A74),$S73)</f>
        <v/>
      </c>
      <c r="T74">
        <f>IF(AND(ISNUMBER(SEARCH("Folio",$A74)),$D74&lt;&gt;""),1,"")</f>
        <v/>
      </c>
      <c r="U74">
        <f>IF($T74=1,COUNTIF($T$9:$T74,1),"")</f>
        <v/>
      </c>
      <c r="V74">
        <f>IF(AND(ISTEXT($A74),LEFT($A75,3)="Pan"),1,"")</f>
        <v/>
      </c>
      <c r="W74" s="21">
        <f>IFERROR(MATCH(66,$U$9:$U$2008,0),"")</f>
        <v/>
      </c>
      <c r="X74" s="27">
        <f>IF($W74="","",IF($R$5&lt;&gt;"",$R$5,$R$6))</f>
        <v/>
      </c>
      <c r="Y74" s="27">
        <f>IF($W74="","",INDEX($S$9:$S$2008,$W74))</f>
        <v/>
      </c>
      <c r="Z74" s="27">
        <f>IF($W74="","",IFERROR(TRIM(LEFT(SUBSTITUTE(INDEX($A$9:$A$2008,$W74),CHAR(10)," "),SEARCH("Folio",SUBSTITUTE(INDEX($A$9:$A$2008,$W74),CHAR(10)," "))-1)),TRIM(SUBSTITUTE(INDEX($A$9:$A$2008,$W74),CHAR(10)," "))))</f>
        <v/>
      </c>
      <c r="AA74" s="27">
        <f>IF($W74="","",IFERROR(TRIM(SUBSTITUTE(MID(SUBSTITUTE(INDEX($A$9:$A$2008,$W74),CHAR(10)," "),SEARCH("Folio",SUBSTITUTE(INDEX($A$9:$A$2008,$W74),CHAR(10)," "))+5,200),":","")),""))</f>
        <v/>
      </c>
      <c r="AB74" s="28">
        <f>IF($W74="","",IF(ISNUMBER(INDEX($D$9:$D$2008,$W74)),INDEX($D$9:$D$2008,$W74),IFERROR(DATE(2000+VALUE(RIGHT(INDEX($D$9:$D$2008,$W74),2)),VALUE(MID(INDEX($D$9:$D$2008,$W74),4,2)),VALUE(LEFT(INDEX($D$9:$D$2008,$W74),2))),"")))</f>
        <v/>
      </c>
      <c r="AC74" s="29">
        <f>IF($W74="","",IFERROR(IF(ISNUMBER(INDEX($E$9:$E$2008,$W74)),INDEX($E$9:$E$2008,$W74),VALUE(SUBSTITUTE(INDEX($E$9:$E$2008,$W74),",",""))),""))</f>
        <v/>
      </c>
      <c r="AD74" s="29">
        <f>IF($W74="","",IFERROR(IF(ISNUMBER(INDEX($F$9:$F$2008,$W74)),INDEX($F$9:$F$2008,$W74),VALUE(SUBSTITUTE(INDEX($F$9:$F$2008,$W74),",",""))),""))</f>
        <v/>
      </c>
      <c r="AE74" s="29">
        <f>IF($W74="","",IFERROR(IF(ISNUMBER(INDEX($G$9:$G$2008,$W74)),INDEX($G$9:$G$2008,$W74),VALUE(SUBSTITUTE(INDEX($G$9:$G$2008,$W74),",",""))),""))</f>
        <v/>
      </c>
      <c r="AF74" s="29">
        <f>IF($W74="","",IFERROR(IF(ISNUMBER(INDEX($H$9:$H$2008,$W74)),INDEX($H$9:$H$2008,$W74),VALUE(SUBSTITUTE(INDEX($H$9:$H$2008,$W74),",",""))),""))</f>
        <v/>
      </c>
      <c r="AG74" s="29">
        <f>IF($W74="","",IFERROR(IF(ISNUMBER(INDEX($I$9:$I$2008,$W74)),INDEX($I$9:$I$2008,$W74),VALUE(SUBSTITUTE(INDEX($I$9:$I$2008,$W74),",",""))),""))</f>
        <v/>
      </c>
      <c r="AH74" s="29">
        <f>IF($W74="","",IFERROR(IF(ISNUMBER(INDEX($J$9:$J$2008,$W74)),INDEX($J$9:$J$2008,$W74),VALUE(SUBSTITUTE(INDEX($J$9:$J$2008,$W74),",",""))),""))</f>
        <v/>
      </c>
      <c r="AI74" s="29">
        <f>IF($W74="","",IFERROR(IF(ISNUMBER(INDEX($K$9:$K$2008,$W74)),INDEX($K$9:$K$2008,$W74),VALUE(SUBSTITUTE(INDEX($K$9:$K$2008,$W74),",",""))),""))</f>
        <v/>
      </c>
      <c r="AJ74" s="30">
        <f>IF($W74="","",IFERROR(IF(ISNUMBER(INDEX($L$9:$L$2008,$W74)),INDEX($L$9:$L$2008,$W74),VALUE(SUBSTITUTE(INDEX($L$9:$L$2008,$W74),",",""))),""))</f>
        <v/>
      </c>
      <c r="AK74" s="30">
        <f>IF($W74="","",IFERROR(IF(ISNUMBER(INDEX($M$9:$M$2008,$W74)),INDEX($M$9:$M$2008,$W74),VALUE(SUBSTITUTE(INDEX($M$9:$M$2008,$W74),",",""))),""))</f>
        <v/>
      </c>
      <c r="AL74" s="31">
        <f>IF($W74="","",IFERROR(IF(ISNUMBER(INDEX($P$9:$P$2008,$W74)),INDEX($P$9:$P$2008,$W74),VALUE(SUBSTITUTE(INDEX($P$9:$P$2008,$W74),"%",""))/100),""))</f>
        <v/>
      </c>
    </row>
    <row r="75">
      <c r="S75">
        <f>IF(AND(ISTEXT($A75),ISNUMBER(SEARCH(" - ",$A75)),ISERROR(SEARCH("Folio",$A75)),$D75=""),TRIM($A75),$S74)</f>
        <v/>
      </c>
      <c r="T75">
        <f>IF(AND(ISNUMBER(SEARCH("Folio",$A75)),$D75&lt;&gt;""),1,"")</f>
        <v/>
      </c>
      <c r="U75">
        <f>IF($T75=1,COUNTIF($T$9:$T75,1),"")</f>
        <v/>
      </c>
      <c r="V75">
        <f>IF(AND(ISTEXT($A75),LEFT($A76,3)="Pan"),1,"")</f>
        <v/>
      </c>
      <c r="W75" s="21">
        <f>IFERROR(MATCH(67,$U$9:$U$2008,0),"")</f>
        <v/>
      </c>
      <c r="X75" s="22">
        <f>IF($W75="","",IF($R$5&lt;&gt;"",$R$5,$R$6))</f>
        <v/>
      </c>
      <c r="Y75" s="22">
        <f>IF($W75="","",INDEX($S$9:$S$2008,$W75))</f>
        <v/>
      </c>
      <c r="Z75" s="22">
        <f>IF($W75="","",IFERROR(TRIM(LEFT(SUBSTITUTE(INDEX($A$9:$A$2008,$W75),CHAR(10)," "),SEARCH("Folio",SUBSTITUTE(INDEX($A$9:$A$2008,$W75),CHAR(10)," "))-1)),TRIM(SUBSTITUTE(INDEX($A$9:$A$2008,$W75),CHAR(10)," "))))</f>
        <v/>
      </c>
      <c r="AA75" s="22">
        <f>IF($W75="","",IFERROR(TRIM(SUBSTITUTE(MID(SUBSTITUTE(INDEX($A$9:$A$2008,$W75),CHAR(10)," "),SEARCH("Folio",SUBSTITUTE(INDEX($A$9:$A$2008,$W75),CHAR(10)," "))+5,200),":","")),""))</f>
        <v/>
      </c>
      <c r="AB75" s="23">
        <f>IF($W75="","",IF(ISNUMBER(INDEX($D$9:$D$2008,$W75)),INDEX($D$9:$D$2008,$W75),IFERROR(DATE(2000+VALUE(RIGHT(INDEX($D$9:$D$2008,$W75),2)),VALUE(MID(INDEX($D$9:$D$2008,$W75),4,2)),VALUE(LEFT(INDEX($D$9:$D$2008,$W75),2))),"")))</f>
        <v/>
      </c>
      <c r="AC75" s="24">
        <f>IF($W75="","",IFERROR(IF(ISNUMBER(INDEX($E$9:$E$2008,$W75)),INDEX($E$9:$E$2008,$W75),VALUE(SUBSTITUTE(INDEX($E$9:$E$2008,$W75),",",""))),""))</f>
        <v/>
      </c>
      <c r="AD75" s="24">
        <f>IF($W75="","",IFERROR(IF(ISNUMBER(INDEX($F$9:$F$2008,$W75)),INDEX($F$9:$F$2008,$W75),VALUE(SUBSTITUTE(INDEX($F$9:$F$2008,$W75),",",""))),""))</f>
        <v/>
      </c>
      <c r="AE75" s="24">
        <f>IF($W75="","",IFERROR(IF(ISNUMBER(INDEX($G$9:$G$2008,$W75)),INDEX($G$9:$G$2008,$W75),VALUE(SUBSTITUTE(INDEX($G$9:$G$2008,$W75),",",""))),""))</f>
        <v/>
      </c>
      <c r="AF75" s="24">
        <f>IF($W75="","",IFERROR(IF(ISNUMBER(INDEX($H$9:$H$2008,$W75)),INDEX($H$9:$H$2008,$W75),VALUE(SUBSTITUTE(INDEX($H$9:$H$2008,$W75),",",""))),""))</f>
        <v/>
      </c>
      <c r="AG75" s="24">
        <f>IF($W75="","",IFERROR(IF(ISNUMBER(INDEX($I$9:$I$2008,$W75)),INDEX($I$9:$I$2008,$W75),VALUE(SUBSTITUTE(INDEX($I$9:$I$2008,$W75),",",""))),""))</f>
        <v/>
      </c>
      <c r="AH75" s="24">
        <f>IF($W75="","",IFERROR(IF(ISNUMBER(INDEX($J$9:$J$2008,$W75)),INDEX($J$9:$J$2008,$W75),VALUE(SUBSTITUTE(INDEX($J$9:$J$2008,$W75),",",""))),""))</f>
        <v/>
      </c>
      <c r="AI75" s="24">
        <f>IF($W75="","",IFERROR(IF(ISNUMBER(INDEX($K$9:$K$2008,$W75)),INDEX($K$9:$K$2008,$W75),VALUE(SUBSTITUTE(INDEX($K$9:$K$2008,$W75),",",""))),""))</f>
        <v/>
      </c>
      <c r="AJ75" s="25">
        <f>IF($W75="","",IFERROR(IF(ISNUMBER(INDEX($L$9:$L$2008,$W75)),INDEX($L$9:$L$2008,$W75),VALUE(SUBSTITUTE(INDEX($L$9:$L$2008,$W75),",",""))),""))</f>
        <v/>
      </c>
      <c r="AK75" s="25">
        <f>IF($W75="","",IFERROR(IF(ISNUMBER(INDEX($M$9:$M$2008,$W75)),INDEX($M$9:$M$2008,$W75),VALUE(SUBSTITUTE(INDEX($M$9:$M$2008,$W75),",",""))),""))</f>
        <v/>
      </c>
      <c r="AL75" s="26">
        <f>IF($W75="","",IFERROR(IF(ISNUMBER(INDEX($P$9:$P$2008,$W75)),INDEX($P$9:$P$2008,$W75),VALUE(SUBSTITUTE(INDEX($P$9:$P$2008,$W75),"%",""))/100),""))</f>
        <v/>
      </c>
    </row>
    <row r="76">
      <c r="S76">
        <f>IF(AND(ISTEXT($A76),ISNUMBER(SEARCH(" - ",$A76)),ISERROR(SEARCH("Folio",$A76)),$D76=""),TRIM($A76),$S75)</f>
        <v/>
      </c>
      <c r="T76">
        <f>IF(AND(ISNUMBER(SEARCH("Folio",$A76)),$D76&lt;&gt;""),1,"")</f>
        <v/>
      </c>
      <c r="U76">
        <f>IF($T76=1,COUNTIF($T$9:$T76,1),"")</f>
        <v/>
      </c>
      <c r="V76">
        <f>IF(AND(ISTEXT($A76),LEFT($A77,3)="Pan"),1,"")</f>
        <v/>
      </c>
      <c r="W76" s="21">
        <f>IFERROR(MATCH(68,$U$9:$U$2008,0),"")</f>
        <v/>
      </c>
      <c r="X76" s="27">
        <f>IF($W76="","",IF($R$5&lt;&gt;"",$R$5,$R$6))</f>
        <v/>
      </c>
      <c r="Y76" s="27">
        <f>IF($W76="","",INDEX($S$9:$S$2008,$W76))</f>
        <v/>
      </c>
      <c r="Z76" s="27">
        <f>IF($W76="","",IFERROR(TRIM(LEFT(SUBSTITUTE(INDEX($A$9:$A$2008,$W76),CHAR(10)," "),SEARCH("Folio",SUBSTITUTE(INDEX($A$9:$A$2008,$W76),CHAR(10)," "))-1)),TRIM(SUBSTITUTE(INDEX($A$9:$A$2008,$W76),CHAR(10)," "))))</f>
        <v/>
      </c>
      <c r="AA76" s="27">
        <f>IF($W76="","",IFERROR(TRIM(SUBSTITUTE(MID(SUBSTITUTE(INDEX($A$9:$A$2008,$W76),CHAR(10)," "),SEARCH("Folio",SUBSTITUTE(INDEX($A$9:$A$2008,$W76),CHAR(10)," "))+5,200),":","")),""))</f>
        <v/>
      </c>
      <c r="AB76" s="28">
        <f>IF($W76="","",IF(ISNUMBER(INDEX($D$9:$D$2008,$W76)),INDEX($D$9:$D$2008,$W76),IFERROR(DATE(2000+VALUE(RIGHT(INDEX($D$9:$D$2008,$W76),2)),VALUE(MID(INDEX($D$9:$D$2008,$W76),4,2)),VALUE(LEFT(INDEX($D$9:$D$2008,$W76),2))),"")))</f>
        <v/>
      </c>
      <c r="AC76" s="29">
        <f>IF($W76="","",IFERROR(IF(ISNUMBER(INDEX($E$9:$E$2008,$W76)),INDEX($E$9:$E$2008,$W76),VALUE(SUBSTITUTE(INDEX($E$9:$E$2008,$W76),",",""))),""))</f>
        <v/>
      </c>
      <c r="AD76" s="29">
        <f>IF($W76="","",IFERROR(IF(ISNUMBER(INDEX($F$9:$F$2008,$W76)),INDEX($F$9:$F$2008,$W76),VALUE(SUBSTITUTE(INDEX($F$9:$F$2008,$W76),",",""))),""))</f>
        <v/>
      </c>
      <c r="AE76" s="29">
        <f>IF($W76="","",IFERROR(IF(ISNUMBER(INDEX($G$9:$G$2008,$W76)),INDEX($G$9:$G$2008,$W76),VALUE(SUBSTITUTE(INDEX($G$9:$G$2008,$W76),",",""))),""))</f>
        <v/>
      </c>
      <c r="AF76" s="29">
        <f>IF($W76="","",IFERROR(IF(ISNUMBER(INDEX($H$9:$H$2008,$W76)),INDEX($H$9:$H$2008,$W76),VALUE(SUBSTITUTE(INDEX($H$9:$H$2008,$W76),",",""))),""))</f>
        <v/>
      </c>
      <c r="AG76" s="29">
        <f>IF($W76="","",IFERROR(IF(ISNUMBER(INDEX($I$9:$I$2008,$W76)),INDEX($I$9:$I$2008,$W76),VALUE(SUBSTITUTE(INDEX($I$9:$I$2008,$W76),",",""))),""))</f>
        <v/>
      </c>
      <c r="AH76" s="29">
        <f>IF($W76="","",IFERROR(IF(ISNUMBER(INDEX($J$9:$J$2008,$W76)),INDEX($J$9:$J$2008,$W76),VALUE(SUBSTITUTE(INDEX($J$9:$J$2008,$W76),",",""))),""))</f>
        <v/>
      </c>
      <c r="AI76" s="29">
        <f>IF($W76="","",IFERROR(IF(ISNUMBER(INDEX($K$9:$K$2008,$W76)),INDEX($K$9:$K$2008,$W76),VALUE(SUBSTITUTE(INDEX($K$9:$K$2008,$W76),",",""))),""))</f>
        <v/>
      </c>
      <c r="AJ76" s="30">
        <f>IF($W76="","",IFERROR(IF(ISNUMBER(INDEX($L$9:$L$2008,$W76)),INDEX($L$9:$L$2008,$W76),VALUE(SUBSTITUTE(INDEX($L$9:$L$2008,$W76),",",""))),""))</f>
        <v/>
      </c>
      <c r="AK76" s="30">
        <f>IF($W76="","",IFERROR(IF(ISNUMBER(INDEX($M$9:$M$2008,$W76)),INDEX($M$9:$M$2008,$W76),VALUE(SUBSTITUTE(INDEX($M$9:$M$2008,$W76),",",""))),""))</f>
        <v/>
      </c>
      <c r="AL76" s="31">
        <f>IF($W76="","",IFERROR(IF(ISNUMBER(INDEX($P$9:$P$2008,$W76)),INDEX($P$9:$P$2008,$W76),VALUE(SUBSTITUTE(INDEX($P$9:$P$2008,$W76),"%",""))/100),""))</f>
        <v/>
      </c>
    </row>
    <row r="77">
      <c r="S77">
        <f>IF(AND(ISTEXT($A77),ISNUMBER(SEARCH(" - ",$A77)),ISERROR(SEARCH("Folio",$A77)),$D77=""),TRIM($A77),$S76)</f>
        <v/>
      </c>
      <c r="T77">
        <f>IF(AND(ISNUMBER(SEARCH("Folio",$A77)),$D77&lt;&gt;""),1,"")</f>
        <v/>
      </c>
      <c r="U77">
        <f>IF($T77=1,COUNTIF($T$9:$T77,1),"")</f>
        <v/>
      </c>
      <c r="V77">
        <f>IF(AND(ISTEXT($A77),LEFT($A78,3)="Pan"),1,"")</f>
        <v/>
      </c>
      <c r="W77" s="21">
        <f>IFERROR(MATCH(69,$U$9:$U$2008,0),"")</f>
        <v/>
      </c>
      <c r="X77" s="22">
        <f>IF($W77="","",IF($R$5&lt;&gt;"",$R$5,$R$6))</f>
        <v/>
      </c>
      <c r="Y77" s="22">
        <f>IF($W77="","",INDEX($S$9:$S$2008,$W77))</f>
        <v/>
      </c>
      <c r="Z77" s="22">
        <f>IF($W77="","",IFERROR(TRIM(LEFT(SUBSTITUTE(INDEX($A$9:$A$2008,$W77),CHAR(10)," "),SEARCH("Folio",SUBSTITUTE(INDEX($A$9:$A$2008,$W77),CHAR(10)," "))-1)),TRIM(SUBSTITUTE(INDEX($A$9:$A$2008,$W77),CHAR(10)," "))))</f>
        <v/>
      </c>
      <c r="AA77" s="22">
        <f>IF($W77="","",IFERROR(TRIM(SUBSTITUTE(MID(SUBSTITUTE(INDEX($A$9:$A$2008,$W77),CHAR(10)," "),SEARCH("Folio",SUBSTITUTE(INDEX($A$9:$A$2008,$W77),CHAR(10)," "))+5,200),":","")),""))</f>
        <v/>
      </c>
      <c r="AB77" s="23">
        <f>IF($W77="","",IF(ISNUMBER(INDEX($D$9:$D$2008,$W77)),INDEX($D$9:$D$2008,$W77),IFERROR(DATE(2000+VALUE(RIGHT(INDEX($D$9:$D$2008,$W77),2)),VALUE(MID(INDEX($D$9:$D$2008,$W77),4,2)),VALUE(LEFT(INDEX($D$9:$D$2008,$W77),2))),"")))</f>
        <v/>
      </c>
      <c r="AC77" s="24">
        <f>IF($W77="","",IFERROR(IF(ISNUMBER(INDEX($E$9:$E$2008,$W77)),INDEX($E$9:$E$2008,$W77),VALUE(SUBSTITUTE(INDEX($E$9:$E$2008,$W77),",",""))),""))</f>
        <v/>
      </c>
      <c r="AD77" s="24">
        <f>IF($W77="","",IFERROR(IF(ISNUMBER(INDEX($F$9:$F$2008,$W77)),INDEX($F$9:$F$2008,$W77),VALUE(SUBSTITUTE(INDEX($F$9:$F$2008,$W77),",",""))),""))</f>
        <v/>
      </c>
      <c r="AE77" s="24">
        <f>IF($W77="","",IFERROR(IF(ISNUMBER(INDEX($G$9:$G$2008,$W77)),INDEX($G$9:$G$2008,$W77),VALUE(SUBSTITUTE(INDEX($G$9:$G$2008,$W77),",",""))),""))</f>
        <v/>
      </c>
      <c r="AF77" s="24">
        <f>IF($W77="","",IFERROR(IF(ISNUMBER(INDEX($H$9:$H$2008,$W77)),INDEX($H$9:$H$2008,$W77),VALUE(SUBSTITUTE(INDEX($H$9:$H$2008,$W77),",",""))),""))</f>
        <v/>
      </c>
      <c r="AG77" s="24">
        <f>IF($W77="","",IFERROR(IF(ISNUMBER(INDEX($I$9:$I$2008,$W77)),INDEX($I$9:$I$2008,$W77),VALUE(SUBSTITUTE(INDEX($I$9:$I$2008,$W77),",",""))),""))</f>
        <v/>
      </c>
      <c r="AH77" s="24">
        <f>IF($W77="","",IFERROR(IF(ISNUMBER(INDEX($J$9:$J$2008,$W77)),INDEX($J$9:$J$2008,$W77),VALUE(SUBSTITUTE(INDEX($J$9:$J$2008,$W77),",",""))),""))</f>
        <v/>
      </c>
      <c r="AI77" s="24">
        <f>IF($W77="","",IFERROR(IF(ISNUMBER(INDEX($K$9:$K$2008,$W77)),INDEX($K$9:$K$2008,$W77),VALUE(SUBSTITUTE(INDEX($K$9:$K$2008,$W77),",",""))),""))</f>
        <v/>
      </c>
      <c r="AJ77" s="25">
        <f>IF($W77="","",IFERROR(IF(ISNUMBER(INDEX($L$9:$L$2008,$W77)),INDEX($L$9:$L$2008,$W77),VALUE(SUBSTITUTE(INDEX($L$9:$L$2008,$W77),",",""))),""))</f>
        <v/>
      </c>
      <c r="AK77" s="25">
        <f>IF($W77="","",IFERROR(IF(ISNUMBER(INDEX($M$9:$M$2008,$W77)),INDEX($M$9:$M$2008,$W77),VALUE(SUBSTITUTE(INDEX($M$9:$M$2008,$W77),",",""))),""))</f>
        <v/>
      </c>
      <c r="AL77" s="26">
        <f>IF($W77="","",IFERROR(IF(ISNUMBER(INDEX($P$9:$P$2008,$W77)),INDEX($P$9:$P$2008,$W77),VALUE(SUBSTITUTE(INDEX($P$9:$P$2008,$W77),"%",""))/100),""))</f>
        <v/>
      </c>
    </row>
    <row r="78">
      <c r="S78">
        <f>IF(AND(ISTEXT($A78),ISNUMBER(SEARCH(" - ",$A78)),ISERROR(SEARCH("Folio",$A78)),$D78=""),TRIM($A78),$S77)</f>
        <v/>
      </c>
      <c r="T78">
        <f>IF(AND(ISNUMBER(SEARCH("Folio",$A78)),$D78&lt;&gt;""),1,"")</f>
        <v/>
      </c>
      <c r="U78">
        <f>IF($T78=1,COUNTIF($T$9:$T78,1),"")</f>
        <v/>
      </c>
      <c r="V78">
        <f>IF(AND(ISTEXT($A78),LEFT($A79,3)="Pan"),1,"")</f>
        <v/>
      </c>
      <c r="W78" s="21">
        <f>IFERROR(MATCH(70,$U$9:$U$2008,0),"")</f>
        <v/>
      </c>
      <c r="X78" s="27">
        <f>IF($W78="","",IF($R$5&lt;&gt;"",$R$5,$R$6))</f>
        <v/>
      </c>
      <c r="Y78" s="27">
        <f>IF($W78="","",INDEX($S$9:$S$2008,$W78))</f>
        <v/>
      </c>
      <c r="Z78" s="27">
        <f>IF($W78="","",IFERROR(TRIM(LEFT(SUBSTITUTE(INDEX($A$9:$A$2008,$W78),CHAR(10)," "),SEARCH("Folio",SUBSTITUTE(INDEX($A$9:$A$2008,$W78),CHAR(10)," "))-1)),TRIM(SUBSTITUTE(INDEX($A$9:$A$2008,$W78),CHAR(10)," "))))</f>
        <v/>
      </c>
      <c r="AA78" s="27">
        <f>IF($W78="","",IFERROR(TRIM(SUBSTITUTE(MID(SUBSTITUTE(INDEX($A$9:$A$2008,$W78),CHAR(10)," "),SEARCH("Folio",SUBSTITUTE(INDEX($A$9:$A$2008,$W78),CHAR(10)," "))+5,200),":","")),""))</f>
        <v/>
      </c>
      <c r="AB78" s="28">
        <f>IF($W78="","",IF(ISNUMBER(INDEX($D$9:$D$2008,$W78)),INDEX($D$9:$D$2008,$W78),IFERROR(DATE(2000+VALUE(RIGHT(INDEX($D$9:$D$2008,$W78),2)),VALUE(MID(INDEX($D$9:$D$2008,$W78),4,2)),VALUE(LEFT(INDEX($D$9:$D$2008,$W78),2))),"")))</f>
        <v/>
      </c>
      <c r="AC78" s="29">
        <f>IF($W78="","",IFERROR(IF(ISNUMBER(INDEX($E$9:$E$2008,$W78)),INDEX($E$9:$E$2008,$W78),VALUE(SUBSTITUTE(INDEX($E$9:$E$2008,$W78),",",""))),""))</f>
        <v/>
      </c>
      <c r="AD78" s="29">
        <f>IF($W78="","",IFERROR(IF(ISNUMBER(INDEX($F$9:$F$2008,$W78)),INDEX($F$9:$F$2008,$W78),VALUE(SUBSTITUTE(INDEX($F$9:$F$2008,$W78),",",""))),""))</f>
        <v/>
      </c>
      <c r="AE78" s="29">
        <f>IF($W78="","",IFERROR(IF(ISNUMBER(INDEX($G$9:$G$2008,$W78)),INDEX($G$9:$G$2008,$W78),VALUE(SUBSTITUTE(INDEX($G$9:$G$2008,$W78),",",""))),""))</f>
        <v/>
      </c>
      <c r="AF78" s="29">
        <f>IF($W78="","",IFERROR(IF(ISNUMBER(INDEX($H$9:$H$2008,$W78)),INDEX($H$9:$H$2008,$W78),VALUE(SUBSTITUTE(INDEX($H$9:$H$2008,$W78),",",""))),""))</f>
        <v/>
      </c>
      <c r="AG78" s="29">
        <f>IF($W78="","",IFERROR(IF(ISNUMBER(INDEX($I$9:$I$2008,$W78)),INDEX($I$9:$I$2008,$W78),VALUE(SUBSTITUTE(INDEX($I$9:$I$2008,$W78),",",""))),""))</f>
        <v/>
      </c>
      <c r="AH78" s="29">
        <f>IF($W78="","",IFERROR(IF(ISNUMBER(INDEX($J$9:$J$2008,$W78)),INDEX($J$9:$J$2008,$W78),VALUE(SUBSTITUTE(INDEX($J$9:$J$2008,$W78),",",""))),""))</f>
        <v/>
      </c>
      <c r="AI78" s="29">
        <f>IF($W78="","",IFERROR(IF(ISNUMBER(INDEX($K$9:$K$2008,$W78)),INDEX($K$9:$K$2008,$W78),VALUE(SUBSTITUTE(INDEX($K$9:$K$2008,$W78),",",""))),""))</f>
        <v/>
      </c>
      <c r="AJ78" s="30">
        <f>IF($W78="","",IFERROR(IF(ISNUMBER(INDEX($L$9:$L$2008,$W78)),INDEX($L$9:$L$2008,$W78),VALUE(SUBSTITUTE(INDEX($L$9:$L$2008,$W78),",",""))),""))</f>
        <v/>
      </c>
      <c r="AK78" s="30">
        <f>IF($W78="","",IFERROR(IF(ISNUMBER(INDEX($M$9:$M$2008,$W78)),INDEX($M$9:$M$2008,$W78),VALUE(SUBSTITUTE(INDEX($M$9:$M$2008,$W78),",",""))),""))</f>
        <v/>
      </c>
      <c r="AL78" s="31">
        <f>IF($W78="","",IFERROR(IF(ISNUMBER(INDEX($P$9:$P$2008,$W78)),INDEX($P$9:$P$2008,$W78),VALUE(SUBSTITUTE(INDEX($P$9:$P$2008,$W78),"%",""))/100),""))</f>
        <v/>
      </c>
    </row>
    <row r="79">
      <c r="S79">
        <f>IF(AND(ISTEXT($A79),ISNUMBER(SEARCH(" - ",$A79)),ISERROR(SEARCH("Folio",$A79)),$D79=""),TRIM($A79),$S78)</f>
        <v/>
      </c>
      <c r="T79">
        <f>IF(AND(ISNUMBER(SEARCH("Folio",$A79)),$D79&lt;&gt;""),1,"")</f>
        <v/>
      </c>
      <c r="U79">
        <f>IF($T79=1,COUNTIF($T$9:$T79,1),"")</f>
        <v/>
      </c>
      <c r="V79">
        <f>IF(AND(ISTEXT($A79),LEFT($A80,3)="Pan"),1,"")</f>
        <v/>
      </c>
      <c r="W79" s="21">
        <f>IFERROR(MATCH(71,$U$9:$U$2008,0),"")</f>
        <v/>
      </c>
      <c r="X79" s="22">
        <f>IF($W79="","",IF($R$5&lt;&gt;"",$R$5,$R$6))</f>
        <v/>
      </c>
      <c r="Y79" s="22">
        <f>IF($W79="","",INDEX($S$9:$S$2008,$W79))</f>
        <v/>
      </c>
      <c r="Z79" s="22">
        <f>IF($W79="","",IFERROR(TRIM(LEFT(SUBSTITUTE(INDEX($A$9:$A$2008,$W79),CHAR(10)," "),SEARCH("Folio",SUBSTITUTE(INDEX($A$9:$A$2008,$W79),CHAR(10)," "))-1)),TRIM(SUBSTITUTE(INDEX($A$9:$A$2008,$W79),CHAR(10)," "))))</f>
        <v/>
      </c>
      <c r="AA79" s="22">
        <f>IF($W79="","",IFERROR(TRIM(SUBSTITUTE(MID(SUBSTITUTE(INDEX($A$9:$A$2008,$W79),CHAR(10)," "),SEARCH("Folio",SUBSTITUTE(INDEX($A$9:$A$2008,$W79),CHAR(10)," "))+5,200),":","")),""))</f>
        <v/>
      </c>
      <c r="AB79" s="23">
        <f>IF($W79="","",IF(ISNUMBER(INDEX($D$9:$D$2008,$W79)),INDEX($D$9:$D$2008,$W79),IFERROR(DATE(2000+VALUE(RIGHT(INDEX($D$9:$D$2008,$W79),2)),VALUE(MID(INDEX($D$9:$D$2008,$W79),4,2)),VALUE(LEFT(INDEX($D$9:$D$2008,$W79),2))),"")))</f>
        <v/>
      </c>
      <c r="AC79" s="24">
        <f>IF($W79="","",IFERROR(IF(ISNUMBER(INDEX($E$9:$E$2008,$W79)),INDEX($E$9:$E$2008,$W79),VALUE(SUBSTITUTE(INDEX($E$9:$E$2008,$W79),",",""))),""))</f>
        <v/>
      </c>
      <c r="AD79" s="24">
        <f>IF($W79="","",IFERROR(IF(ISNUMBER(INDEX($F$9:$F$2008,$W79)),INDEX($F$9:$F$2008,$W79),VALUE(SUBSTITUTE(INDEX($F$9:$F$2008,$W79),",",""))),""))</f>
        <v/>
      </c>
      <c r="AE79" s="24">
        <f>IF($W79="","",IFERROR(IF(ISNUMBER(INDEX($G$9:$G$2008,$W79)),INDEX($G$9:$G$2008,$W79),VALUE(SUBSTITUTE(INDEX($G$9:$G$2008,$W79),",",""))),""))</f>
        <v/>
      </c>
      <c r="AF79" s="24">
        <f>IF($W79="","",IFERROR(IF(ISNUMBER(INDEX($H$9:$H$2008,$W79)),INDEX($H$9:$H$2008,$W79),VALUE(SUBSTITUTE(INDEX($H$9:$H$2008,$W79),",",""))),""))</f>
        <v/>
      </c>
      <c r="AG79" s="24">
        <f>IF($W79="","",IFERROR(IF(ISNUMBER(INDEX($I$9:$I$2008,$W79)),INDEX($I$9:$I$2008,$W79),VALUE(SUBSTITUTE(INDEX($I$9:$I$2008,$W79),",",""))),""))</f>
        <v/>
      </c>
      <c r="AH79" s="24">
        <f>IF($W79="","",IFERROR(IF(ISNUMBER(INDEX($J$9:$J$2008,$W79)),INDEX($J$9:$J$2008,$W79),VALUE(SUBSTITUTE(INDEX($J$9:$J$2008,$W79),",",""))),""))</f>
        <v/>
      </c>
      <c r="AI79" s="24">
        <f>IF($W79="","",IFERROR(IF(ISNUMBER(INDEX($K$9:$K$2008,$W79)),INDEX($K$9:$K$2008,$W79),VALUE(SUBSTITUTE(INDEX($K$9:$K$2008,$W79),",",""))),""))</f>
        <v/>
      </c>
      <c r="AJ79" s="25">
        <f>IF($W79="","",IFERROR(IF(ISNUMBER(INDEX($L$9:$L$2008,$W79)),INDEX($L$9:$L$2008,$W79),VALUE(SUBSTITUTE(INDEX($L$9:$L$2008,$W79),",",""))),""))</f>
        <v/>
      </c>
      <c r="AK79" s="25">
        <f>IF($W79="","",IFERROR(IF(ISNUMBER(INDEX($M$9:$M$2008,$W79)),INDEX($M$9:$M$2008,$W79),VALUE(SUBSTITUTE(INDEX($M$9:$M$2008,$W79),",",""))),""))</f>
        <v/>
      </c>
      <c r="AL79" s="26">
        <f>IF($W79="","",IFERROR(IF(ISNUMBER(INDEX($P$9:$P$2008,$W79)),INDEX($P$9:$P$2008,$W79),VALUE(SUBSTITUTE(INDEX($P$9:$P$2008,$W79),"%",""))/100),""))</f>
        <v/>
      </c>
    </row>
    <row r="80">
      <c r="S80">
        <f>IF(AND(ISTEXT($A80),ISNUMBER(SEARCH(" - ",$A80)),ISERROR(SEARCH("Folio",$A80)),$D80=""),TRIM($A80),$S79)</f>
        <v/>
      </c>
      <c r="T80">
        <f>IF(AND(ISNUMBER(SEARCH("Folio",$A80)),$D80&lt;&gt;""),1,"")</f>
        <v/>
      </c>
      <c r="U80">
        <f>IF($T80=1,COUNTIF($T$9:$T80,1),"")</f>
        <v/>
      </c>
      <c r="V80">
        <f>IF(AND(ISTEXT($A80),LEFT($A81,3)="Pan"),1,"")</f>
        <v/>
      </c>
      <c r="W80" s="21">
        <f>IFERROR(MATCH(72,$U$9:$U$2008,0),"")</f>
        <v/>
      </c>
      <c r="X80" s="27">
        <f>IF($W80="","",IF($R$5&lt;&gt;"",$R$5,$R$6))</f>
        <v/>
      </c>
      <c r="Y80" s="27">
        <f>IF($W80="","",INDEX($S$9:$S$2008,$W80))</f>
        <v/>
      </c>
      <c r="Z80" s="27">
        <f>IF($W80="","",IFERROR(TRIM(LEFT(SUBSTITUTE(INDEX($A$9:$A$2008,$W80),CHAR(10)," "),SEARCH("Folio",SUBSTITUTE(INDEX($A$9:$A$2008,$W80),CHAR(10)," "))-1)),TRIM(SUBSTITUTE(INDEX($A$9:$A$2008,$W80),CHAR(10)," "))))</f>
        <v/>
      </c>
      <c r="AA80" s="27">
        <f>IF($W80="","",IFERROR(TRIM(SUBSTITUTE(MID(SUBSTITUTE(INDEX($A$9:$A$2008,$W80),CHAR(10)," "),SEARCH("Folio",SUBSTITUTE(INDEX($A$9:$A$2008,$W80),CHAR(10)," "))+5,200),":","")),""))</f>
        <v/>
      </c>
      <c r="AB80" s="28">
        <f>IF($W80="","",IF(ISNUMBER(INDEX($D$9:$D$2008,$W80)),INDEX($D$9:$D$2008,$W80),IFERROR(DATE(2000+VALUE(RIGHT(INDEX($D$9:$D$2008,$W80),2)),VALUE(MID(INDEX($D$9:$D$2008,$W80),4,2)),VALUE(LEFT(INDEX($D$9:$D$2008,$W80),2))),"")))</f>
        <v/>
      </c>
      <c r="AC80" s="29">
        <f>IF($W80="","",IFERROR(IF(ISNUMBER(INDEX($E$9:$E$2008,$W80)),INDEX($E$9:$E$2008,$W80),VALUE(SUBSTITUTE(INDEX($E$9:$E$2008,$W80),",",""))),""))</f>
        <v/>
      </c>
      <c r="AD80" s="29">
        <f>IF($W80="","",IFERROR(IF(ISNUMBER(INDEX($F$9:$F$2008,$W80)),INDEX($F$9:$F$2008,$W80),VALUE(SUBSTITUTE(INDEX($F$9:$F$2008,$W80),",",""))),""))</f>
        <v/>
      </c>
      <c r="AE80" s="29">
        <f>IF($W80="","",IFERROR(IF(ISNUMBER(INDEX($G$9:$G$2008,$W80)),INDEX($G$9:$G$2008,$W80),VALUE(SUBSTITUTE(INDEX($G$9:$G$2008,$W80),",",""))),""))</f>
        <v/>
      </c>
      <c r="AF80" s="29">
        <f>IF($W80="","",IFERROR(IF(ISNUMBER(INDEX($H$9:$H$2008,$W80)),INDEX($H$9:$H$2008,$W80),VALUE(SUBSTITUTE(INDEX($H$9:$H$2008,$W80),",",""))),""))</f>
        <v/>
      </c>
      <c r="AG80" s="29">
        <f>IF($W80="","",IFERROR(IF(ISNUMBER(INDEX($I$9:$I$2008,$W80)),INDEX($I$9:$I$2008,$W80),VALUE(SUBSTITUTE(INDEX($I$9:$I$2008,$W80),",",""))),""))</f>
        <v/>
      </c>
      <c r="AH80" s="29">
        <f>IF($W80="","",IFERROR(IF(ISNUMBER(INDEX($J$9:$J$2008,$W80)),INDEX($J$9:$J$2008,$W80),VALUE(SUBSTITUTE(INDEX($J$9:$J$2008,$W80),",",""))),""))</f>
        <v/>
      </c>
      <c r="AI80" s="29">
        <f>IF($W80="","",IFERROR(IF(ISNUMBER(INDEX($K$9:$K$2008,$W80)),INDEX($K$9:$K$2008,$W80),VALUE(SUBSTITUTE(INDEX($K$9:$K$2008,$W80),",",""))),""))</f>
        <v/>
      </c>
      <c r="AJ80" s="30">
        <f>IF($W80="","",IFERROR(IF(ISNUMBER(INDEX($L$9:$L$2008,$W80)),INDEX($L$9:$L$2008,$W80),VALUE(SUBSTITUTE(INDEX($L$9:$L$2008,$W80),",",""))),""))</f>
        <v/>
      </c>
      <c r="AK80" s="30">
        <f>IF($W80="","",IFERROR(IF(ISNUMBER(INDEX($M$9:$M$2008,$W80)),INDEX($M$9:$M$2008,$W80),VALUE(SUBSTITUTE(INDEX($M$9:$M$2008,$W80),",",""))),""))</f>
        <v/>
      </c>
      <c r="AL80" s="31">
        <f>IF($W80="","",IFERROR(IF(ISNUMBER(INDEX($P$9:$P$2008,$W80)),INDEX($P$9:$P$2008,$W80),VALUE(SUBSTITUTE(INDEX($P$9:$P$2008,$W80),"%",""))/100),""))</f>
        <v/>
      </c>
    </row>
    <row r="81">
      <c r="S81">
        <f>IF(AND(ISTEXT($A81),ISNUMBER(SEARCH(" - ",$A81)),ISERROR(SEARCH("Folio",$A81)),$D81=""),TRIM($A81),$S80)</f>
        <v/>
      </c>
      <c r="T81">
        <f>IF(AND(ISNUMBER(SEARCH("Folio",$A81)),$D81&lt;&gt;""),1,"")</f>
        <v/>
      </c>
      <c r="U81">
        <f>IF($T81=1,COUNTIF($T$9:$T81,1),"")</f>
        <v/>
      </c>
      <c r="V81">
        <f>IF(AND(ISTEXT($A81),LEFT($A82,3)="Pan"),1,"")</f>
        <v/>
      </c>
      <c r="W81" s="21">
        <f>IFERROR(MATCH(73,$U$9:$U$2008,0),"")</f>
        <v/>
      </c>
      <c r="X81" s="22">
        <f>IF($W81="","",IF($R$5&lt;&gt;"",$R$5,$R$6))</f>
        <v/>
      </c>
      <c r="Y81" s="22">
        <f>IF($W81="","",INDEX($S$9:$S$2008,$W81))</f>
        <v/>
      </c>
      <c r="Z81" s="22">
        <f>IF($W81="","",IFERROR(TRIM(LEFT(SUBSTITUTE(INDEX($A$9:$A$2008,$W81),CHAR(10)," "),SEARCH("Folio",SUBSTITUTE(INDEX($A$9:$A$2008,$W81),CHAR(10)," "))-1)),TRIM(SUBSTITUTE(INDEX($A$9:$A$2008,$W81),CHAR(10)," "))))</f>
        <v/>
      </c>
      <c r="AA81" s="22">
        <f>IF($W81="","",IFERROR(TRIM(SUBSTITUTE(MID(SUBSTITUTE(INDEX($A$9:$A$2008,$W81),CHAR(10)," "),SEARCH("Folio",SUBSTITUTE(INDEX($A$9:$A$2008,$W81),CHAR(10)," "))+5,200),":","")),""))</f>
        <v/>
      </c>
      <c r="AB81" s="23">
        <f>IF($W81="","",IF(ISNUMBER(INDEX($D$9:$D$2008,$W81)),INDEX($D$9:$D$2008,$W81),IFERROR(DATE(2000+VALUE(RIGHT(INDEX($D$9:$D$2008,$W81),2)),VALUE(MID(INDEX($D$9:$D$2008,$W81),4,2)),VALUE(LEFT(INDEX($D$9:$D$2008,$W81),2))),"")))</f>
        <v/>
      </c>
      <c r="AC81" s="24">
        <f>IF($W81="","",IFERROR(IF(ISNUMBER(INDEX($E$9:$E$2008,$W81)),INDEX($E$9:$E$2008,$W81),VALUE(SUBSTITUTE(INDEX($E$9:$E$2008,$W81),",",""))),""))</f>
        <v/>
      </c>
      <c r="AD81" s="24">
        <f>IF($W81="","",IFERROR(IF(ISNUMBER(INDEX($F$9:$F$2008,$W81)),INDEX($F$9:$F$2008,$W81),VALUE(SUBSTITUTE(INDEX($F$9:$F$2008,$W81),",",""))),""))</f>
        <v/>
      </c>
      <c r="AE81" s="24">
        <f>IF($W81="","",IFERROR(IF(ISNUMBER(INDEX($G$9:$G$2008,$W81)),INDEX($G$9:$G$2008,$W81),VALUE(SUBSTITUTE(INDEX($G$9:$G$2008,$W81),",",""))),""))</f>
        <v/>
      </c>
      <c r="AF81" s="24">
        <f>IF($W81="","",IFERROR(IF(ISNUMBER(INDEX($H$9:$H$2008,$W81)),INDEX($H$9:$H$2008,$W81),VALUE(SUBSTITUTE(INDEX($H$9:$H$2008,$W81),",",""))),""))</f>
        <v/>
      </c>
      <c r="AG81" s="24">
        <f>IF($W81="","",IFERROR(IF(ISNUMBER(INDEX($I$9:$I$2008,$W81)),INDEX($I$9:$I$2008,$W81),VALUE(SUBSTITUTE(INDEX($I$9:$I$2008,$W81),",",""))),""))</f>
        <v/>
      </c>
      <c r="AH81" s="24">
        <f>IF($W81="","",IFERROR(IF(ISNUMBER(INDEX($J$9:$J$2008,$W81)),INDEX($J$9:$J$2008,$W81),VALUE(SUBSTITUTE(INDEX($J$9:$J$2008,$W81),",",""))),""))</f>
        <v/>
      </c>
      <c r="AI81" s="24">
        <f>IF($W81="","",IFERROR(IF(ISNUMBER(INDEX($K$9:$K$2008,$W81)),INDEX($K$9:$K$2008,$W81),VALUE(SUBSTITUTE(INDEX($K$9:$K$2008,$W81),",",""))),""))</f>
        <v/>
      </c>
      <c r="AJ81" s="25">
        <f>IF($W81="","",IFERROR(IF(ISNUMBER(INDEX($L$9:$L$2008,$W81)),INDEX($L$9:$L$2008,$W81),VALUE(SUBSTITUTE(INDEX($L$9:$L$2008,$W81),",",""))),""))</f>
        <v/>
      </c>
      <c r="AK81" s="25">
        <f>IF($W81="","",IFERROR(IF(ISNUMBER(INDEX($M$9:$M$2008,$W81)),INDEX($M$9:$M$2008,$W81),VALUE(SUBSTITUTE(INDEX($M$9:$M$2008,$W81),",",""))),""))</f>
        <v/>
      </c>
      <c r="AL81" s="26">
        <f>IF($W81="","",IFERROR(IF(ISNUMBER(INDEX($P$9:$P$2008,$W81)),INDEX($P$9:$P$2008,$W81),VALUE(SUBSTITUTE(INDEX($P$9:$P$2008,$W81),"%",""))/100),""))</f>
        <v/>
      </c>
    </row>
    <row r="82">
      <c r="S82">
        <f>IF(AND(ISTEXT($A82),ISNUMBER(SEARCH(" - ",$A82)),ISERROR(SEARCH("Folio",$A82)),$D82=""),TRIM($A82),$S81)</f>
        <v/>
      </c>
      <c r="T82">
        <f>IF(AND(ISNUMBER(SEARCH("Folio",$A82)),$D82&lt;&gt;""),1,"")</f>
        <v/>
      </c>
      <c r="U82">
        <f>IF($T82=1,COUNTIF($T$9:$T82,1),"")</f>
        <v/>
      </c>
      <c r="V82">
        <f>IF(AND(ISTEXT($A82),LEFT($A83,3)="Pan"),1,"")</f>
        <v/>
      </c>
      <c r="W82" s="21">
        <f>IFERROR(MATCH(74,$U$9:$U$2008,0),"")</f>
        <v/>
      </c>
      <c r="X82" s="27">
        <f>IF($W82="","",IF($R$5&lt;&gt;"",$R$5,$R$6))</f>
        <v/>
      </c>
      <c r="Y82" s="27">
        <f>IF($W82="","",INDEX($S$9:$S$2008,$W82))</f>
        <v/>
      </c>
      <c r="Z82" s="27">
        <f>IF($W82="","",IFERROR(TRIM(LEFT(SUBSTITUTE(INDEX($A$9:$A$2008,$W82),CHAR(10)," "),SEARCH("Folio",SUBSTITUTE(INDEX($A$9:$A$2008,$W82),CHAR(10)," "))-1)),TRIM(SUBSTITUTE(INDEX($A$9:$A$2008,$W82),CHAR(10)," "))))</f>
        <v/>
      </c>
      <c r="AA82" s="27">
        <f>IF($W82="","",IFERROR(TRIM(SUBSTITUTE(MID(SUBSTITUTE(INDEX($A$9:$A$2008,$W82),CHAR(10)," "),SEARCH("Folio",SUBSTITUTE(INDEX($A$9:$A$2008,$W82),CHAR(10)," "))+5,200),":","")),""))</f>
        <v/>
      </c>
      <c r="AB82" s="28">
        <f>IF($W82="","",IF(ISNUMBER(INDEX($D$9:$D$2008,$W82)),INDEX($D$9:$D$2008,$W82),IFERROR(DATE(2000+VALUE(RIGHT(INDEX($D$9:$D$2008,$W82),2)),VALUE(MID(INDEX($D$9:$D$2008,$W82),4,2)),VALUE(LEFT(INDEX($D$9:$D$2008,$W82),2))),"")))</f>
        <v/>
      </c>
      <c r="AC82" s="29">
        <f>IF($W82="","",IFERROR(IF(ISNUMBER(INDEX($E$9:$E$2008,$W82)),INDEX($E$9:$E$2008,$W82),VALUE(SUBSTITUTE(INDEX($E$9:$E$2008,$W82),",",""))),""))</f>
        <v/>
      </c>
      <c r="AD82" s="29">
        <f>IF($W82="","",IFERROR(IF(ISNUMBER(INDEX($F$9:$F$2008,$W82)),INDEX($F$9:$F$2008,$W82),VALUE(SUBSTITUTE(INDEX($F$9:$F$2008,$W82),",",""))),""))</f>
        <v/>
      </c>
      <c r="AE82" s="29">
        <f>IF($W82="","",IFERROR(IF(ISNUMBER(INDEX($G$9:$G$2008,$W82)),INDEX($G$9:$G$2008,$W82),VALUE(SUBSTITUTE(INDEX($G$9:$G$2008,$W82),",",""))),""))</f>
        <v/>
      </c>
      <c r="AF82" s="29">
        <f>IF($W82="","",IFERROR(IF(ISNUMBER(INDEX($H$9:$H$2008,$W82)),INDEX($H$9:$H$2008,$W82),VALUE(SUBSTITUTE(INDEX($H$9:$H$2008,$W82),",",""))),""))</f>
        <v/>
      </c>
      <c r="AG82" s="29">
        <f>IF($W82="","",IFERROR(IF(ISNUMBER(INDEX($I$9:$I$2008,$W82)),INDEX($I$9:$I$2008,$W82),VALUE(SUBSTITUTE(INDEX($I$9:$I$2008,$W82),",",""))),""))</f>
        <v/>
      </c>
      <c r="AH82" s="29">
        <f>IF($W82="","",IFERROR(IF(ISNUMBER(INDEX($J$9:$J$2008,$W82)),INDEX($J$9:$J$2008,$W82),VALUE(SUBSTITUTE(INDEX($J$9:$J$2008,$W82),",",""))),""))</f>
        <v/>
      </c>
      <c r="AI82" s="29">
        <f>IF($W82="","",IFERROR(IF(ISNUMBER(INDEX($K$9:$K$2008,$W82)),INDEX($K$9:$K$2008,$W82),VALUE(SUBSTITUTE(INDEX($K$9:$K$2008,$W82),",",""))),""))</f>
        <v/>
      </c>
      <c r="AJ82" s="30">
        <f>IF($W82="","",IFERROR(IF(ISNUMBER(INDEX($L$9:$L$2008,$W82)),INDEX($L$9:$L$2008,$W82),VALUE(SUBSTITUTE(INDEX($L$9:$L$2008,$W82),",",""))),""))</f>
        <v/>
      </c>
      <c r="AK82" s="30">
        <f>IF($W82="","",IFERROR(IF(ISNUMBER(INDEX($M$9:$M$2008,$W82)),INDEX($M$9:$M$2008,$W82),VALUE(SUBSTITUTE(INDEX($M$9:$M$2008,$W82),",",""))),""))</f>
        <v/>
      </c>
      <c r="AL82" s="31">
        <f>IF($W82="","",IFERROR(IF(ISNUMBER(INDEX($P$9:$P$2008,$W82)),INDEX($P$9:$P$2008,$W82),VALUE(SUBSTITUTE(INDEX($P$9:$P$2008,$W82),"%",""))/100),""))</f>
        <v/>
      </c>
    </row>
    <row r="83">
      <c r="S83">
        <f>IF(AND(ISTEXT($A83),ISNUMBER(SEARCH(" - ",$A83)),ISERROR(SEARCH("Folio",$A83)),$D83=""),TRIM($A83),$S82)</f>
        <v/>
      </c>
      <c r="T83">
        <f>IF(AND(ISNUMBER(SEARCH("Folio",$A83)),$D83&lt;&gt;""),1,"")</f>
        <v/>
      </c>
      <c r="U83">
        <f>IF($T83=1,COUNTIF($T$9:$T83,1),"")</f>
        <v/>
      </c>
      <c r="V83">
        <f>IF(AND(ISTEXT($A83),LEFT($A84,3)="Pan"),1,"")</f>
        <v/>
      </c>
      <c r="W83" s="21">
        <f>IFERROR(MATCH(75,$U$9:$U$2008,0),"")</f>
        <v/>
      </c>
      <c r="X83" s="22">
        <f>IF($W83="","",IF($R$5&lt;&gt;"",$R$5,$R$6))</f>
        <v/>
      </c>
      <c r="Y83" s="22">
        <f>IF($W83="","",INDEX($S$9:$S$2008,$W83))</f>
        <v/>
      </c>
      <c r="Z83" s="22">
        <f>IF($W83="","",IFERROR(TRIM(LEFT(SUBSTITUTE(INDEX($A$9:$A$2008,$W83),CHAR(10)," "),SEARCH("Folio",SUBSTITUTE(INDEX($A$9:$A$2008,$W83),CHAR(10)," "))-1)),TRIM(SUBSTITUTE(INDEX($A$9:$A$2008,$W83),CHAR(10)," "))))</f>
        <v/>
      </c>
      <c r="AA83" s="22">
        <f>IF($W83="","",IFERROR(TRIM(SUBSTITUTE(MID(SUBSTITUTE(INDEX($A$9:$A$2008,$W83),CHAR(10)," "),SEARCH("Folio",SUBSTITUTE(INDEX($A$9:$A$2008,$W83),CHAR(10)," "))+5,200),":","")),""))</f>
        <v/>
      </c>
      <c r="AB83" s="23">
        <f>IF($W83="","",IF(ISNUMBER(INDEX($D$9:$D$2008,$W83)),INDEX($D$9:$D$2008,$W83),IFERROR(DATE(2000+VALUE(RIGHT(INDEX($D$9:$D$2008,$W83),2)),VALUE(MID(INDEX($D$9:$D$2008,$W83),4,2)),VALUE(LEFT(INDEX($D$9:$D$2008,$W83),2))),"")))</f>
        <v/>
      </c>
      <c r="AC83" s="24">
        <f>IF($W83="","",IFERROR(IF(ISNUMBER(INDEX($E$9:$E$2008,$W83)),INDEX($E$9:$E$2008,$W83),VALUE(SUBSTITUTE(INDEX($E$9:$E$2008,$W83),",",""))),""))</f>
        <v/>
      </c>
      <c r="AD83" s="24">
        <f>IF($W83="","",IFERROR(IF(ISNUMBER(INDEX($F$9:$F$2008,$W83)),INDEX($F$9:$F$2008,$W83),VALUE(SUBSTITUTE(INDEX($F$9:$F$2008,$W83),",",""))),""))</f>
        <v/>
      </c>
      <c r="AE83" s="24">
        <f>IF($W83="","",IFERROR(IF(ISNUMBER(INDEX($G$9:$G$2008,$W83)),INDEX($G$9:$G$2008,$W83),VALUE(SUBSTITUTE(INDEX($G$9:$G$2008,$W83),",",""))),""))</f>
        <v/>
      </c>
      <c r="AF83" s="24">
        <f>IF($W83="","",IFERROR(IF(ISNUMBER(INDEX($H$9:$H$2008,$W83)),INDEX($H$9:$H$2008,$W83),VALUE(SUBSTITUTE(INDEX($H$9:$H$2008,$W83),",",""))),""))</f>
        <v/>
      </c>
      <c r="AG83" s="24">
        <f>IF($W83="","",IFERROR(IF(ISNUMBER(INDEX($I$9:$I$2008,$W83)),INDEX($I$9:$I$2008,$W83),VALUE(SUBSTITUTE(INDEX($I$9:$I$2008,$W83),",",""))),""))</f>
        <v/>
      </c>
      <c r="AH83" s="24">
        <f>IF($W83="","",IFERROR(IF(ISNUMBER(INDEX($J$9:$J$2008,$W83)),INDEX($J$9:$J$2008,$W83),VALUE(SUBSTITUTE(INDEX($J$9:$J$2008,$W83),",",""))),""))</f>
        <v/>
      </c>
      <c r="AI83" s="24">
        <f>IF($W83="","",IFERROR(IF(ISNUMBER(INDEX($K$9:$K$2008,$W83)),INDEX($K$9:$K$2008,$W83),VALUE(SUBSTITUTE(INDEX($K$9:$K$2008,$W83),",",""))),""))</f>
        <v/>
      </c>
      <c r="AJ83" s="25">
        <f>IF($W83="","",IFERROR(IF(ISNUMBER(INDEX($L$9:$L$2008,$W83)),INDEX($L$9:$L$2008,$W83),VALUE(SUBSTITUTE(INDEX($L$9:$L$2008,$W83),",",""))),""))</f>
        <v/>
      </c>
      <c r="AK83" s="25">
        <f>IF($W83="","",IFERROR(IF(ISNUMBER(INDEX($M$9:$M$2008,$W83)),INDEX($M$9:$M$2008,$W83),VALUE(SUBSTITUTE(INDEX($M$9:$M$2008,$W83),",",""))),""))</f>
        <v/>
      </c>
      <c r="AL83" s="26">
        <f>IF($W83="","",IFERROR(IF(ISNUMBER(INDEX($P$9:$P$2008,$W83)),INDEX($P$9:$P$2008,$W83),VALUE(SUBSTITUTE(INDEX($P$9:$P$2008,$W83),"%",""))/100),""))</f>
        <v/>
      </c>
    </row>
    <row r="84">
      <c r="S84">
        <f>IF(AND(ISTEXT($A84),ISNUMBER(SEARCH(" - ",$A84)),ISERROR(SEARCH("Folio",$A84)),$D84=""),TRIM($A84),$S83)</f>
        <v/>
      </c>
      <c r="T84">
        <f>IF(AND(ISNUMBER(SEARCH("Folio",$A84)),$D84&lt;&gt;""),1,"")</f>
        <v/>
      </c>
      <c r="U84">
        <f>IF($T84=1,COUNTIF($T$9:$T84,1),"")</f>
        <v/>
      </c>
      <c r="V84">
        <f>IF(AND(ISTEXT($A84),LEFT($A85,3)="Pan"),1,"")</f>
        <v/>
      </c>
      <c r="W84" s="21">
        <f>IFERROR(MATCH(76,$U$9:$U$2008,0),"")</f>
        <v/>
      </c>
      <c r="X84" s="27">
        <f>IF($W84="","",IF($R$5&lt;&gt;"",$R$5,$R$6))</f>
        <v/>
      </c>
      <c r="Y84" s="27">
        <f>IF($W84="","",INDEX($S$9:$S$2008,$W84))</f>
        <v/>
      </c>
      <c r="Z84" s="27">
        <f>IF($W84="","",IFERROR(TRIM(LEFT(SUBSTITUTE(INDEX($A$9:$A$2008,$W84),CHAR(10)," "),SEARCH("Folio",SUBSTITUTE(INDEX($A$9:$A$2008,$W84),CHAR(10)," "))-1)),TRIM(SUBSTITUTE(INDEX($A$9:$A$2008,$W84),CHAR(10)," "))))</f>
        <v/>
      </c>
      <c r="AA84" s="27">
        <f>IF($W84="","",IFERROR(TRIM(SUBSTITUTE(MID(SUBSTITUTE(INDEX($A$9:$A$2008,$W84),CHAR(10)," "),SEARCH("Folio",SUBSTITUTE(INDEX($A$9:$A$2008,$W84),CHAR(10)," "))+5,200),":","")),""))</f>
        <v/>
      </c>
      <c r="AB84" s="28">
        <f>IF($W84="","",IF(ISNUMBER(INDEX($D$9:$D$2008,$W84)),INDEX($D$9:$D$2008,$W84),IFERROR(DATE(2000+VALUE(RIGHT(INDEX($D$9:$D$2008,$W84),2)),VALUE(MID(INDEX($D$9:$D$2008,$W84),4,2)),VALUE(LEFT(INDEX($D$9:$D$2008,$W84),2))),"")))</f>
        <v/>
      </c>
      <c r="AC84" s="29">
        <f>IF($W84="","",IFERROR(IF(ISNUMBER(INDEX($E$9:$E$2008,$W84)),INDEX($E$9:$E$2008,$W84),VALUE(SUBSTITUTE(INDEX($E$9:$E$2008,$W84),",",""))),""))</f>
        <v/>
      </c>
      <c r="AD84" s="29">
        <f>IF($W84="","",IFERROR(IF(ISNUMBER(INDEX($F$9:$F$2008,$W84)),INDEX($F$9:$F$2008,$W84),VALUE(SUBSTITUTE(INDEX($F$9:$F$2008,$W84),",",""))),""))</f>
        <v/>
      </c>
      <c r="AE84" s="29">
        <f>IF($W84="","",IFERROR(IF(ISNUMBER(INDEX($G$9:$G$2008,$W84)),INDEX($G$9:$G$2008,$W84),VALUE(SUBSTITUTE(INDEX($G$9:$G$2008,$W84),",",""))),""))</f>
        <v/>
      </c>
      <c r="AF84" s="29">
        <f>IF($W84="","",IFERROR(IF(ISNUMBER(INDEX($H$9:$H$2008,$W84)),INDEX($H$9:$H$2008,$W84),VALUE(SUBSTITUTE(INDEX($H$9:$H$2008,$W84),",",""))),""))</f>
        <v/>
      </c>
      <c r="AG84" s="29">
        <f>IF($W84="","",IFERROR(IF(ISNUMBER(INDEX($I$9:$I$2008,$W84)),INDEX($I$9:$I$2008,$W84),VALUE(SUBSTITUTE(INDEX($I$9:$I$2008,$W84),",",""))),""))</f>
        <v/>
      </c>
      <c r="AH84" s="29">
        <f>IF($W84="","",IFERROR(IF(ISNUMBER(INDEX($J$9:$J$2008,$W84)),INDEX($J$9:$J$2008,$W84),VALUE(SUBSTITUTE(INDEX($J$9:$J$2008,$W84),",",""))),""))</f>
        <v/>
      </c>
      <c r="AI84" s="29">
        <f>IF($W84="","",IFERROR(IF(ISNUMBER(INDEX($K$9:$K$2008,$W84)),INDEX($K$9:$K$2008,$W84),VALUE(SUBSTITUTE(INDEX($K$9:$K$2008,$W84),",",""))),""))</f>
        <v/>
      </c>
      <c r="AJ84" s="30">
        <f>IF($W84="","",IFERROR(IF(ISNUMBER(INDEX($L$9:$L$2008,$W84)),INDEX($L$9:$L$2008,$W84),VALUE(SUBSTITUTE(INDEX($L$9:$L$2008,$W84),",",""))),""))</f>
        <v/>
      </c>
      <c r="AK84" s="30">
        <f>IF($W84="","",IFERROR(IF(ISNUMBER(INDEX($M$9:$M$2008,$W84)),INDEX($M$9:$M$2008,$W84),VALUE(SUBSTITUTE(INDEX($M$9:$M$2008,$W84),",",""))),""))</f>
        <v/>
      </c>
      <c r="AL84" s="31">
        <f>IF($W84="","",IFERROR(IF(ISNUMBER(INDEX($P$9:$P$2008,$W84)),INDEX($P$9:$P$2008,$W84),VALUE(SUBSTITUTE(INDEX($P$9:$P$2008,$W84),"%",""))/100),""))</f>
        <v/>
      </c>
    </row>
    <row r="85">
      <c r="S85">
        <f>IF(AND(ISTEXT($A85),ISNUMBER(SEARCH(" - ",$A85)),ISERROR(SEARCH("Folio",$A85)),$D85=""),TRIM($A85),$S84)</f>
        <v/>
      </c>
      <c r="T85">
        <f>IF(AND(ISNUMBER(SEARCH("Folio",$A85)),$D85&lt;&gt;""),1,"")</f>
        <v/>
      </c>
      <c r="U85">
        <f>IF($T85=1,COUNTIF($T$9:$T85,1),"")</f>
        <v/>
      </c>
      <c r="V85">
        <f>IF(AND(ISTEXT($A85),LEFT($A86,3)="Pan"),1,"")</f>
        <v/>
      </c>
      <c r="W85" s="21">
        <f>IFERROR(MATCH(77,$U$9:$U$2008,0),"")</f>
        <v/>
      </c>
      <c r="X85" s="22">
        <f>IF($W85="","",IF($R$5&lt;&gt;"",$R$5,$R$6))</f>
        <v/>
      </c>
      <c r="Y85" s="22">
        <f>IF($W85="","",INDEX($S$9:$S$2008,$W85))</f>
        <v/>
      </c>
      <c r="Z85" s="22">
        <f>IF($W85="","",IFERROR(TRIM(LEFT(SUBSTITUTE(INDEX($A$9:$A$2008,$W85),CHAR(10)," "),SEARCH("Folio",SUBSTITUTE(INDEX($A$9:$A$2008,$W85),CHAR(10)," "))-1)),TRIM(SUBSTITUTE(INDEX($A$9:$A$2008,$W85),CHAR(10)," "))))</f>
        <v/>
      </c>
      <c r="AA85" s="22">
        <f>IF($W85="","",IFERROR(TRIM(SUBSTITUTE(MID(SUBSTITUTE(INDEX($A$9:$A$2008,$W85),CHAR(10)," "),SEARCH("Folio",SUBSTITUTE(INDEX($A$9:$A$2008,$W85),CHAR(10)," "))+5,200),":","")),""))</f>
        <v/>
      </c>
      <c r="AB85" s="23">
        <f>IF($W85="","",IF(ISNUMBER(INDEX($D$9:$D$2008,$W85)),INDEX($D$9:$D$2008,$W85),IFERROR(DATE(2000+VALUE(RIGHT(INDEX($D$9:$D$2008,$W85),2)),VALUE(MID(INDEX($D$9:$D$2008,$W85),4,2)),VALUE(LEFT(INDEX($D$9:$D$2008,$W85),2))),"")))</f>
        <v/>
      </c>
      <c r="AC85" s="24">
        <f>IF($W85="","",IFERROR(IF(ISNUMBER(INDEX($E$9:$E$2008,$W85)),INDEX($E$9:$E$2008,$W85),VALUE(SUBSTITUTE(INDEX($E$9:$E$2008,$W85),",",""))),""))</f>
        <v/>
      </c>
      <c r="AD85" s="24">
        <f>IF($W85="","",IFERROR(IF(ISNUMBER(INDEX($F$9:$F$2008,$W85)),INDEX($F$9:$F$2008,$W85),VALUE(SUBSTITUTE(INDEX($F$9:$F$2008,$W85),",",""))),""))</f>
        <v/>
      </c>
      <c r="AE85" s="24">
        <f>IF($W85="","",IFERROR(IF(ISNUMBER(INDEX($G$9:$G$2008,$W85)),INDEX($G$9:$G$2008,$W85),VALUE(SUBSTITUTE(INDEX($G$9:$G$2008,$W85),",",""))),""))</f>
        <v/>
      </c>
      <c r="AF85" s="24">
        <f>IF($W85="","",IFERROR(IF(ISNUMBER(INDEX($H$9:$H$2008,$W85)),INDEX($H$9:$H$2008,$W85),VALUE(SUBSTITUTE(INDEX($H$9:$H$2008,$W85),",",""))),""))</f>
        <v/>
      </c>
      <c r="AG85" s="24">
        <f>IF($W85="","",IFERROR(IF(ISNUMBER(INDEX($I$9:$I$2008,$W85)),INDEX($I$9:$I$2008,$W85),VALUE(SUBSTITUTE(INDEX($I$9:$I$2008,$W85),",",""))),""))</f>
        <v/>
      </c>
      <c r="AH85" s="24">
        <f>IF($W85="","",IFERROR(IF(ISNUMBER(INDEX($J$9:$J$2008,$W85)),INDEX($J$9:$J$2008,$W85),VALUE(SUBSTITUTE(INDEX($J$9:$J$2008,$W85),",",""))),""))</f>
        <v/>
      </c>
      <c r="AI85" s="24">
        <f>IF($W85="","",IFERROR(IF(ISNUMBER(INDEX($K$9:$K$2008,$W85)),INDEX($K$9:$K$2008,$W85),VALUE(SUBSTITUTE(INDEX($K$9:$K$2008,$W85),",",""))),""))</f>
        <v/>
      </c>
      <c r="AJ85" s="25">
        <f>IF($W85="","",IFERROR(IF(ISNUMBER(INDEX($L$9:$L$2008,$W85)),INDEX($L$9:$L$2008,$W85),VALUE(SUBSTITUTE(INDEX($L$9:$L$2008,$W85),",",""))),""))</f>
        <v/>
      </c>
      <c r="AK85" s="25">
        <f>IF($W85="","",IFERROR(IF(ISNUMBER(INDEX($M$9:$M$2008,$W85)),INDEX($M$9:$M$2008,$W85),VALUE(SUBSTITUTE(INDEX($M$9:$M$2008,$W85),",",""))),""))</f>
        <v/>
      </c>
      <c r="AL85" s="26">
        <f>IF($W85="","",IFERROR(IF(ISNUMBER(INDEX($P$9:$P$2008,$W85)),INDEX($P$9:$P$2008,$W85),VALUE(SUBSTITUTE(INDEX($P$9:$P$2008,$W85),"%",""))/100),""))</f>
        <v/>
      </c>
    </row>
    <row r="86">
      <c r="S86">
        <f>IF(AND(ISTEXT($A86),ISNUMBER(SEARCH(" - ",$A86)),ISERROR(SEARCH("Folio",$A86)),$D86=""),TRIM($A86),$S85)</f>
        <v/>
      </c>
      <c r="T86">
        <f>IF(AND(ISNUMBER(SEARCH("Folio",$A86)),$D86&lt;&gt;""),1,"")</f>
        <v/>
      </c>
      <c r="U86">
        <f>IF($T86=1,COUNTIF($T$9:$T86,1),"")</f>
        <v/>
      </c>
      <c r="V86">
        <f>IF(AND(ISTEXT($A86),LEFT($A87,3)="Pan"),1,"")</f>
        <v/>
      </c>
      <c r="W86" s="21">
        <f>IFERROR(MATCH(78,$U$9:$U$2008,0),"")</f>
        <v/>
      </c>
      <c r="X86" s="27">
        <f>IF($W86="","",IF($R$5&lt;&gt;"",$R$5,$R$6))</f>
        <v/>
      </c>
      <c r="Y86" s="27">
        <f>IF($W86="","",INDEX($S$9:$S$2008,$W86))</f>
        <v/>
      </c>
      <c r="Z86" s="27">
        <f>IF($W86="","",IFERROR(TRIM(LEFT(SUBSTITUTE(INDEX($A$9:$A$2008,$W86),CHAR(10)," "),SEARCH("Folio",SUBSTITUTE(INDEX($A$9:$A$2008,$W86),CHAR(10)," "))-1)),TRIM(SUBSTITUTE(INDEX($A$9:$A$2008,$W86),CHAR(10)," "))))</f>
        <v/>
      </c>
      <c r="AA86" s="27">
        <f>IF($W86="","",IFERROR(TRIM(SUBSTITUTE(MID(SUBSTITUTE(INDEX($A$9:$A$2008,$W86),CHAR(10)," "),SEARCH("Folio",SUBSTITUTE(INDEX($A$9:$A$2008,$W86),CHAR(10)," "))+5,200),":","")),""))</f>
        <v/>
      </c>
      <c r="AB86" s="28">
        <f>IF($W86="","",IF(ISNUMBER(INDEX($D$9:$D$2008,$W86)),INDEX($D$9:$D$2008,$W86),IFERROR(DATE(2000+VALUE(RIGHT(INDEX($D$9:$D$2008,$W86),2)),VALUE(MID(INDEX($D$9:$D$2008,$W86),4,2)),VALUE(LEFT(INDEX($D$9:$D$2008,$W86),2))),"")))</f>
        <v/>
      </c>
      <c r="AC86" s="29">
        <f>IF($W86="","",IFERROR(IF(ISNUMBER(INDEX($E$9:$E$2008,$W86)),INDEX($E$9:$E$2008,$W86),VALUE(SUBSTITUTE(INDEX($E$9:$E$2008,$W86),",",""))),""))</f>
        <v/>
      </c>
      <c r="AD86" s="29">
        <f>IF($W86="","",IFERROR(IF(ISNUMBER(INDEX($F$9:$F$2008,$W86)),INDEX($F$9:$F$2008,$W86),VALUE(SUBSTITUTE(INDEX($F$9:$F$2008,$W86),",",""))),""))</f>
        <v/>
      </c>
      <c r="AE86" s="29">
        <f>IF($W86="","",IFERROR(IF(ISNUMBER(INDEX($G$9:$G$2008,$W86)),INDEX($G$9:$G$2008,$W86),VALUE(SUBSTITUTE(INDEX($G$9:$G$2008,$W86),",",""))),""))</f>
        <v/>
      </c>
      <c r="AF86" s="29">
        <f>IF($W86="","",IFERROR(IF(ISNUMBER(INDEX($H$9:$H$2008,$W86)),INDEX($H$9:$H$2008,$W86),VALUE(SUBSTITUTE(INDEX($H$9:$H$2008,$W86),",",""))),""))</f>
        <v/>
      </c>
      <c r="AG86" s="29">
        <f>IF($W86="","",IFERROR(IF(ISNUMBER(INDEX($I$9:$I$2008,$W86)),INDEX($I$9:$I$2008,$W86),VALUE(SUBSTITUTE(INDEX($I$9:$I$2008,$W86),",",""))),""))</f>
        <v/>
      </c>
      <c r="AH86" s="29">
        <f>IF($W86="","",IFERROR(IF(ISNUMBER(INDEX($J$9:$J$2008,$W86)),INDEX($J$9:$J$2008,$W86),VALUE(SUBSTITUTE(INDEX($J$9:$J$2008,$W86),",",""))),""))</f>
        <v/>
      </c>
      <c r="AI86" s="29">
        <f>IF($W86="","",IFERROR(IF(ISNUMBER(INDEX($K$9:$K$2008,$W86)),INDEX($K$9:$K$2008,$W86),VALUE(SUBSTITUTE(INDEX($K$9:$K$2008,$W86),",",""))),""))</f>
        <v/>
      </c>
      <c r="AJ86" s="30">
        <f>IF($W86="","",IFERROR(IF(ISNUMBER(INDEX($L$9:$L$2008,$W86)),INDEX($L$9:$L$2008,$W86),VALUE(SUBSTITUTE(INDEX($L$9:$L$2008,$W86),",",""))),""))</f>
        <v/>
      </c>
      <c r="AK86" s="30">
        <f>IF($W86="","",IFERROR(IF(ISNUMBER(INDEX($M$9:$M$2008,$W86)),INDEX($M$9:$M$2008,$W86),VALUE(SUBSTITUTE(INDEX($M$9:$M$2008,$W86),",",""))),""))</f>
        <v/>
      </c>
      <c r="AL86" s="31">
        <f>IF($W86="","",IFERROR(IF(ISNUMBER(INDEX($P$9:$P$2008,$W86)),INDEX($P$9:$P$2008,$W86),VALUE(SUBSTITUTE(INDEX($P$9:$P$2008,$W86),"%",""))/100),""))</f>
        <v/>
      </c>
    </row>
    <row r="87">
      <c r="S87">
        <f>IF(AND(ISTEXT($A87),ISNUMBER(SEARCH(" - ",$A87)),ISERROR(SEARCH("Folio",$A87)),$D87=""),TRIM($A87),$S86)</f>
        <v/>
      </c>
      <c r="T87">
        <f>IF(AND(ISNUMBER(SEARCH("Folio",$A87)),$D87&lt;&gt;""),1,"")</f>
        <v/>
      </c>
      <c r="U87">
        <f>IF($T87=1,COUNTIF($T$9:$T87,1),"")</f>
        <v/>
      </c>
      <c r="V87">
        <f>IF(AND(ISTEXT($A87),LEFT($A88,3)="Pan"),1,"")</f>
        <v/>
      </c>
      <c r="W87" s="21">
        <f>IFERROR(MATCH(79,$U$9:$U$2008,0),"")</f>
        <v/>
      </c>
      <c r="X87" s="22">
        <f>IF($W87="","",IF($R$5&lt;&gt;"",$R$5,$R$6))</f>
        <v/>
      </c>
      <c r="Y87" s="22">
        <f>IF($W87="","",INDEX($S$9:$S$2008,$W87))</f>
        <v/>
      </c>
      <c r="Z87" s="22">
        <f>IF($W87="","",IFERROR(TRIM(LEFT(SUBSTITUTE(INDEX($A$9:$A$2008,$W87),CHAR(10)," "),SEARCH("Folio",SUBSTITUTE(INDEX($A$9:$A$2008,$W87),CHAR(10)," "))-1)),TRIM(SUBSTITUTE(INDEX($A$9:$A$2008,$W87),CHAR(10)," "))))</f>
        <v/>
      </c>
      <c r="AA87" s="22">
        <f>IF($W87="","",IFERROR(TRIM(SUBSTITUTE(MID(SUBSTITUTE(INDEX($A$9:$A$2008,$W87),CHAR(10)," "),SEARCH("Folio",SUBSTITUTE(INDEX($A$9:$A$2008,$W87),CHAR(10)," "))+5,200),":","")),""))</f>
        <v/>
      </c>
      <c r="AB87" s="23">
        <f>IF($W87="","",IF(ISNUMBER(INDEX($D$9:$D$2008,$W87)),INDEX($D$9:$D$2008,$W87),IFERROR(DATE(2000+VALUE(RIGHT(INDEX($D$9:$D$2008,$W87),2)),VALUE(MID(INDEX($D$9:$D$2008,$W87),4,2)),VALUE(LEFT(INDEX($D$9:$D$2008,$W87),2))),"")))</f>
        <v/>
      </c>
      <c r="AC87" s="24">
        <f>IF($W87="","",IFERROR(IF(ISNUMBER(INDEX($E$9:$E$2008,$W87)),INDEX($E$9:$E$2008,$W87),VALUE(SUBSTITUTE(INDEX($E$9:$E$2008,$W87),",",""))),""))</f>
        <v/>
      </c>
      <c r="AD87" s="24">
        <f>IF($W87="","",IFERROR(IF(ISNUMBER(INDEX($F$9:$F$2008,$W87)),INDEX($F$9:$F$2008,$W87),VALUE(SUBSTITUTE(INDEX($F$9:$F$2008,$W87),",",""))),""))</f>
        <v/>
      </c>
      <c r="AE87" s="24">
        <f>IF($W87="","",IFERROR(IF(ISNUMBER(INDEX($G$9:$G$2008,$W87)),INDEX($G$9:$G$2008,$W87),VALUE(SUBSTITUTE(INDEX($G$9:$G$2008,$W87),",",""))),""))</f>
        <v/>
      </c>
      <c r="AF87" s="24">
        <f>IF($W87="","",IFERROR(IF(ISNUMBER(INDEX($H$9:$H$2008,$W87)),INDEX($H$9:$H$2008,$W87),VALUE(SUBSTITUTE(INDEX($H$9:$H$2008,$W87),",",""))),""))</f>
        <v/>
      </c>
      <c r="AG87" s="24">
        <f>IF($W87="","",IFERROR(IF(ISNUMBER(INDEX($I$9:$I$2008,$W87)),INDEX($I$9:$I$2008,$W87),VALUE(SUBSTITUTE(INDEX($I$9:$I$2008,$W87),",",""))),""))</f>
        <v/>
      </c>
      <c r="AH87" s="24">
        <f>IF($W87="","",IFERROR(IF(ISNUMBER(INDEX($J$9:$J$2008,$W87)),INDEX($J$9:$J$2008,$W87),VALUE(SUBSTITUTE(INDEX($J$9:$J$2008,$W87),",",""))),""))</f>
        <v/>
      </c>
      <c r="AI87" s="24">
        <f>IF($W87="","",IFERROR(IF(ISNUMBER(INDEX($K$9:$K$2008,$W87)),INDEX($K$9:$K$2008,$W87),VALUE(SUBSTITUTE(INDEX($K$9:$K$2008,$W87),",",""))),""))</f>
        <v/>
      </c>
      <c r="AJ87" s="25">
        <f>IF($W87="","",IFERROR(IF(ISNUMBER(INDEX($L$9:$L$2008,$W87)),INDEX($L$9:$L$2008,$W87),VALUE(SUBSTITUTE(INDEX($L$9:$L$2008,$W87),",",""))),""))</f>
        <v/>
      </c>
      <c r="AK87" s="25">
        <f>IF($W87="","",IFERROR(IF(ISNUMBER(INDEX($M$9:$M$2008,$W87)),INDEX($M$9:$M$2008,$W87),VALUE(SUBSTITUTE(INDEX($M$9:$M$2008,$W87),",",""))),""))</f>
        <v/>
      </c>
      <c r="AL87" s="26">
        <f>IF($W87="","",IFERROR(IF(ISNUMBER(INDEX($P$9:$P$2008,$W87)),INDEX($P$9:$P$2008,$W87),VALUE(SUBSTITUTE(INDEX($P$9:$P$2008,$W87),"%",""))/100),""))</f>
        <v/>
      </c>
    </row>
    <row r="88">
      <c r="S88">
        <f>IF(AND(ISTEXT($A88),ISNUMBER(SEARCH(" - ",$A88)),ISERROR(SEARCH("Folio",$A88)),$D88=""),TRIM($A88),$S87)</f>
        <v/>
      </c>
      <c r="T88">
        <f>IF(AND(ISNUMBER(SEARCH("Folio",$A88)),$D88&lt;&gt;""),1,"")</f>
        <v/>
      </c>
      <c r="U88">
        <f>IF($T88=1,COUNTIF($T$9:$T88,1),"")</f>
        <v/>
      </c>
      <c r="V88">
        <f>IF(AND(ISTEXT($A88),LEFT($A89,3)="Pan"),1,"")</f>
        <v/>
      </c>
      <c r="W88" s="21">
        <f>IFERROR(MATCH(80,$U$9:$U$2008,0),"")</f>
        <v/>
      </c>
      <c r="X88" s="27">
        <f>IF($W88="","",IF($R$5&lt;&gt;"",$R$5,$R$6))</f>
        <v/>
      </c>
      <c r="Y88" s="27">
        <f>IF($W88="","",INDEX($S$9:$S$2008,$W88))</f>
        <v/>
      </c>
      <c r="Z88" s="27">
        <f>IF($W88="","",IFERROR(TRIM(LEFT(SUBSTITUTE(INDEX($A$9:$A$2008,$W88),CHAR(10)," "),SEARCH("Folio",SUBSTITUTE(INDEX($A$9:$A$2008,$W88),CHAR(10)," "))-1)),TRIM(SUBSTITUTE(INDEX($A$9:$A$2008,$W88),CHAR(10)," "))))</f>
        <v/>
      </c>
      <c r="AA88" s="27">
        <f>IF($W88="","",IFERROR(TRIM(SUBSTITUTE(MID(SUBSTITUTE(INDEX($A$9:$A$2008,$W88),CHAR(10)," "),SEARCH("Folio",SUBSTITUTE(INDEX($A$9:$A$2008,$W88),CHAR(10)," "))+5,200),":","")),""))</f>
        <v/>
      </c>
      <c r="AB88" s="28">
        <f>IF($W88="","",IF(ISNUMBER(INDEX($D$9:$D$2008,$W88)),INDEX($D$9:$D$2008,$W88),IFERROR(DATE(2000+VALUE(RIGHT(INDEX($D$9:$D$2008,$W88),2)),VALUE(MID(INDEX($D$9:$D$2008,$W88),4,2)),VALUE(LEFT(INDEX($D$9:$D$2008,$W88),2))),"")))</f>
        <v/>
      </c>
      <c r="AC88" s="29">
        <f>IF($W88="","",IFERROR(IF(ISNUMBER(INDEX($E$9:$E$2008,$W88)),INDEX($E$9:$E$2008,$W88),VALUE(SUBSTITUTE(INDEX($E$9:$E$2008,$W88),",",""))),""))</f>
        <v/>
      </c>
      <c r="AD88" s="29">
        <f>IF($W88="","",IFERROR(IF(ISNUMBER(INDEX($F$9:$F$2008,$W88)),INDEX($F$9:$F$2008,$W88),VALUE(SUBSTITUTE(INDEX($F$9:$F$2008,$W88),",",""))),""))</f>
        <v/>
      </c>
      <c r="AE88" s="29">
        <f>IF($W88="","",IFERROR(IF(ISNUMBER(INDEX($G$9:$G$2008,$W88)),INDEX($G$9:$G$2008,$W88),VALUE(SUBSTITUTE(INDEX($G$9:$G$2008,$W88),",",""))),""))</f>
        <v/>
      </c>
      <c r="AF88" s="29">
        <f>IF($W88="","",IFERROR(IF(ISNUMBER(INDEX($H$9:$H$2008,$W88)),INDEX($H$9:$H$2008,$W88),VALUE(SUBSTITUTE(INDEX($H$9:$H$2008,$W88),",",""))),""))</f>
        <v/>
      </c>
      <c r="AG88" s="29">
        <f>IF($W88="","",IFERROR(IF(ISNUMBER(INDEX($I$9:$I$2008,$W88)),INDEX($I$9:$I$2008,$W88),VALUE(SUBSTITUTE(INDEX($I$9:$I$2008,$W88),",",""))),""))</f>
        <v/>
      </c>
      <c r="AH88" s="29">
        <f>IF($W88="","",IFERROR(IF(ISNUMBER(INDEX($J$9:$J$2008,$W88)),INDEX($J$9:$J$2008,$W88),VALUE(SUBSTITUTE(INDEX($J$9:$J$2008,$W88),",",""))),""))</f>
        <v/>
      </c>
      <c r="AI88" s="29">
        <f>IF($W88="","",IFERROR(IF(ISNUMBER(INDEX($K$9:$K$2008,$W88)),INDEX($K$9:$K$2008,$W88),VALUE(SUBSTITUTE(INDEX($K$9:$K$2008,$W88),",",""))),""))</f>
        <v/>
      </c>
      <c r="AJ88" s="30">
        <f>IF($W88="","",IFERROR(IF(ISNUMBER(INDEX($L$9:$L$2008,$W88)),INDEX($L$9:$L$2008,$W88),VALUE(SUBSTITUTE(INDEX($L$9:$L$2008,$W88),",",""))),""))</f>
        <v/>
      </c>
      <c r="AK88" s="30">
        <f>IF($W88="","",IFERROR(IF(ISNUMBER(INDEX($M$9:$M$2008,$W88)),INDEX($M$9:$M$2008,$W88),VALUE(SUBSTITUTE(INDEX($M$9:$M$2008,$W88),",",""))),""))</f>
        <v/>
      </c>
      <c r="AL88" s="31">
        <f>IF($W88="","",IFERROR(IF(ISNUMBER(INDEX($P$9:$P$2008,$W88)),INDEX($P$9:$P$2008,$W88),VALUE(SUBSTITUTE(INDEX($P$9:$P$2008,$W88),"%",""))/100),""))</f>
        <v/>
      </c>
    </row>
    <row r="89">
      <c r="S89">
        <f>IF(AND(ISTEXT($A89),ISNUMBER(SEARCH(" - ",$A89)),ISERROR(SEARCH("Folio",$A89)),$D89=""),TRIM($A89),$S88)</f>
        <v/>
      </c>
      <c r="T89">
        <f>IF(AND(ISNUMBER(SEARCH("Folio",$A89)),$D89&lt;&gt;""),1,"")</f>
        <v/>
      </c>
      <c r="U89">
        <f>IF($T89=1,COUNTIF($T$9:$T89,1),"")</f>
        <v/>
      </c>
      <c r="V89">
        <f>IF(AND(ISTEXT($A89),LEFT($A90,3)="Pan"),1,"")</f>
        <v/>
      </c>
      <c r="W89" s="21">
        <f>IFERROR(MATCH(81,$U$9:$U$2008,0),"")</f>
        <v/>
      </c>
      <c r="X89" s="22">
        <f>IF($W89="","",IF($R$5&lt;&gt;"",$R$5,$R$6))</f>
        <v/>
      </c>
      <c r="Y89" s="22">
        <f>IF($W89="","",INDEX($S$9:$S$2008,$W89))</f>
        <v/>
      </c>
      <c r="Z89" s="22">
        <f>IF($W89="","",IFERROR(TRIM(LEFT(SUBSTITUTE(INDEX($A$9:$A$2008,$W89),CHAR(10)," "),SEARCH("Folio",SUBSTITUTE(INDEX($A$9:$A$2008,$W89),CHAR(10)," "))-1)),TRIM(SUBSTITUTE(INDEX($A$9:$A$2008,$W89),CHAR(10)," "))))</f>
        <v/>
      </c>
      <c r="AA89" s="22">
        <f>IF($W89="","",IFERROR(TRIM(SUBSTITUTE(MID(SUBSTITUTE(INDEX($A$9:$A$2008,$W89),CHAR(10)," "),SEARCH("Folio",SUBSTITUTE(INDEX($A$9:$A$2008,$W89),CHAR(10)," "))+5,200),":","")),""))</f>
        <v/>
      </c>
      <c r="AB89" s="23">
        <f>IF($W89="","",IF(ISNUMBER(INDEX($D$9:$D$2008,$W89)),INDEX($D$9:$D$2008,$W89),IFERROR(DATE(2000+VALUE(RIGHT(INDEX($D$9:$D$2008,$W89),2)),VALUE(MID(INDEX($D$9:$D$2008,$W89),4,2)),VALUE(LEFT(INDEX($D$9:$D$2008,$W89),2))),"")))</f>
        <v/>
      </c>
      <c r="AC89" s="24">
        <f>IF($W89="","",IFERROR(IF(ISNUMBER(INDEX($E$9:$E$2008,$W89)),INDEX($E$9:$E$2008,$W89),VALUE(SUBSTITUTE(INDEX($E$9:$E$2008,$W89),",",""))),""))</f>
        <v/>
      </c>
      <c r="AD89" s="24">
        <f>IF($W89="","",IFERROR(IF(ISNUMBER(INDEX($F$9:$F$2008,$W89)),INDEX($F$9:$F$2008,$W89),VALUE(SUBSTITUTE(INDEX($F$9:$F$2008,$W89),",",""))),""))</f>
        <v/>
      </c>
      <c r="AE89" s="24">
        <f>IF($W89="","",IFERROR(IF(ISNUMBER(INDEX($G$9:$G$2008,$W89)),INDEX($G$9:$G$2008,$W89),VALUE(SUBSTITUTE(INDEX($G$9:$G$2008,$W89),",",""))),""))</f>
        <v/>
      </c>
      <c r="AF89" s="24">
        <f>IF($W89="","",IFERROR(IF(ISNUMBER(INDEX($H$9:$H$2008,$W89)),INDEX($H$9:$H$2008,$W89),VALUE(SUBSTITUTE(INDEX($H$9:$H$2008,$W89),",",""))),""))</f>
        <v/>
      </c>
      <c r="AG89" s="24">
        <f>IF($W89="","",IFERROR(IF(ISNUMBER(INDEX($I$9:$I$2008,$W89)),INDEX($I$9:$I$2008,$W89),VALUE(SUBSTITUTE(INDEX($I$9:$I$2008,$W89),",",""))),""))</f>
        <v/>
      </c>
      <c r="AH89" s="24">
        <f>IF($W89="","",IFERROR(IF(ISNUMBER(INDEX($J$9:$J$2008,$W89)),INDEX($J$9:$J$2008,$W89),VALUE(SUBSTITUTE(INDEX($J$9:$J$2008,$W89),",",""))),""))</f>
        <v/>
      </c>
      <c r="AI89" s="24">
        <f>IF($W89="","",IFERROR(IF(ISNUMBER(INDEX($K$9:$K$2008,$W89)),INDEX($K$9:$K$2008,$W89),VALUE(SUBSTITUTE(INDEX($K$9:$K$2008,$W89),",",""))),""))</f>
        <v/>
      </c>
      <c r="AJ89" s="25">
        <f>IF($W89="","",IFERROR(IF(ISNUMBER(INDEX($L$9:$L$2008,$W89)),INDEX($L$9:$L$2008,$W89),VALUE(SUBSTITUTE(INDEX($L$9:$L$2008,$W89),",",""))),""))</f>
        <v/>
      </c>
      <c r="AK89" s="25">
        <f>IF($W89="","",IFERROR(IF(ISNUMBER(INDEX($M$9:$M$2008,$W89)),INDEX($M$9:$M$2008,$W89),VALUE(SUBSTITUTE(INDEX($M$9:$M$2008,$W89),",",""))),""))</f>
        <v/>
      </c>
      <c r="AL89" s="26">
        <f>IF($W89="","",IFERROR(IF(ISNUMBER(INDEX($P$9:$P$2008,$W89)),INDEX($P$9:$P$2008,$W89),VALUE(SUBSTITUTE(INDEX($P$9:$P$2008,$W89),"%",""))/100),""))</f>
        <v/>
      </c>
    </row>
    <row r="90">
      <c r="S90">
        <f>IF(AND(ISTEXT($A90),ISNUMBER(SEARCH(" - ",$A90)),ISERROR(SEARCH("Folio",$A90)),$D90=""),TRIM($A90),$S89)</f>
        <v/>
      </c>
      <c r="T90">
        <f>IF(AND(ISNUMBER(SEARCH("Folio",$A90)),$D90&lt;&gt;""),1,"")</f>
        <v/>
      </c>
      <c r="U90">
        <f>IF($T90=1,COUNTIF($T$9:$T90,1),"")</f>
        <v/>
      </c>
      <c r="V90">
        <f>IF(AND(ISTEXT($A90),LEFT($A91,3)="Pan"),1,"")</f>
        <v/>
      </c>
      <c r="W90" s="21">
        <f>IFERROR(MATCH(82,$U$9:$U$2008,0),"")</f>
        <v/>
      </c>
      <c r="X90" s="27">
        <f>IF($W90="","",IF($R$5&lt;&gt;"",$R$5,$R$6))</f>
        <v/>
      </c>
      <c r="Y90" s="27">
        <f>IF($W90="","",INDEX($S$9:$S$2008,$W90))</f>
        <v/>
      </c>
      <c r="Z90" s="27">
        <f>IF($W90="","",IFERROR(TRIM(LEFT(SUBSTITUTE(INDEX($A$9:$A$2008,$W90),CHAR(10)," "),SEARCH("Folio",SUBSTITUTE(INDEX($A$9:$A$2008,$W90),CHAR(10)," "))-1)),TRIM(SUBSTITUTE(INDEX($A$9:$A$2008,$W90),CHAR(10)," "))))</f>
        <v/>
      </c>
      <c r="AA90" s="27">
        <f>IF($W90="","",IFERROR(TRIM(SUBSTITUTE(MID(SUBSTITUTE(INDEX($A$9:$A$2008,$W90),CHAR(10)," "),SEARCH("Folio",SUBSTITUTE(INDEX($A$9:$A$2008,$W90),CHAR(10)," "))+5,200),":","")),""))</f>
        <v/>
      </c>
      <c r="AB90" s="28">
        <f>IF($W90="","",IF(ISNUMBER(INDEX($D$9:$D$2008,$W90)),INDEX($D$9:$D$2008,$W90),IFERROR(DATE(2000+VALUE(RIGHT(INDEX($D$9:$D$2008,$W90),2)),VALUE(MID(INDEX($D$9:$D$2008,$W90),4,2)),VALUE(LEFT(INDEX($D$9:$D$2008,$W90),2))),"")))</f>
        <v/>
      </c>
      <c r="AC90" s="29">
        <f>IF($W90="","",IFERROR(IF(ISNUMBER(INDEX($E$9:$E$2008,$W90)),INDEX($E$9:$E$2008,$W90),VALUE(SUBSTITUTE(INDEX($E$9:$E$2008,$W90),",",""))),""))</f>
        <v/>
      </c>
      <c r="AD90" s="29">
        <f>IF($W90="","",IFERROR(IF(ISNUMBER(INDEX($F$9:$F$2008,$W90)),INDEX($F$9:$F$2008,$W90),VALUE(SUBSTITUTE(INDEX($F$9:$F$2008,$W90),",",""))),""))</f>
        <v/>
      </c>
      <c r="AE90" s="29">
        <f>IF($W90="","",IFERROR(IF(ISNUMBER(INDEX($G$9:$G$2008,$W90)),INDEX($G$9:$G$2008,$W90),VALUE(SUBSTITUTE(INDEX($G$9:$G$2008,$W90),",",""))),""))</f>
        <v/>
      </c>
      <c r="AF90" s="29">
        <f>IF($W90="","",IFERROR(IF(ISNUMBER(INDEX($H$9:$H$2008,$W90)),INDEX($H$9:$H$2008,$W90),VALUE(SUBSTITUTE(INDEX($H$9:$H$2008,$W90),",",""))),""))</f>
        <v/>
      </c>
      <c r="AG90" s="29">
        <f>IF($W90="","",IFERROR(IF(ISNUMBER(INDEX($I$9:$I$2008,$W90)),INDEX($I$9:$I$2008,$W90),VALUE(SUBSTITUTE(INDEX($I$9:$I$2008,$W90),",",""))),""))</f>
        <v/>
      </c>
      <c r="AH90" s="29">
        <f>IF($W90="","",IFERROR(IF(ISNUMBER(INDEX($J$9:$J$2008,$W90)),INDEX($J$9:$J$2008,$W90),VALUE(SUBSTITUTE(INDEX($J$9:$J$2008,$W90),",",""))),""))</f>
        <v/>
      </c>
      <c r="AI90" s="29">
        <f>IF($W90="","",IFERROR(IF(ISNUMBER(INDEX($K$9:$K$2008,$W90)),INDEX($K$9:$K$2008,$W90),VALUE(SUBSTITUTE(INDEX($K$9:$K$2008,$W90),",",""))),""))</f>
        <v/>
      </c>
      <c r="AJ90" s="30">
        <f>IF($W90="","",IFERROR(IF(ISNUMBER(INDEX($L$9:$L$2008,$W90)),INDEX($L$9:$L$2008,$W90),VALUE(SUBSTITUTE(INDEX($L$9:$L$2008,$W90),",",""))),""))</f>
        <v/>
      </c>
      <c r="AK90" s="30">
        <f>IF($W90="","",IFERROR(IF(ISNUMBER(INDEX($M$9:$M$2008,$W90)),INDEX($M$9:$M$2008,$W90),VALUE(SUBSTITUTE(INDEX($M$9:$M$2008,$W90),",",""))),""))</f>
        <v/>
      </c>
      <c r="AL90" s="31">
        <f>IF($W90="","",IFERROR(IF(ISNUMBER(INDEX($P$9:$P$2008,$W90)),INDEX($P$9:$P$2008,$W90),VALUE(SUBSTITUTE(INDEX($P$9:$P$2008,$W90),"%",""))/100),""))</f>
        <v/>
      </c>
    </row>
    <row r="91">
      <c r="S91">
        <f>IF(AND(ISTEXT($A91),ISNUMBER(SEARCH(" - ",$A91)),ISERROR(SEARCH("Folio",$A91)),$D91=""),TRIM($A91),$S90)</f>
        <v/>
      </c>
      <c r="T91">
        <f>IF(AND(ISNUMBER(SEARCH("Folio",$A91)),$D91&lt;&gt;""),1,"")</f>
        <v/>
      </c>
      <c r="U91">
        <f>IF($T91=1,COUNTIF($T$9:$T91,1),"")</f>
        <v/>
      </c>
      <c r="V91">
        <f>IF(AND(ISTEXT($A91),LEFT($A92,3)="Pan"),1,"")</f>
        <v/>
      </c>
      <c r="W91" s="21">
        <f>IFERROR(MATCH(83,$U$9:$U$2008,0),"")</f>
        <v/>
      </c>
      <c r="X91" s="22">
        <f>IF($W91="","",IF($R$5&lt;&gt;"",$R$5,$R$6))</f>
        <v/>
      </c>
      <c r="Y91" s="22">
        <f>IF($W91="","",INDEX($S$9:$S$2008,$W91))</f>
        <v/>
      </c>
      <c r="Z91" s="22">
        <f>IF($W91="","",IFERROR(TRIM(LEFT(SUBSTITUTE(INDEX($A$9:$A$2008,$W91),CHAR(10)," "),SEARCH("Folio",SUBSTITUTE(INDEX($A$9:$A$2008,$W91),CHAR(10)," "))-1)),TRIM(SUBSTITUTE(INDEX($A$9:$A$2008,$W91),CHAR(10)," "))))</f>
        <v/>
      </c>
      <c r="AA91" s="22">
        <f>IF($W91="","",IFERROR(TRIM(SUBSTITUTE(MID(SUBSTITUTE(INDEX($A$9:$A$2008,$W91),CHAR(10)," "),SEARCH("Folio",SUBSTITUTE(INDEX($A$9:$A$2008,$W91),CHAR(10)," "))+5,200),":","")),""))</f>
        <v/>
      </c>
      <c r="AB91" s="23">
        <f>IF($W91="","",IF(ISNUMBER(INDEX($D$9:$D$2008,$W91)),INDEX($D$9:$D$2008,$W91),IFERROR(DATE(2000+VALUE(RIGHT(INDEX($D$9:$D$2008,$W91),2)),VALUE(MID(INDEX($D$9:$D$2008,$W91),4,2)),VALUE(LEFT(INDEX($D$9:$D$2008,$W91),2))),"")))</f>
        <v/>
      </c>
      <c r="AC91" s="24">
        <f>IF($W91="","",IFERROR(IF(ISNUMBER(INDEX($E$9:$E$2008,$W91)),INDEX($E$9:$E$2008,$W91),VALUE(SUBSTITUTE(INDEX($E$9:$E$2008,$W91),",",""))),""))</f>
        <v/>
      </c>
      <c r="AD91" s="24">
        <f>IF($W91="","",IFERROR(IF(ISNUMBER(INDEX($F$9:$F$2008,$W91)),INDEX($F$9:$F$2008,$W91),VALUE(SUBSTITUTE(INDEX($F$9:$F$2008,$W91),",",""))),""))</f>
        <v/>
      </c>
      <c r="AE91" s="24">
        <f>IF($W91="","",IFERROR(IF(ISNUMBER(INDEX($G$9:$G$2008,$W91)),INDEX($G$9:$G$2008,$W91),VALUE(SUBSTITUTE(INDEX($G$9:$G$2008,$W91),",",""))),""))</f>
        <v/>
      </c>
      <c r="AF91" s="24">
        <f>IF($W91="","",IFERROR(IF(ISNUMBER(INDEX($H$9:$H$2008,$W91)),INDEX($H$9:$H$2008,$W91),VALUE(SUBSTITUTE(INDEX($H$9:$H$2008,$W91),",",""))),""))</f>
        <v/>
      </c>
      <c r="AG91" s="24">
        <f>IF($W91="","",IFERROR(IF(ISNUMBER(INDEX($I$9:$I$2008,$W91)),INDEX($I$9:$I$2008,$W91),VALUE(SUBSTITUTE(INDEX($I$9:$I$2008,$W91),",",""))),""))</f>
        <v/>
      </c>
      <c r="AH91" s="24">
        <f>IF($W91="","",IFERROR(IF(ISNUMBER(INDEX($J$9:$J$2008,$W91)),INDEX($J$9:$J$2008,$W91),VALUE(SUBSTITUTE(INDEX($J$9:$J$2008,$W91),",",""))),""))</f>
        <v/>
      </c>
      <c r="AI91" s="24">
        <f>IF($W91="","",IFERROR(IF(ISNUMBER(INDEX($K$9:$K$2008,$W91)),INDEX($K$9:$K$2008,$W91),VALUE(SUBSTITUTE(INDEX($K$9:$K$2008,$W91),",",""))),""))</f>
        <v/>
      </c>
      <c r="AJ91" s="25">
        <f>IF($W91="","",IFERROR(IF(ISNUMBER(INDEX($L$9:$L$2008,$W91)),INDEX($L$9:$L$2008,$W91),VALUE(SUBSTITUTE(INDEX($L$9:$L$2008,$W91),",",""))),""))</f>
        <v/>
      </c>
      <c r="AK91" s="25">
        <f>IF($W91="","",IFERROR(IF(ISNUMBER(INDEX($M$9:$M$2008,$W91)),INDEX($M$9:$M$2008,$W91),VALUE(SUBSTITUTE(INDEX($M$9:$M$2008,$W91),",",""))),""))</f>
        <v/>
      </c>
      <c r="AL91" s="26">
        <f>IF($W91="","",IFERROR(IF(ISNUMBER(INDEX($P$9:$P$2008,$W91)),INDEX($P$9:$P$2008,$W91),VALUE(SUBSTITUTE(INDEX($P$9:$P$2008,$W91),"%",""))/100),""))</f>
        <v/>
      </c>
    </row>
    <row r="92">
      <c r="S92">
        <f>IF(AND(ISTEXT($A92),ISNUMBER(SEARCH(" - ",$A92)),ISERROR(SEARCH("Folio",$A92)),$D92=""),TRIM($A92),$S91)</f>
        <v/>
      </c>
      <c r="T92">
        <f>IF(AND(ISNUMBER(SEARCH("Folio",$A92)),$D92&lt;&gt;""),1,"")</f>
        <v/>
      </c>
      <c r="U92">
        <f>IF($T92=1,COUNTIF($T$9:$T92,1),"")</f>
        <v/>
      </c>
      <c r="V92">
        <f>IF(AND(ISTEXT($A92),LEFT($A93,3)="Pan"),1,"")</f>
        <v/>
      </c>
      <c r="W92" s="21">
        <f>IFERROR(MATCH(84,$U$9:$U$2008,0),"")</f>
        <v/>
      </c>
      <c r="X92" s="27">
        <f>IF($W92="","",IF($R$5&lt;&gt;"",$R$5,$R$6))</f>
        <v/>
      </c>
      <c r="Y92" s="27">
        <f>IF($W92="","",INDEX($S$9:$S$2008,$W92))</f>
        <v/>
      </c>
      <c r="Z92" s="27">
        <f>IF($W92="","",IFERROR(TRIM(LEFT(SUBSTITUTE(INDEX($A$9:$A$2008,$W92),CHAR(10)," "),SEARCH("Folio",SUBSTITUTE(INDEX($A$9:$A$2008,$W92),CHAR(10)," "))-1)),TRIM(SUBSTITUTE(INDEX($A$9:$A$2008,$W92),CHAR(10)," "))))</f>
        <v/>
      </c>
      <c r="AA92" s="27">
        <f>IF($W92="","",IFERROR(TRIM(SUBSTITUTE(MID(SUBSTITUTE(INDEX($A$9:$A$2008,$W92),CHAR(10)," "),SEARCH("Folio",SUBSTITUTE(INDEX($A$9:$A$2008,$W92),CHAR(10)," "))+5,200),":","")),""))</f>
        <v/>
      </c>
      <c r="AB92" s="28">
        <f>IF($W92="","",IF(ISNUMBER(INDEX($D$9:$D$2008,$W92)),INDEX($D$9:$D$2008,$W92),IFERROR(DATE(2000+VALUE(RIGHT(INDEX($D$9:$D$2008,$W92),2)),VALUE(MID(INDEX($D$9:$D$2008,$W92),4,2)),VALUE(LEFT(INDEX($D$9:$D$2008,$W92),2))),"")))</f>
        <v/>
      </c>
      <c r="AC92" s="29">
        <f>IF($W92="","",IFERROR(IF(ISNUMBER(INDEX($E$9:$E$2008,$W92)),INDEX($E$9:$E$2008,$W92),VALUE(SUBSTITUTE(INDEX($E$9:$E$2008,$W92),",",""))),""))</f>
        <v/>
      </c>
      <c r="AD92" s="29">
        <f>IF($W92="","",IFERROR(IF(ISNUMBER(INDEX($F$9:$F$2008,$W92)),INDEX($F$9:$F$2008,$W92),VALUE(SUBSTITUTE(INDEX($F$9:$F$2008,$W92),",",""))),""))</f>
        <v/>
      </c>
      <c r="AE92" s="29">
        <f>IF($W92="","",IFERROR(IF(ISNUMBER(INDEX($G$9:$G$2008,$W92)),INDEX($G$9:$G$2008,$W92),VALUE(SUBSTITUTE(INDEX($G$9:$G$2008,$W92),",",""))),""))</f>
        <v/>
      </c>
      <c r="AF92" s="29">
        <f>IF($W92="","",IFERROR(IF(ISNUMBER(INDEX($H$9:$H$2008,$W92)),INDEX($H$9:$H$2008,$W92),VALUE(SUBSTITUTE(INDEX($H$9:$H$2008,$W92),",",""))),""))</f>
        <v/>
      </c>
      <c r="AG92" s="29">
        <f>IF($W92="","",IFERROR(IF(ISNUMBER(INDEX($I$9:$I$2008,$W92)),INDEX($I$9:$I$2008,$W92),VALUE(SUBSTITUTE(INDEX($I$9:$I$2008,$W92),",",""))),""))</f>
        <v/>
      </c>
      <c r="AH92" s="29">
        <f>IF($W92="","",IFERROR(IF(ISNUMBER(INDEX($J$9:$J$2008,$W92)),INDEX($J$9:$J$2008,$W92),VALUE(SUBSTITUTE(INDEX($J$9:$J$2008,$W92),",",""))),""))</f>
        <v/>
      </c>
      <c r="AI92" s="29">
        <f>IF($W92="","",IFERROR(IF(ISNUMBER(INDEX($K$9:$K$2008,$W92)),INDEX($K$9:$K$2008,$W92),VALUE(SUBSTITUTE(INDEX($K$9:$K$2008,$W92),",",""))),""))</f>
        <v/>
      </c>
      <c r="AJ92" s="30">
        <f>IF($W92="","",IFERROR(IF(ISNUMBER(INDEX($L$9:$L$2008,$W92)),INDEX($L$9:$L$2008,$W92),VALUE(SUBSTITUTE(INDEX($L$9:$L$2008,$W92),",",""))),""))</f>
        <v/>
      </c>
      <c r="AK92" s="30">
        <f>IF($W92="","",IFERROR(IF(ISNUMBER(INDEX($M$9:$M$2008,$W92)),INDEX($M$9:$M$2008,$W92),VALUE(SUBSTITUTE(INDEX($M$9:$M$2008,$W92),",",""))),""))</f>
        <v/>
      </c>
      <c r="AL92" s="31">
        <f>IF($W92="","",IFERROR(IF(ISNUMBER(INDEX($P$9:$P$2008,$W92)),INDEX($P$9:$P$2008,$W92),VALUE(SUBSTITUTE(INDEX($P$9:$P$2008,$W92),"%",""))/100),""))</f>
        <v/>
      </c>
    </row>
    <row r="93">
      <c r="S93">
        <f>IF(AND(ISTEXT($A93),ISNUMBER(SEARCH(" - ",$A93)),ISERROR(SEARCH("Folio",$A93)),$D93=""),TRIM($A93),$S92)</f>
        <v/>
      </c>
      <c r="T93">
        <f>IF(AND(ISNUMBER(SEARCH("Folio",$A93)),$D93&lt;&gt;""),1,"")</f>
        <v/>
      </c>
      <c r="U93">
        <f>IF($T93=1,COUNTIF($T$9:$T93,1),"")</f>
        <v/>
      </c>
      <c r="V93">
        <f>IF(AND(ISTEXT($A93),LEFT($A94,3)="Pan"),1,"")</f>
        <v/>
      </c>
      <c r="W93" s="21">
        <f>IFERROR(MATCH(85,$U$9:$U$2008,0),"")</f>
        <v/>
      </c>
      <c r="X93" s="22">
        <f>IF($W93="","",IF($R$5&lt;&gt;"",$R$5,$R$6))</f>
        <v/>
      </c>
      <c r="Y93" s="22">
        <f>IF($W93="","",INDEX($S$9:$S$2008,$W93))</f>
        <v/>
      </c>
      <c r="Z93" s="22">
        <f>IF($W93="","",IFERROR(TRIM(LEFT(SUBSTITUTE(INDEX($A$9:$A$2008,$W93),CHAR(10)," "),SEARCH("Folio",SUBSTITUTE(INDEX($A$9:$A$2008,$W93),CHAR(10)," "))-1)),TRIM(SUBSTITUTE(INDEX($A$9:$A$2008,$W93),CHAR(10)," "))))</f>
        <v/>
      </c>
      <c r="AA93" s="22">
        <f>IF($W93="","",IFERROR(TRIM(SUBSTITUTE(MID(SUBSTITUTE(INDEX($A$9:$A$2008,$W93),CHAR(10)," "),SEARCH("Folio",SUBSTITUTE(INDEX($A$9:$A$2008,$W93),CHAR(10)," "))+5,200),":","")),""))</f>
        <v/>
      </c>
      <c r="AB93" s="23">
        <f>IF($W93="","",IF(ISNUMBER(INDEX($D$9:$D$2008,$W93)),INDEX($D$9:$D$2008,$W93),IFERROR(DATE(2000+VALUE(RIGHT(INDEX($D$9:$D$2008,$W93),2)),VALUE(MID(INDEX($D$9:$D$2008,$W93),4,2)),VALUE(LEFT(INDEX($D$9:$D$2008,$W93),2))),"")))</f>
        <v/>
      </c>
      <c r="AC93" s="24">
        <f>IF($W93="","",IFERROR(IF(ISNUMBER(INDEX($E$9:$E$2008,$W93)),INDEX($E$9:$E$2008,$W93),VALUE(SUBSTITUTE(INDEX($E$9:$E$2008,$W93),",",""))),""))</f>
        <v/>
      </c>
      <c r="AD93" s="24">
        <f>IF($W93="","",IFERROR(IF(ISNUMBER(INDEX($F$9:$F$2008,$W93)),INDEX($F$9:$F$2008,$W93),VALUE(SUBSTITUTE(INDEX($F$9:$F$2008,$W93),",",""))),""))</f>
        <v/>
      </c>
      <c r="AE93" s="24">
        <f>IF($W93="","",IFERROR(IF(ISNUMBER(INDEX($G$9:$G$2008,$W93)),INDEX($G$9:$G$2008,$W93),VALUE(SUBSTITUTE(INDEX($G$9:$G$2008,$W93),",",""))),""))</f>
        <v/>
      </c>
      <c r="AF93" s="24">
        <f>IF($W93="","",IFERROR(IF(ISNUMBER(INDEX($H$9:$H$2008,$W93)),INDEX($H$9:$H$2008,$W93),VALUE(SUBSTITUTE(INDEX($H$9:$H$2008,$W93),",",""))),""))</f>
        <v/>
      </c>
      <c r="AG93" s="24">
        <f>IF($W93="","",IFERROR(IF(ISNUMBER(INDEX($I$9:$I$2008,$W93)),INDEX($I$9:$I$2008,$W93),VALUE(SUBSTITUTE(INDEX($I$9:$I$2008,$W93),",",""))),""))</f>
        <v/>
      </c>
      <c r="AH93" s="24">
        <f>IF($W93="","",IFERROR(IF(ISNUMBER(INDEX($J$9:$J$2008,$W93)),INDEX($J$9:$J$2008,$W93),VALUE(SUBSTITUTE(INDEX($J$9:$J$2008,$W93),",",""))),""))</f>
        <v/>
      </c>
      <c r="AI93" s="24">
        <f>IF($W93="","",IFERROR(IF(ISNUMBER(INDEX($K$9:$K$2008,$W93)),INDEX($K$9:$K$2008,$W93),VALUE(SUBSTITUTE(INDEX($K$9:$K$2008,$W93),",",""))),""))</f>
        <v/>
      </c>
      <c r="AJ93" s="25">
        <f>IF($W93="","",IFERROR(IF(ISNUMBER(INDEX($L$9:$L$2008,$W93)),INDEX($L$9:$L$2008,$W93),VALUE(SUBSTITUTE(INDEX($L$9:$L$2008,$W93),",",""))),""))</f>
        <v/>
      </c>
      <c r="AK93" s="25">
        <f>IF($W93="","",IFERROR(IF(ISNUMBER(INDEX($M$9:$M$2008,$W93)),INDEX($M$9:$M$2008,$W93),VALUE(SUBSTITUTE(INDEX($M$9:$M$2008,$W93),",",""))),""))</f>
        <v/>
      </c>
      <c r="AL93" s="26">
        <f>IF($W93="","",IFERROR(IF(ISNUMBER(INDEX($P$9:$P$2008,$W93)),INDEX($P$9:$P$2008,$W93),VALUE(SUBSTITUTE(INDEX($P$9:$P$2008,$W93),"%",""))/100),""))</f>
        <v/>
      </c>
    </row>
    <row r="94">
      <c r="S94">
        <f>IF(AND(ISTEXT($A94),ISNUMBER(SEARCH(" - ",$A94)),ISERROR(SEARCH("Folio",$A94)),$D94=""),TRIM($A94),$S93)</f>
        <v/>
      </c>
      <c r="T94">
        <f>IF(AND(ISNUMBER(SEARCH("Folio",$A94)),$D94&lt;&gt;""),1,"")</f>
        <v/>
      </c>
      <c r="U94">
        <f>IF($T94=1,COUNTIF($T$9:$T94,1),"")</f>
        <v/>
      </c>
      <c r="V94">
        <f>IF(AND(ISTEXT($A94),LEFT($A95,3)="Pan"),1,"")</f>
        <v/>
      </c>
      <c r="W94" s="21">
        <f>IFERROR(MATCH(86,$U$9:$U$2008,0),"")</f>
        <v/>
      </c>
      <c r="X94" s="27">
        <f>IF($W94="","",IF($R$5&lt;&gt;"",$R$5,$R$6))</f>
        <v/>
      </c>
      <c r="Y94" s="27">
        <f>IF($W94="","",INDEX($S$9:$S$2008,$W94))</f>
        <v/>
      </c>
      <c r="Z94" s="27">
        <f>IF($W94="","",IFERROR(TRIM(LEFT(SUBSTITUTE(INDEX($A$9:$A$2008,$W94),CHAR(10)," "),SEARCH("Folio",SUBSTITUTE(INDEX($A$9:$A$2008,$W94),CHAR(10)," "))-1)),TRIM(SUBSTITUTE(INDEX($A$9:$A$2008,$W94),CHAR(10)," "))))</f>
        <v/>
      </c>
      <c r="AA94" s="27">
        <f>IF($W94="","",IFERROR(TRIM(SUBSTITUTE(MID(SUBSTITUTE(INDEX($A$9:$A$2008,$W94),CHAR(10)," "),SEARCH("Folio",SUBSTITUTE(INDEX($A$9:$A$2008,$W94),CHAR(10)," "))+5,200),":","")),""))</f>
        <v/>
      </c>
      <c r="AB94" s="28">
        <f>IF($W94="","",IF(ISNUMBER(INDEX($D$9:$D$2008,$W94)),INDEX($D$9:$D$2008,$W94),IFERROR(DATE(2000+VALUE(RIGHT(INDEX($D$9:$D$2008,$W94),2)),VALUE(MID(INDEX($D$9:$D$2008,$W94),4,2)),VALUE(LEFT(INDEX($D$9:$D$2008,$W94),2))),"")))</f>
        <v/>
      </c>
      <c r="AC94" s="29">
        <f>IF($W94="","",IFERROR(IF(ISNUMBER(INDEX($E$9:$E$2008,$W94)),INDEX($E$9:$E$2008,$W94),VALUE(SUBSTITUTE(INDEX($E$9:$E$2008,$W94),",",""))),""))</f>
        <v/>
      </c>
      <c r="AD94" s="29">
        <f>IF($W94="","",IFERROR(IF(ISNUMBER(INDEX($F$9:$F$2008,$W94)),INDEX($F$9:$F$2008,$W94),VALUE(SUBSTITUTE(INDEX($F$9:$F$2008,$W94),",",""))),""))</f>
        <v/>
      </c>
      <c r="AE94" s="29">
        <f>IF($W94="","",IFERROR(IF(ISNUMBER(INDEX($G$9:$G$2008,$W94)),INDEX($G$9:$G$2008,$W94),VALUE(SUBSTITUTE(INDEX($G$9:$G$2008,$W94),",",""))),""))</f>
        <v/>
      </c>
      <c r="AF94" s="29">
        <f>IF($W94="","",IFERROR(IF(ISNUMBER(INDEX($H$9:$H$2008,$W94)),INDEX($H$9:$H$2008,$W94),VALUE(SUBSTITUTE(INDEX($H$9:$H$2008,$W94),",",""))),""))</f>
        <v/>
      </c>
      <c r="AG94" s="29">
        <f>IF($W94="","",IFERROR(IF(ISNUMBER(INDEX($I$9:$I$2008,$W94)),INDEX($I$9:$I$2008,$W94),VALUE(SUBSTITUTE(INDEX($I$9:$I$2008,$W94),",",""))),""))</f>
        <v/>
      </c>
      <c r="AH94" s="29">
        <f>IF($W94="","",IFERROR(IF(ISNUMBER(INDEX($J$9:$J$2008,$W94)),INDEX($J$9:$J$2008,$W94),VALUE(SUBSTITUTE(INDEX($J$9:$J$2008,$W94),",",""))),""))</f>
        <v/>
      </c>
      <c r="AI94" s="29">
        <f>IF($W94="","",IFERROR(IF(ISNUMBER(INDEX($K$9:$K$2008,$W94)),INDEX($K$9:$K$2008,$W94),VALUE(SUBSTITUTE(INDEX($K$9:$K$2008,$W94),",",""))),""))</f>
        <v/>
      </c>
      <c r="AJ94" s="30">
        <f>IF($W94="","",IFERROR(IF(ISNUMBER(INDEX($L$9:$L$2008,$W94)),INDEX($L$9:$L$2008,$W94),VALUE(SUBSTITUTE(INDEX($L$9:$L$2008,$W94),",",""))),""))</f>
        <v/>
      </c>
      <c r="AK94" s="30">
        <f>IF($W94="","",IFERROR(IF(ISNUMBER(INDEX($M$9:$M$2008,$W94)),INDEX($M$9:$M$2008,$W94),VALUE(SUBSTITUTE(INDEX($M$9:$M$2008,$W94),",",""))),""))</f>
        <v/>
      </c>
      <c r="AL94" s="31">
        <f>IF($W94="","",IFERROR(IF(ISNUMBER(INDEX($P$9:$P$2008,$W94)),INDEX($P$9:$P$2008,$W94),VALUE(SUBSTITUTE(INDEX($P$9:$P$2008,$W94),"%",""))/100),""))</f>
        <v/>
      </c>
    </row>
    <row r="95">
      <c r="S95">
        <f>IF(AND(ISTEXT($A95),ISNUMBER(SEARCH(" - ",$A95)),ISERROR(SEARCH("Folio",$A95)),$D95=""),TRIM($A95),$S94)</f>
        <v/>
      </c>
      <c r="T95">
        <f>IF(AND(ISNUMBER(SEARCH("Folio",$A95)),$D95&lt;&gt;""),1,"")</f>
        <v/>
      </c>
      <c r="U95">
        <f>IF($T95=1,COUNTIF($T$9:$T95,1),"")</f>
        <v/>
      </c>
      <c r="V95">
        <f>IF(AND(ISTEXT($A95),LEFT($A96,3)="Pan"),1,"")</f>
        <v/>
      </c>
      <c r="W95" s="21">
        <f>IFERROR(MATCH(87,$U$9:$U$2008,0),"")</f>
        <v/>
      </c>
      <c r="X95" s="22">
        <f>IF($W95="","",IF($R$5&lt;&gt;"",$R$5,$R$6))</f>
        <v/>
      </c>
      <c r="Y95" s="22">
        <f>IF($W95="","",INDEX($S$9:$S$2008,$W95))</f>
        <v/>
      </c>
      <c r="Z95" s="22">
        <f>IF($W95="","",IFERROR(TRIM(LEFT(SUBSTITUTE(INDEX($A$9:$A$2008,$W95),CHAR(10)," "),SEARCH("Folio",SUBSTITUTE(INDEX($A$9:$A$2008,$W95),CHAR(10)," "))-1)),TRIM(SUBSTITUTE(INDEX($A$9:$A$2008,$W95),CHAR(10)," "))))</f>
        <v/>
      </c>
      <c r="AA95" s="22">
        <f>IF($W95="","",IFERROR(TRIM(SUBSTITUTE(MID(SUBSTITUTE(INDEX($A$9:$A$2008,$W95),CHAR(10)," "),SEARCH("Folio",SUBSTITUTE(INDEX($A$9:$A$2008,$W95),CHAR(10)," "))+5,200),":","")),""))</f>
        <v/>
      </c>
      <c r="AB95" s="23">
        <f>IF($W95="","",IF(ISNUMBER(INDEX($D$9:$D$2008,$W95)),INDEX($D$9:$D$2008,$W95),IFERROR(DATE(2000+VALUE(RIGHT(INDEX($D$9:$D$2008,$W95),2)),VALUE(MID(INDEX($D$9:$D$2008,$W95),4,2)),VALUE(LEFT(INDEX($D$9:$D$2008,$W95),2))),"")))</f>
        <v/>
      </c>
      <c r="AC95" s="24">
        <f>IF($W95="","",IFERROR(IF(ISNUMBER(INDEX($E$9:$E$2008,$W95)),INDEX($E$9:$E$2008,$W95),VALUE(SUBSTITUTE(INDEX($E$9:$E$2008,$W95),",",""))),""))</f>
        <v/>
      </c>
      <c r="AD95" s="24">
        <f>IF($W95="","",IFERROR(IF(ISNUMBER(INDEX($F$9:$F$2008,$W95)),INDEX($F$9:$F$2008,$W95),VALUE(SUBSTITUTE(INDEX($F$9:$F$2008,$W95),",",""))),""))</f>
        <v/>
      </c>
      <c r="AE95" s="24">
        <f>IF($W95="","",IFERROR(IF(ISNUMBER(INDEX($G$9:$G$2008,$W95)),INDEX($G$9:$G$2008,$W95),VALUE(SUBSTITUTE(INDEX($G$9:$G$2008,$W95),",",""))),""))</f>
        <v/>
      </c>
      <c r="AF95" s="24">
        <f>IF($W95="","",IFERROR(IF(ISNUMBER(INDEX($H$9:$H$2008,$W95)),INDEX($H$9:$H$2008,$W95),VALUE(SUBSTITUTE(INDEX($H$9:$H$2008,$W95),",",""))),""))</f>
        <v/>
      </c>
      <c r="AG95" s="24">
        <f>IF($W95="","",IFERROR(IF(ISNUMBER(INDEX($I$9:$I$2008,$W95)),INDEX($I$9:$I$2008,$W95),VALUE(SUBSTITUTE(INDEX($I$9:$I$2008,$W95),",",""))),""))</f>
        <v/>
      </c>
      <c r="AH95" s="24">
        <f>IF($W95="","",IFERROR(IF(ISNUMBER(INDEX($J$9:$J$2008,$W95)),INDEX($J$9:$J$2008,$W95),VALUE(SUBSTITUTE(INDEX($J$9:$J$2008,$W95),",",""))),""))</f>
        <v/>
      </c>
      <c r="AI95" s="24">
        <f>IF($W95="","",IFERROR(IF(ISNUMBER(INDEX($K$9:$K$2008,$W95)),INDEX($K$9:$K$2008,$W95),VALUE(SUBSTITUTE(INDEX($K$9:$K$2008,$W95),",",""))),""))</f>
        <v/>
      </c>
      <c r="AJ95" s="25">
        <f>IF($W95="","",IFERROR(IF(ISNUMBER(INDEX($L$9:$L$2008,$W95)),INDEX($L$9:$L$2008,$W95),VALUE(SUBSTITUTE(INDEX($L$9:$L$2008,$W95),",",""))),""))</f>
        <v/>
      </c>
      <c r="AK95" s="25">
        <f>IF($W95="","",IFERROR(IF(ISNUMBER(INDEX($M$9:$M$2008,$W95)),INDEX($M$9:$M$2008,$W95),VALUE(SUBSTITUTE(INDEX($M$9:$M$2008,$W95),",",""))),""))</f>
        <v/>
      </c>
      <c r="AL95" s="26">
        <f>IF($W95="","",IFERROR(IF(ISNUMBER(INDEX($P$9:$P$2008,$W95)),INDEX($P$9:$P$2008,$W95),VALUE(SUBSTITUTE(INDEX($P$9:$P$2008,$W95),"%",""))/100),""))</f>
        <v/>
      </c>
    </row>
    <row r="96">
      <c r="S96">
        <f>IF(AND(ISTEXT($A96),ISNUMBER(SEARCH(" - ",$A96)),ISERROR(SEARCH("Folio",$A96)),$D96=""),TRIM($A96),$S95)</f>
        <v/>
      </c>
      <c r="T96">
        <f>IF(AND(ISNUMBER(SEARCH("Folio",$A96)),$D96&lt;&gt;""),1,"")</f>
        <v/>
      </c>
      <c r="U96">
        <f>IF($T96=1,COUNTIF($T$9:$T96,1),"")</f>
        <v/>
      </c>
      <c r="V96">
        <f>IF(AND(ISTEXT($A96),LEFT($A97,3)="Pan"),1,"")</f>
        <v/>
      </c>
      <c r="W96" s="21">
        <f>IFERROR(MATCH(88,$U$9:$U$2008,0),"")</f>
        <v/>
      </c>
      <c r="X96" s="27">
        <f>IF($W96="","",IF($R$5&lt;&gt;"",$R$5,$R$6))</f>
        <v/>
      </c>
      <c r="Y96" s="27">
        <f>IF($W96="","",INDEX($S$9:$S$2008,$W96))</f>
        <v/>
      </c>
      <c r="Z96" s="27">
        <f>IF($W96="","",IFERROR(TRIM(LEFT(SUBSTITUTE(INDEX($A$9:$A$2008,$W96),CHAR(10)," "),SEARCH("Folio",SUBSTITUTE(INDEX($A$9:$A$2008,$W96),CHAR(10)," "))-1)),TRIM(SUBSTITUTE(INDEX($A$9:$A$2008,$W96),CHAR(10)," "))))</f>
        <v/>
      </c>
      <c r="AA96" s="27">
        <f>IF($W96="","",IFERROR(TRIM(SUBSTITUTE(MID(SUBSTITUTE(INDEX($A$9:$A$2008,$W96),CHAR(10)," "),SEARCH("Folio",SUBSTITUTE(INDEX($A$9:$A$2008,$W96),CHAR(10)," "))+5,200),":","")),""))</f>
        <v/>
      </c>
      <c r="AB96" s="28">
        <f>IF($W96="","",IF(ISNUMBER(INDEX($D$9:$D$2008,$W96)),INDEX($D$9:$D$2008,$W96),IFERROR(DATE(2000+VALUE(RIGHT(INDEX($D$9:$D$2008,$W96),2)),VALUE(MID(INDEX($D$9:$D$2008,$W96),4,2)),VALUE(LEFT(INDEX($D$9:$D$2008,$W96),2))),"")))</f>
        <v/>
      </c>
      <c r="AC96" s="29">
        <f>IF($W96="","",IFERROR(IF(ISNUMBER(INDEX($E$9:$E$2008,$W96)),INDEX($E$9:$E$2008,$W96),VALUE(SUBSTITUTE(INDEX($E$9:$E$2008,$W96),",",""))),""))</f>
        <v/>
      </c>
      <c r="AD96" s="29">
        <f>IF($W96="","",IFERROR(IF(ISNUMBER(INDEX($F$9:$F$2008,$W96)),INDEX($F$9:$F$2008,$W96),VALUE(SUBSTITUTE(INDEX($F$9:$F$2008,$W96),",",""))),""))</f>
        <v/>
      </c>
      <c r="AE96" s="29">
        <f>IF($W96="","",IFERROR(IF(ISNUMBER(INDEX($G$9:$G$2008,$W96)),INDEX($G$9:$G$2008,$W96),VALUE(SUBSTITUTE(INDEX($G$9:$G$2008,$W96),",",""))),""))</f>
        <v/>
      </c>
      <c r="AF96" s="29">
        <f>IF($W96="","",IFERROR(IF(ISNUMBER(INDEX($H$9:$H$2008,$W96)),INDEX($H$9:$H$2008,$W96),VALUE(SUBSTITUTE(INDEX($H$9:$H$2008,$W96),",",""))),""))</f>
        <v/>
      </c>
      <c r="AG96" s="29">
        <f>IF($W96="","",IFERROR(IF(ISNUMBER(INDEX($I$9:$I$2008,$W96)),INDEX($I$9:$I$2008,$W96),VALUE(SUBSTITUTE(INDEX($I$9:$I$2008,$W96),",",""))),""))</f>
        <v/>
      </c>
      <c r="AH96" s="29">
        <f>IF($W96="","",IFERROR(IF(ISNUMBER(INDEX($J$9:$J$2008,$W96)),INDEX($J$9:$J$2008,$W96),VALUE(SUBSTITUTE(INDEX($J$9:$J$2008,$W96),",",""))),""))</f>
        <v/>
      </c>
      <c r="AI96" s="29">
        <f>IF($W96="","",IFERROR(IF(ISNUMBER(INDEX($K$9:$K$2008,$W96)),INDEX($K$9:$K$2008,$W96),VALUE(SUBSTITUTE(INDEX($K$9:$K$2008,$W96),",",""))),""))</f>
        <v/>
      </c>
      <c r="AJ96" s="30">
        <f>IF($W96="","",IFERROR(IF(ISNUMBER(INDEX($L$9:$L$2008,$W96)),INDEX($L$9:$L$2008,$W96),VALUE(SUBSTITUTE(INDEX($L$9:$L$2008,$W96),",",""))),""))</f>
        <v/>
      </c>
      <c r="AK96" s="30">
        <f>IF($W96="","",IFERROR(IF(ISNUMBER(INDEX($M$9:$M$2008,$W96)),INDEX($M$9:$M$2008,$W96),VALUE(SUBSTITUTE(INDEX($M$9:$M$2008,$W96),",",""))),""))</f>
        <v/>
      </c>
      <c r="AL96" s="31">
        <f>IF($W96="","",IFERROR(IF(ISNUMBER(INDEX($P$9:$P$2008,$W96)),INDEX($P$9:$P$2008,$W96),VALUE(SUBSTITUTE(INDEX($P$9:$P$2008,$W96),"%",""))/100),""))</f>
        <v/>
      </c>
    </row>
    <row r="97">
      <c r="S97">
        <f>IF(AND(ISTEXT($A97),ISNUMBER(SEARCH(" - ",$A97)),ISERROR(SEARCH("Folio",$A97)),$D97=""),TRIM($A97),$S96)</f>
        <v/>
      </c>
      <c r="T97">
        <f>IF(AND(ISNUMBER(SEARCH("Folio",$A97)),$D97&lt;&gt;""),1,"")</f>
        <v/>
      </c>
      <c r="U97">
        <f>IF($T97=1,COUNTIF($T$9:$T97,1),"")</f>
        <v/>
      </c>
      <c r="V97">
        <f>IF(AND(ISTEXT($A97),LEFT($A98,3)="Pan"),1,"")</f>
        <v/>
      </c>
      <c r="W97" s="21">
        <f>IFERROR(MATCH(89,$U$9:$U$2008,0),"")</f>
        <v/>
      </c>
      <c r="X97" s="22">
        <f>IF($W97="","",IF($R$5&lt;&gt;"",$R$5,$R$6))</f>
        <v/>
      </c>
      <c r="Y97" s="22">
        <f>IF($W97="","",INDEX($S$9:$S$2008,$W97))</f>
        <v/>
      </c>
      <c r="Z97" s="22">
        <f>IF($W97="","",IFERROR(TRIM(LEFT(SUBSTITUTE(INDEX($A$9:$A$2008,$W97),CHAR(10)," "),SEARCH("Folio",SUBSTITUTE(INDEX($A$9:$A$2008,$W97),CHAR(10)," "))-1)),TRIM(SUBSTITUTE(INDEX($A$9:$A$2008,$W97),CHAR(10)," "))))</f>
        <v/>
      </c>
      <c r="AA97" s="22">
        <f>IF($W97="","",IFERROR(TRIM(SUBSTITUTE(MID(SUBSTITUTE(INDEX($A$9:$A$2008,$W97),CHAR(10)," "),SEARCH("Folio",SUBSTITUTE(INDEX($A$9:$A$2008,$W97),CHAR(10)," "))+5,200),":","")),""))</f>
        <v/>
      </c>
      <c r="AB97" s="23">
        <f>IF($W97="","",IF(ISNUMBER(INDEX($D$9:$D$2008,$W97)),INDEX($D$9:$D$2008,$W97),IFERROR(DATE(2000+VALUE(RIGHT(INDEX($D$9:$D$2008,$W97),2)),VALUE(MID(INDEX($D$9:$D$2008,$W97),4,2)),VALUE(LEFT(INDEX($D$9:$D$2008,$W97),2))),"")))</f>
        <v/>
      </c>
      <c r="AC97" s="24">
        <f>IF($W97="","",IFERROR(IF(ISNUMBER(INDEX($E$9:$E$2008,$W97)),INDEX($E$9:$E$2008,$W97),VALUE(SUBSTITUTE(INDEX($E$9:$E$2008,$W97),",",""))),""))</f>
        <v/>
      </c>
      <c r="AD97" s="24">
        <f>IF($W97="","",IFERROR(IF(ISNUMBER(INDEX($F$9:$F$2008,$W97)),INDEX($F$9:$F$2008,$W97),VALUE(SUBSTITUTE(INDEX($F$9:$F$2008,$W97),",",""))),""))</f>
        <v/>
      </c>
      <c r="AE97" s="24">
        <f>IF($W97="","",IFERROR(IF(ISNUMBER(INDEX($G$9:$G$2008,$W97)),INDEX($G$9:$G$2008,$W97),VALUE(SUBSTITUTE(INDEX($G$9:$G$2008,$W97),",",""))),""))</f>
        <v/>
      </c>
      <c r="AF97" s="24">
        <f>IF($W97="","",IFERROR(IF(ISNUMBER(INDEX($H$9:$H$2008,$W97)),INDEX($H$9:$H$2008,$W97),VALUE(SUBSTITUTE(INDEX($H$9:$H$2008,$W97),",",""))),""))</f>
        <v/>
      </c>
      <c r="AG97" s="24">
        <f>IF($W97="","",IFERROR(IF(ISNUMBER(INDEX($I$9:$I$2008,$W97)),INDEX($I$9:$I$2008,$W97),VALUE(SUBSTITUTE(INDEX($I$9:$I$2008,$W97),",",""))),""))</f>
        <v/>
      </c>
      <c r="AH97" s="24">
        <f>IF($W97="","",IFERROR(IF(ISNUMBER(INDEX($J$9:$J$2008,$W97)),INDEX($J$9:$J$2008,$W97),VALUE(SUBSTITUTE(INDEX($J$9:$J$2008,$W97),",",""))),""))</f>
        <v/>
      </c>
      <c r="AI97" s="24">
        <f>IF($W97="","",IFERROR(IF(ISNUMBER(INDEX($K$9:$K$2008,$W97)),INDEX($K$9:$K$2008,$W97),VALUE(SUBSTITUTE(INDEX($K$9:$K$2008,$W97),",",""))),""))</f>
        <v/>
      </c>
      <c r="AJ97" s="25">
        <f>IF($W97="","",IFERROR(IF(ISNUMBER(INDEX($L$9:$L$2008,$W97)),INDEX($L$9:$L$2008,$W97),VALUE(SUBSTITUTE(INDEX($L$9:$L$2008,$W97),",",""))),""))</f>
        <v/>
      </c>
      <c r="AK97" s="25">
        <f>IF($W97="","",IFERROR(IF(ISNUMBER(INDEX($M$9:$M$2008,$W97)),INDEX($M$9:$M$2008,$W97),VALUE(SUBSTITUTE(INDEX($M$9:$M$2008,$W97),",",""))),""))</f>
        <v/>
      </c>
      <c r="AL97" s="26">
        <f>IF($W97="","",IFERROR(IF(ISNUMBER(INDEX($P$9:$P$2008,$W97)),INDEX($P$9:$P$2008,$W97),VALUE(SUBSTITUTE(INDEX($P$9:$P$2008,$W97),"%",""))/100),""))</f>
        <v/>
      </c>
    </row>
    <row r="98">
      <c r="S98">
        <f>IF(AND(ISTEXT($A98),ISNUMBER(SEARCH(" - ",$A98)),ISERROR(SEARCH("Folio",$A98)),$D98=""),TRIM($A98),$S97)</f>
        <v/>
      </c>
      <c r="T98">
        <f>IF(AND(ISNUMBER(SEARCH("Folio",$A98)),$D98&lt;&gt;""),1,"")</f>
        <v/>
      </c>
      <c r="U98">
        <f>IF($T98=1,COUNTIF($T$9:$T98,1),"")</f>
        <v/>
      </c>
      <c r="V98">
        <f>IF(AND(ISTEXT($A98),LEFT($A99,3)="Pan"),1,"")</f>
        <v/>
      </c>
      <c r="W98" s="21">
        <f>IFERROR(MATCH(90,$U$9:$U$2008,0),"")</f>
        <v/>
      </c>
      <c r="X98" s="27">
        <f>IF($W98="","",IF($R$5&lt;&gt;"",$R$5,$R$6))</f>
        <v/>
      </c>
      <c r="Y98" s="27">
        <f>IF($W98="","",INDEX($S$9:$S$2008,$W98))</f>
        <v/>
      </c>
      <c r="Z98" s="27">
        <f>IF($W98="","",IFERROR(TRIM(LEFT(SUBSTITUTE(INDEX($A$9:$A$2008,$W98),CHAR(10)," "),SEARCH("Folio",SUBSTITUTE(INDEX($A$9:$A$2008,$W98),CHAR(10)," "))-1)),TRIM(SUBSTITUTE(INDEX($A$9:$A$2008,$W98),CHAR(10)," "))))</f>
        <v/>
      </c>
      <c r="AA98" s="27">
        <f>IF($W98="","",IFERROR(TRIM(SUBSTITUTE(MID(SUBSTITUTE(INDEX($A$9:$A$2008,$W98),CHAR(10)," "),SEARCH("Folio",SUBSTITUTE(INDEX($A$9:$A$2008,$W98),CHAR(10)," "))+5,200),":","")),""))</f>
        <v/>
      </c>
      <c r="AB98" s="28">
        <f>IF($W98="","",IF(ISNUMBER(INDEX($D$9:$D$2008,$W98)),INDEX($D$9:$D$2008,$W98),IFERROR(DATE(2000+VALUE(RIGHT(INDEX($D$9:$D$2008,$W98),2)),VALUE(MID(INDEX($D$9:$D$2008,$W98),4,2)),VALUE(LEFT(INDEX($D$9:$D$2008,$W98),2))),"")))</f>
        <v/>
      </c>
      <c r="AC98" s="29">
        <f>IF($W98="","",IFERROR(IF(ISNUMBER(INDEX($E$9:$E$2008,$W98)),INDEX($E$9:$E$2008,$W98),VALUE(SUBSTITUTE(INDEX($E$9:$E$2008,$W98),",",""))),""))</f>
        <v/>
      </c>
      <c r="AD98" s="29">
        <f>IF($W98="","",IFERROR(IF(ISNUMBER(INDEX($F$9:$F$2008,$W98)),INDEX($F$9:$F$2008,$W98),VALUE(SUBSTITUTE(INDEX($F$9:$F$2008,$W98),",",""))),""))</f>
        <v/>
      </c>
      <c r="AE98" s="29">
        <f>IF($W98="","",IFERROR(IF(ISNUMBER(INDEX($G$9:$G$2008,$W98)),INDEX($G$9:$G$2008,$W98),VALUE(SUBSTITUTE(INDEX($G$9:$G$2008,$W98),",",""))),""))</f>
        <v/>
      </c>
      <c r="AF98" s="29">
        <f>IF($W98="","",IFERROR(IF(ISNUMBER(INDEX($H$9:$H$2008,$W98)),INDEX($H$9:$H$2008,$W98),VALUE(SUBSTITUTE(INDEX($H$9:$H$2008,$W98),",",""))),""))</f>
        <v/>
      </c>
      <c r="AG98" s="29">
        <f>IF($W98="","",IFERROR(IF(ISNUMBER(INDEX($I$9:$I$2008,$W98)),INDEX($I$9:$I$2008,$W98),VALUE(SUBSTITUTE(INDEX($I$9:$I$2008,$W98),",",""))),""))</f>
        <v/>
      </c>
      <c r="AH98" s="29">
        <f>IF($W98="","",IFERROR(IF(ISNUMBER(INDEX($J$9:$J$2008,$W98)),INDEX($J$9:$J$2008,$W98),VALUE(SUBSTITUTE(INDEX($J$9:$J$2008,$W98),",",""))),""))</f>
        <v/>
      </c>
      <c r="AI98" s="29">
        <f>IF($W98="","",IFERROR(IF(ISNUMBER(INDEX($K$9:$K$2008,$W98)),INDEX($K$9:$K$2008,$W98),VALUE(SUBSTITUTE(INDEX($K$9:$K$2008,$W98),",",""))),""))</f>
        <v/>
      </c>
      <c r="AJ98" s="30">
        <f>IF($W98="","",IFERROR(IF(ISNUMBER(INDEX($L$9:$L$2008,$W98)),INDEX($L$9:$L$2008,$W98),VALUE(SUBSTITUTE(INDEX($L$9:$L$2008,$W98),",",""))),""))</f>
        <v/>
      </c>
      <c r="AK98" s="30">
        <f>IF($W98="","",IFERROR(IF(ISNUMBER(INDEX($M$9:$M$2008,$W98)),INDEX($M$9:$M$2008,$W98),VALUE(SUBSTITUTE(INDEX($M$9:$M$2008,$W98),",",""))),""))</f>
        <v/>
      </c>
      <c r="AL98" s="31">
        <f>IF($W98="","",IFERROR(IF(ISNUMBER(INDEX($P$9:$P$2008,$W98)),INDEX($P$9:$P$2008,$W98),VALUE(SUBSTITUTE(INDEX($P$9:$P$2008,$W98),"%",""))/100),""))</f>
        <v/>
      </c>
    </row>
    <row r="99">
      <c r="S99">
        <f>IF(AND(ISTEXT($A99),ISNUMBER(SEARCH(" - ",$A99)),ISERROR(SEARCH("Folio",$A99)),$D99=""),TRIM($A99),$S98)</f>
        <v/>
      </c>
      <c r="T99">
        <f>IF(AND(ISNUMBER(SEARCH("Folio",$A99)),$D99&lt;&gt;""),1,"")</f>
        <v/>
      </c>
      <c r="U99">
        <f>IF($T99=1,COUNTIF($T$9:$T99,1),"")</f>
        <v/>
      </c>
      <c r="V99">
        <f>IF(AND(ISTEXT($A99),LEFT($A100,3)="Pan"),1,"")</f>
        <v/>
      </c>
      <c r="W99" s="21">
        <f>IFERROR(MATCH(91,$U$9:$U$2008,0),"")</f>
        <v/>
      </c>
      <c r="X99" s="22">
        <f>IF($W99="","",IF($R$5&lt;&gt;"",$R$5,$R$6))</f>
        <v/>
      </c>
      <c r="Y99" s="22">
        <f>IF($W99="","",INDEX($S$9:$S$2008,$W99))</f>
        <v/>
      </c>
      <c r="Z99" s="22">
        <f>IF($W99="","",IFERROR(TRIM(LEFT(SUBSTITUTE(INDEX($A$9:$A$2008,$W99),CHAR(10)," "),SEARCH("Folio",SUBSTITUTE(INDEX($A$9:$A$2008,$W99),CHAR(10)," "))-1)),TRIM(SUBSTITUTE(INDEX($A$9:$A$2008,$W99),CHAR(10)," "))))</f>
        <v/>
      </c>
      <c r="AA99" s="22">
        <f>IF($W99="","",IFERROR(TRIM(SUBSTITUTE(MID(SUBSTITUTE(INDEX($A$9:$A$2008,$W99),CHAR(10)," "),SEARCH("Folio",SUBSTITUTE(INDEX($A$9:$A$2008,$W99),CHAR(10)," "))+5,200),":","")),""))</f>
        <v/>
      </c>
      <c r="AB99" s="23">
        <f>IF($W99="","",IF(ISNUMBER(INDEX($D$9:$D$2008,$W99)),INDEX($D$9:$D$2008,$W99),IFERROR(DATE(2000+VALUE(RIGHT(INDEX($D$9:$D$2008,$W99),2)),VALUE(MID(INDEX($D$9:$D$2008,$W99),4,2)),VALUE(LEFT(INDEX($D$9:$D$2008,$W99),2))),"")))</f>
        <v/>
      </c>
      <c r="AC99" s="24">
        <f>IF($W99="","",IFERROR(IF(ISNUMBER(INDEX($E$9:$E$2008,$W99)),INDEX($E$9:$E$2008,$W99),VALUE(SUBSTITUTE(INDEX($E$9:$E$2008,$W99),",",""))),""))</f>
        <v/>
      </c>
      <c r="AD99" s="24">
        <f>IF($W99="","",IFERROR(IF(ISNUMBER(INDEX($F$9:$F$2008,$W99)),INDEX($F$9:$F$2008,$W99),VALUE(SUBSTITUTE(INDEX($F$9:$F$2008,$W99),",",""))),""))</f>
        <v/>
      </c>
      <c r="AE99" s="24">
        <f>IF($W99="","",IFERROR(IF(ISNUMBER(INDEX($G$9:$G$2008,$W99)),INDEX($G$9:$G$2008,$W99),VALUE(SUBSTITUTE(INDEX($G$9:$G$2008,$W99),",",""))),""))</f>
        <v/>
      </c>
      <c r="AF99" s="24">
        <f>IF($W99="","",IFERROR(IF(ISNUMBER(INDEX($H$9:$H$2008,$W99)),INDEX($H$9:$H$2008,$W99),VALUE(SUBSTITUTE(INDEX($H$9:$H$2008,$W99),",",""))),""))</f>
        <v/>
      </c>
      <c r="AG99" s="24">
        <f>IF($W99="","",IFERROR(IF(ISNUMBER(INDEX($I$9:$I$2008,$W99)),INDEX($I$9:$I$2008,$W99),VALUE(SUBSTITUTE(INDEX($I$9:$I$2008,$W99),",",""))),""))</f>
        <v/>
      </c>
      <c r="AH99" s="24">
        <f>IF($W99="","",IFERROR(IF(ISNUMBER(INDEX($J$9:$J$2008,$W99)),INDEX($J$9:$J$2008,$W99),VALUE(SUBSTITUTE(INDEX($J$9:$J$2008,$W99),",",""))),""))</f>
        <v/>
      </c>
      <c r="AI99" s="24">
        <f>IF($W99="","",IFERROR(IF(ISNUMBER(INDEX($K$9:$K$2008,$W99)),INDEX($K$9:$K$2008,$W99),VALUE(SUBSTITUTE(INDEX($K$9:$K$2008,$W99),",",""))),""))</f>
        <v/>
      </c>
      <c r="AJ99" s="25">
        <f>IF($W99="","",IFERROR(IF(ISNUMBER(INDEX($L$9:$L$2008,$W99)),INDEX($L$9:$L$2008,$W99),VALUE(SUBSTITUTE(INDEX($L$9:$L$2008,$W99),",",""))),""))</f>
        <v/>
      </c>
      <c r="AK99" s="25">
        <f>IF($W99="","",IFERROR(IF(ISNUMBER(INDEX($M$9:$M$2008,$W99)),INDEX($M$9:$M$2008,$W99),VALUE(SUBSTITUTE(INDEX($M$9:$M$2008,$W99),",",""))),""))</f>
        <v/>
      </c>
      <c r="AL99" s="26">
        <f>IF($W99="","",IFERROR(IF(ISNUMBER(INDEX($P$9:$P$2008,$W99)),INDEX($P$9:$P$2008,$W99),VALUE(SUBSTITUTE(INDEX($P$9:$P$2008,$W99),"%",""))/100),""))</f>
        <v/>
      </c>
    </row>
    <row r="100">
      <c r="S100">
        <f>IF(AND(ISTEXT($A100),ISNUMBER(SEARCH(" - ",$A100)),ISERROR(SEARCH("Folio",$A100)),$D100=""),TRIM($A100),$S99)</f>
        <v/>
      </c>
      <c r="T100">
        <f>IF(AND(ISNUMBER(SEARCH("Folio",$A100)),$D100&lt;&gt;""),1,"")</f>
        <v/>
      </c>
      <c r="U100">
        <f>IF($T100=1,COUNTIF($T$9:$T100,1),"")</f>
        <v/>
      </c>
      <c r="V100">
        <f>IF(AND(ISTEXT($A100),LEFT($A101,3)="Pan"),1,"")</f>
        <v/>
      </c>
      <c r="W100" s="21">
        <f>IFERROR(MATCH(92,$U$9:$U$2008,0),"")</f>
        <v/>
      </c>
      <c r="X100" s="27">
        <f>IF($W100="","",IF($R$5&lt;&gt;"",$R$5,$R$6))</f>
        <v/>
      </c>
      <c r="Y100" s="27">
        <f>IF($W100="","",INDEX($S$9:$S$2008,$W100))</f>
        <v/>
      </c>
      <c r="Z100" s="27">
        <f>IF($W100="","",IFERROR(TRIM(LEFT(SUBSTITUTE(INDEX($A$9:$A$2008,$W100),CHAR(10)," "),SEARCH("Folio",SUBSTITUTE(INDEX($A$9:$A$2008,$W100),CHAR(10)," "))-1)),TRIM(SUBSTITUTE(INDEX($A$9:$A$2008,$W100),CHAR(10)," "))))</f>
        <v/>
      </c>
      <c r="AA100" s="27">
        <f>IF($W100="","",IFERROR(TRIM(SUBSTITUTE(MID(SUBSTITUTE(INDEX($A$9:$A$2008,$W100),CHAR(10)," "),SEARCH("Folio",SUBSTITUTE(INDEX($A$9:$A$2008,$W100),CHAR(10)," "))+5,200),":","")),""))</f>
        <v/>
      </c>
      <c r="AB100" s="28">
        <f>IF($W100="","",IF(ISNUMBER(INDEX($D$9:$D$2008,$W100)),INDEX($D$9:$D$2008,$W100),IFERROR(DATE(2000+VALUE(RIGHT(INDEX($D$9:$D$2008,$W100),2)),VALUE(MID(INDEX($D$9:$D$2008,$W100),4,2)),VALUE(LEFT(INDEX($D$9:$D$2008,$W100),2))),"")))</f>
        <v/>
      </c>
      <c r="AC100" s="29">
        <f>IF($W100="","",IFERROR(IF(ISNUMBER(INDEX($E$9:$E$2008,$W100)),INDEX($E$9:$E$2008,$W100),VALUE(SUBSTITUTE(INDEX($E$9:$E$2008,$W100),",",""))),""))</f>
        <v/>
      </c>
      <c r="AD100" s="29">
        <f>IF($W100="","",IFERROR(IF(ISNUMBER(INDEX($F$9:$F$2008,$W100)),INDEX($F$9:$F$2008,$W100),VALUE(SUBSTITUTE(INDEX($F$9:$F$2008,$W100),",",""))),""))</f>
        <v/>
      </c>
      <c r="AE100" s="29">
        <f>IF($W100="","",IFERROR(IF(ISNUMBER(INDEX($G$9:$G$2008,$W100)),INDEX($G$9:$G$2008,$W100),VALUE(SUBSTITUTE(INDEX($G$9:$G$2008,$W100),",",""))),""))</f>
        <v/>
      </c>
      <c r="AF100" s="29">
        <f>IF($W100="","",IFERROR(IF(ISNUMBER(INDEX($H$9:$H$2008,$W100)),INDEX($H$9:$H$2008,$W100),VALUE(SUBSTITUTE(INDEX($H$9:$H$2008,$W100),",",""))),""))</f>
        <v/>
      </c>
      <c r="AG100" s="29">
        <f>IF($W100="","",IFERROR(IF(ISNUMBER(INDEX($I$9:$I$2008,$W100)),INDEX($I$9:$I$2008,$W100),VALUE(SUBSTITUTE(INDEX($I$9:$I$2008,$W100),",",""))),""))</f>
        <v/>
      </c>
      <c r="AH100" s="29">
        <f>IF($W100="","",IFERROR(IF(ISNUMBER(INDEX($J$9:$J$2008,$W100)),INDEX($J$9:$J$2008,$W100),VALUE(SUBSTITUTE(INDEX($J$9:$J$2008,$W100),",",""))),""))</f>
        <v/>
      </c>
      <c r="AI100" s="29">
        <f>IF($W100="","",IFERROR(IF(ISNUMBER(INDEX($K$9:$K$2008,$W100)),INDEX($K$9:$K$2008,$W100),VALUE(SUBSTITUTE(INDEX($K$9:$K$2008,$W100),",",""))),""))</f>
        <v/>
      </c>
      <c r="AJ100" s="30">
        <f>IF($W100="","",IFERROR(IF(ISNUMBER(INDEX($L$9:$L$2008,$W100)),INDEX($L$9:$L$2008,$W100),VALUE(SUBSTITUTE(INDEX($L$9:$L$2008,$W100),",",""))),""))</f>
        <v/>
      </c>
      <c r="AK100" s="30">
        <f>IF($W100="","",IFERROR(IF(ISNUMBER(INDEX($M$9:$M$2008,$W100)),INDEX($M$9:$M$2008,$W100),VALUE(SUBSTITUTE(INDEX($M$9:$M$2008,$W100),",",""))),""))</f>
        <v/>
      </c>
      <c r="AL100" s="31">
        <f>IF($W100="","",IFERROR(IF(ISNUMBER(INDEX($P$9:$P$2008,$W100)),INDEX($P$9:$P$2008,$W100),VALUE(SUBSTITUTE(INDEX($P$9:$P$2008,$W100),"%",""))/100),""))</f>
        <v/>
      </c>
    </row>
    <row r="101">
      <c r="S101">
        <f>IF(AND(ISTEXT($A101),ISNUMBER(SEARCH(" - ",$A101)),ISERROR(SEARCH("Folio",$A101)),$D101=""),TRIM($A101),$S100)</f>
        <v/>
      </c>
      <c r="T101">
        <f>IF(AND(ISNUMBER(SEARCH("Folio",$A101)),$D101&lt;&gt;""),1,"")</f>
        <v/>
      </c>
      <c r="U101">
        <f>IF($T101=1,COUNTIF($T$9:$T101,1),"")</f>
        <v/>
      </c>
      <c r="V101">
        <f>IF(AND(ISTEXT($A101),LEFT($A102,3)="Pan"),1,"")</f>
        <v/>
      </c>
      <c r="W101" s="21">
        <f>IFERROR(MATCH(93,$U$9:$U$2008,0),"")</f>
        <v/>
      </c>
      <c r="X101" s="22">
        <f>IF($W101="","",IF($R$5&lt;&gt;"",$R$5,$R$6))</f>
        <v/>
      </c>
      <c r="Y101" s="22">
        <f>IF($W101="","",INDEX($S$9:$S$2008,$W101))</f>
        <v/>
      </c>
      <c r="Z101" s="22">
        <f>IF($W101="","",IFERROR(TRIM(LEFT(SUBSTITUTE(INDEX($A$9:$A$2008,$W101),CHAR(10)," "),SEARCH("Folio",SUBSTITUTE(INDEX($A$9:$A$2008,$W101),CHAR(10)," "))-1)),TRIM(SUBSTITUTE(INDEX($A$9:$A$2008,$W101),CHAR(10)," "))))</f>
        <v/>
      </c>
      <c r="AA101" s="22">
        <f>IF($W101="","",IFERROR(TRIM(SUBSTITUTE(MID(SUBSTITUTE(INDEX($A$9:$A$2008,$W101),CHAR(10)," "),SEARCH("Folio",SUBSTITUTE(INDEX($A$9:$A$2008,$W101),CHAR(10)," "))+5,200),":","")),""))</f>
        <v/>
      </c>
      <c r="AB101" s="23">
        <f>IF($W101="","",IF(ISNUMBER(INDEX($D$9:$D$2008,$W101)),INDEX($D$9:$D$2008,$W101),IFERROR(DATE(2000+VALUE(RIGHT(INDEX($D$9:$D$2008,$W101),2)),VALUE(MID(INDEX($D$9:$D$2008,$W101),4,2)),VALUE(LEFT(INDEX($D$9:$D$2008,$W101),2))),"")))</f>
        <v/>
      </c>
      <c r="AC101" s="24">
        <f>IF($W101="","",IFERROR(IF(ISNUMBER(INDEX($E$9:$E$2008,$W101)),INDEX($E$9:$E$2008,$W101),VALUE(SUBSTITUTE(INDEX($E$9:$E$2008,$W101),",",""))),""))</f>
        <v/>
      </c>
      <c r="AD101" s="24">
        <f>IF($W101="","",IFERROR(IF(ISNUMBER(INDEX($F$9:$F$2008,$W101)),INDEX($F$9:$F$2008,$W101),VALUE(SUBSTITUTE(INDEX($F$9:$F$2008,$W101),",",""))),""))</f>
        <v/>
      </c>
      <c r="AE101" s="24">
        <f>IF($W101="","",IFERROR(IF(ISNUMBER(INDEX($G$9:$G$2008,$W101)),INDEX($G$9:$G$2008,$W101),VALUE(SUBSTITUTE(INDEX($G$9:$G$2008,$W101),",",""))),""))</f>
        <v/>
      </c>
      <c r="AF101" s="24">
        <f>IF($W101="","",IFERROR(IF(ISNUMBER(INDEX($H$9:$H$2008,$W101)),INDEX($H$9:$H$2008,$W101),VALUE(SUBSTITUTE(INDEX($H$9:$H$2008,$W101),",",""))),""))</f>
        <v/>
      </c>
      <c r="AG101" s="24">
        <f>IF($W101="","",IFERROR(IF(ISNUMBER(INDEX($I$9:$I$2008,$W101)),INDEX($I$9:$I$2008,$W101),VALUE(SUBSTITUTE(INDEX($I$9:$I$2008,$W101),",",""))),""))</f>
        <v/>
      </c>
      <c r="AH101" s="24">
        <f>IF($W101="","",IFERROR(IF(ISNUMBER(INDEX($J$9:$J$2008,$W101)),INDEX($J$9:$J$2008,$W101),VALUE(SUBSTITUTE(INDEX($J$9:$J$2008,$W101),",",""))),""))</f>
        <v/>
      </c>
      <c r="AI101" s="24">
        <f>IF($W101="","",IFERROR(IF(ISNUMBER(INDEX($K$9:$K$2008,$W101)),INDEX($K$9:$K$2008,$W101),VALUE(SUBSTITUTE(INDEX($K$9:$K$2008,$W101),",",""))),""))</f>
        <v/>
      </c>
      <c r="AJ101" s="25">
        <f>IF($W101="","",IFERROR(IF(ISNUMBER(INDEX($L$9:$L$2008,$W101)),INDEX($L$9:$L$2008,$W101),VALUE(SUBSTITUTE(INDEX($L$9:$L$2008,$W101),",",""))),""))</f>
        <v/>
      </c>
      <c r="AK101" s="25">
        <f>IF($W101="","",IFERROR(IF(ISNUMBER(INDEX($M$9:$M$2008,$W101)),INDEX($M$9:$M$2008,$W101),VALUE(SUBSTITUTE(INDEX($M$9:$M$2008,$W101),",",""))),""))</f>
        <v/>
      </c>
      <c r="AL101" s="26">
        <f>IF($W101="","",IFERROR(IF(ISNUMBER(INDEX($P$9:$P$2008,$W101)),INDEX($P$9:$P$2008,$W101),VALUE(SUBSTITUTE(INDEX($P$9:$P$2008,$W101),"%",""))/100),""))</f>
        <v/>
      </c>
    </row>
    <row r="102">
      <c r="S102">
        <f>IF(AND(ISTEXT($A102),ISNUMBER(SEARCH(" - ",$A102)),ISERROR(SEARCH("Folio",$A102)),$D102=""),TRIM($A102),$S101)</f>
        <v/>
      </c>
      <c r="T102">
        <f>IF(AND(ISNUMBER(SEARCH("Folio",$A102)),$D102&lt;&gt;""),1,"")</f>
        <v/>
      </c>
      <c r="U102">
        <f>IF($T102=1,COUNTIF($T$9:$T102,1),"")</f>
        <v/>
      </c>
      <c r="V102">
        <f>IF(AND(ISTEXT($A102),LEFT($A103,3)="Pan"),1,"")</f>
        <v/>
      </c>
      <c r="W102" s="21">
        <f>IFERROR(MATCH(94,$U$9:$U$2008,0),"")</f>
        <v/>
      </c>
      <c r="X102" s="27">
        <f>IF($W102="","",IF($R$5&lt;&gt;"",$R$5,$R$6))</f>
        <v/>
      </c>
      <c r="Y102" s="27">
        <f>IF($W102="","",INDEX($S$9:$S$2008,$W102))</f>
        <v/>
      </c>
      <c r="Z102" s="27">
        <f>IF($W102="","",IFERROR(TRIM(LEFT(SUBSTITUTE(INDEX($A$9:$A$2008,$W102),CHAR(10)," "),SEARCH("Folio",SUBSTITUTE(INDEX($A$9:$A$2008,$W102),CHAR(10)," "))-1)),TRIM(SUBSTITUTE(INDEX($A$9:$A$2008,$W102),CHAR(10)," "))))</f>
        <v/>
      </c>
      <c r="AA102" s="27">
        <f>IF($W102="","",IFERROR(TRIM(SUBSTITUTE(MID(SUBSTITUTE(INDEX($A$9:$A$2008,$W102),CHAR(10)," "),SEARCH("Folio",SUBSTITUTE(INDEX($A$9:$A$2008,$W102),CHAR(10)," "))+5,200),":","")),""))</f>
        <v/>
      </c>
      <c r="AB102" s="28">
        <f>IF($W102="","",IF(ISNUMBER(INDEX($D$9:$D$2008,$W102)),INDEX($D$9:$D$2008,$W102),IFERROR(DATE(2000+VALUE(RIGHT(INDEX($D$9:$D$2008,$W102),2)),VALUE(MID(INDEX($D$9:$D$2008,$W102),4,2)),VALUE(LEFT(INDEX($D$9:$D$2008,$W102),2))),"")))</f>
        <v/>
      </c>
      <c r="AC102" s="29">
        <f>IF($W102="","",IFERROR(IF(ISNUMBER(INDEX($E$9:$E$2008,$W102)),INDEX($E$9:$E$2008,$W102),VALUE(SUBSTITUTE(INDEX($E$9:$E$2008,$W102),",",""))),""))</f>
        <v/>
      </c>
      <c r="AD102" s="29">
        <f>IF($W102="","",IFERROR(IF(ISNUMBER(INDEX($F$9:$F$2008,$W102)),INDEX($F$9:$F$2008,$W102),VALUE(SUBSTITUTE(INDEX($F$9:$F$2008,$W102),",",""))),""))</f>
        <v/>
      </c>
      <c r="AE102" s="29">
        <f>IF($W102="","",IFERROR(IF(ISNUMBER(INDEX($G$9:$G$2008,$W102)),INDEX($G$9:$G$2008,$W102),VALUE(SUBSTITUTE(INDEX($G$9:$G$2008,$W102),",",""))),""))</f>
        <v/>
      </c>
      <c r="AF102" s="29">
        <f>IF($W102="","",IFERROR(IF(ISNUMBER(INDEX($H$9:$H$2008,$W102)),INDEX($H$9:$H$2008,$W102),VALUE(SUBSTITUTE(INDEX($H$9:$H$2008,$W102),",",""))),""))</f>
        <v/>
      </c>
      <c r="AG102" s="29">
        <f>IF($W102="","",IFERROR(IF(ISNUMBER(INDEX($I$9:$I$2008,$W102)),INDEX($I$9:$I$2008,$W102),VALUE(SUBSTITUTE(INDEX($I$9:$I$2008,$W102),",",""))),""))</f>
        <v/>
      </c>
      <c r="AH102" s="29">
        <f>IF($W102="","",IFERROR(IF(ISNUMBER(INDEX($J$9:$J$2008,$W102)),INDEX($J$9:$J$2008,$W102),VALUE(SUBSTITUTE(INDEX($J$9:$J$2008,$W102),",",""))),""))</f>
        <v/>
      </c>
      <c r="AI102" s="29">
        <f>IF($W102="","",IFERROR(IF(ISNUMBER(INDEX($K$9:$K$2008,$W102)),INDEX($K$9:$K$2008,$W102),VALUE(SUBSTITUTE(INDEX($K$9:$K$2008,$W102),",",""))),""))</f>
        <v/>
      </c>
      <c r="AJ102" s="30">
        <f>IF($W102="","",IFERROR(IF(ISNUMBER(INDEX($L$9:$L$2008,$W102)),INDEX($L$9:$L$2008,$W102),VALUE(SUBSTITUTE(INDEX($L$9:$L$2008,$W102),",",""))),""))</f>
        <v/>
      </c>
      <c r="AK102" s="30">
        <f>IF($W102="","",IFERROR(IF(ISNUMBER(INDEX($M$9:$M$2008,$W102)),INDEX($M$9:$M$2008,$W102),VALUE(SUBSTITUTE(INDEX($M$9:$M$2008,$W102),",",""))),""))</f>
        <v/>
      </c>
      <c r="AL102" s="31">
        <f>IF($W102="","",IFERROR(IF(ISNUMBER(INDEX($P$9:$P$2008,$W102)),INDEX($P$9:$P$2008,$W102),VALUE(SUBSTITUTE(INDEX($P$9:$P$2008,$W102),"%",""))/100),""))</f>
        <v/>
      </c>
    </row>
    <row r="103">
      <c r="S103">
        <f>IF(AND(ISTEXT($A103),ISNUMBER(SEARCH(" - ",$A103)),ISERROR(SEARCH("Folio",$A103)),$D103=""),TRIM($A103),$S102)</f>
        <v/>
      </c>
      <c r="T103">
        <f>IF(AND(ISNUMBER(SEARCH("Folio",$A103)),$D103&lt;&gt;""),1,"")</f>
        <v/>
      </c>
      <c r="U103">
        <f>IF($T103=1,COUNTIF($T$9:$T103,1),"")</f>
        <v/>
      </c>
      <c r="V103">
        <f>IF(AND(ISTEXT($A103),LEFT($A104,3)="Pan"),1,"")</f>
        <v/>
      </c>
      <c r="W103" s="21">
        <f>IFERROR(MATCH(95,$U$9:$U$2008,0),"")</f>
        <v/>
      </c>
      <c r="X103" s="22">
        <f>IF($W103="","",IF($R$5&lt;&gt;"",$R$5,$R$6))</f>
        <v/>
      </c>
      <c r="Y103" s="22">
        <f>IF($W103="","",INDEX($S$9:$S$2008,$W103))</f>
        <v/>
      </c>
      <c r="Z103" s="22">
        <f>IF($W103="","",IFERROR(TRIM(LEFT(SUBSTITUTE(INDEX($A$9:$A$2008,$W103),CHAR(10)," "),SEARCH("Folio",SUBSTITUTE(INDEX($A$9:$A$2008,$W103),CHAR(10)," "))-1)),TRIM(SUBSTITUTE(INDEX($A$9:$A$2008,$W103),CHAR(10)," "))))</f>
        <v/>
      </c>
      <c r="AA103" s="22">
        <f>IF($W103="","",IFERROR(TRIM(SUBSTITUTE(MID(SUBSTITUTE(INDEX($A$9:$A$2008,$W103),CHAR(10)," "),SEARCH("Folio",SUBSTITUTE(INDEX($A$9:$A$2008,$W103),CHAR(10)," "))+5,200),":","")),""))</f>
        <v/>
      </c>
      <c r="AB103" s="23">
        <f>IF($W103="","",IF(ISNUMBER(INDEX($D$9:$D$2008,$W103)),INDEX($D$9:$D$2008,$W103),IFERROR(DATE(2000+VALUE(RIGHT(INDEX($D$9:$D$2008,$W103),2)),VALUE(MID(INDEX($D$9:$D$2008,$W103),4,2)),VALUE(LEFT(INDEX($D$9:$D$2008,$W103),2))),"")))</f>
        <v/>
      </c>
      <c r="AC103" s="24">
        <f>IF($W103="","",IFERROR(IF(ISNUMBER(INDEX($E$9:$E$2008,$W103)),INDEX($E$9:$E$2008,$W103),VALUE(SUBSTITUTE(INDEX($E$9:$E$2008,$W103),",",""))),""))</f>
        <v/>
      </c>
      <c r="AD103" s="24">
        <f>IF($W103="","",IFERROR(IF(ISNUMBER(INDEX($F$9:$F$2008,$W103)),INDEX($F$9:$F$2008,$W103),VALUE(SUBSTITUTE(INDEX($F$9:$F$2008,$W103),",",""))),""))</f>
        <v/>
      </c>
      <c r="AE103" s="24">
        <f>IF($W103="","",IFERROR(IF(ISNUMBER(INDEX($G$9:$G$2008,$W103)),INDEX($G$9:$G$2008,$W103),VALUE(SUBSTITUTE(INDEX($G$9:$G$2008,$W103),",",""))),""))</f>
        <v/>
      </c>
      <c r="AF103" s="24">
        <f>IF($W103="","",IFERROR(IF(ISNUMBER(INDEX($H$9:$H$2008,$W103)),INDEX($H$9:$H$2008,$W103),VALUE(SUBSTITUTE(INDEX($H$9:$H$2008,$W103),",",""))),""))</f>
        <v/>
      </c>
      <c r="AG103" s="24">
        <f>IF($W103="","",IFERROR(IF(ISNUMBER(INDEX($I$9:$I$2008,$W103)),INDEX($I$9:$I$2008,$W103),VALUE(SUBSTITUTE(INDEX($I$9:$I$2008,$W103),",",""))),""))</f>
        <v/>
      </c>
      <c r="AH103" s="24">
        <f>IF($W103="","",IFERROR(IF(ISNUMBER(INDEX($J$9:$J$2008,$W103)),INDEX($J$9:$J$2008,$W103),VALUE(SUBSTITUTE(INDEX($J$9:$J$2008,$W103),",",""))),""))</f>
        <v/>
      </c>
      <c r="AI103" s="24">
        <f>IF($W103="","",IFERROR(IF(ISNUMBER(INDEX($K$9:$K$2008,$W103)),INDEX($K$9:$K$2008,$W103),VALUE(SUBSTITUTE(INDEX($K$9:$K$2008,$W103),",",""))),""))</f>
        <v/>
      </c>
      <c r="AJ103" s="25">
        <f>IF($W103="","",IFERROR(IF(ISNUMBER(INDEX($L$9:$L$2008,$W103)),INDEX($L$9:$L$2008,$W103),VALUE(SUBSTITUTE(INDEX($L$9:$L$2008,$W103),",",""))),""))</f>
        <v/>
      </c>
      <c r="AK103" s="25">
        <f>IF($W103="","",IFERROR(IF(ISNUMBER(INDEX($M$9:$M$2008,$W103)),INDEX($M$9:$M$2008,$W103),VALUE(SUBSTITUTE(INDEX($M$9:$M$2008,$W103),",",""))),""))</f>
        <v/>
      </c>
      <c r="AL103" s="26">
        <f>IF($W103="","",IFERROR(IF(ISNUMBER(INDEX($P$9:$P$2008,$W103)),INDEX($P$9:$P$2008,$W103),VALUE(SUBSTITUTE(INDEX($P$9:$P$2008,$W103),"%",""))/100),""))</f>
        <v/>
      </c>
    </row>
    <row r="104">
      <c r="S104">
        <f>IF(AND(ISTEXT($A104),ISNUMBER(SEARCH(" - ",$A104)),ISERROR(SEARCH("Folio",$A104)),$D104=""),TRIM($A104),$S103)</f>
        <v/>
      </c>
      <c r="T104">
        <f>IF(AND(ISNUMBER(SEARCH("Folio",$A104)),$D104&lt;&gt;""),1,"")</f>
        <v/>
      </c>
      <c r="U104">
        <f>IF($T104=1,COUNTIF($T$9:$T104,1),"")</f>
        <v/>
      </c>
      <c r="V104">
        <f>IF(AND(ISTEXT($A104),LEFT($A105,3)="Pan"),1,"")</f>
        <v/>
      </c>
      <c r="W104" s="21">
        <f>IFERROR(MATCH(96,$U$9:$U$2008,0),"")</f>
        <v/>
      </c>
      <c r="X104" s="27">
        <f>IF($W104="","",IF($R$5&lt;&gt;"",$R$5,$R$6))</f>
        <v/>
      </c>
      <c r="Y104" s="27">
        <f>IF($W104="","",INDEX($S$9:$S$2008,$W104))</f>
        <v/>
      </c>
      <c r="Z104" s="27">
        <f>IF($W104="","",IFERROR(TRIM(LEFT(SUBSTITUTE(INDEX($A$9:$A$2008,$W104),CHAR(10)," "),SEARCH("Folio",SUBSTITUTE(INDEX($A$9:$A$2008,$W104),CHAR(10)," "))-1)),TRIM(SUBSTITUTE(INDEX($A$9:$A$2008,$W104),CHAR(10)," "))))</f>
        <v/>
      </c>
      <c r="AA104" s="27">
        <f>IF($W104="","",IFERROR(TRIM(SUBSTITUTE(MID(SUBSTITUTE(INDEX($A$9:$A$2008,$W104),CHAR(10)," "),SEARCH("Folio",SUBSTITUTE(INDEX($A$9:$A$2008,$W104),CHAR(10)," "))+5,200),":","")),""))</f>
        <v/>
      </c>
      <c r="AB104" s="28">
        <f>IF($W104="","",IF(ISNUMBER(INDEX($D$9:$D$2008,$W104)),INDEX($D$9:$D$2008,$W104),IFERROR(DATE(2000+VALUE(RIGHT(INDEX($D$9:$D$2008,$W104),2)),VALUE(MID(INDEX($D$9:$D$2008,$W104),4,2)),VALUE(LEFT(INDEX($D$9:$D$2008,$W104),2))),"")))</f>
        <v/>
      </c>
      <c r="AC104" s="29">
        <f>IF($W104="","",IFERROR(IF(ISNUMBER(INDEX($E$9:$E$2008,$W104)),INDEX($E$9:$E$2008,$W104),VALUE(SUBSTITUTE(INDEX($E$9:$E$2008,$W104),",",""))),""))</f>
        <v/>
      </c>
      <c r="AD104" s="29">
        <f>IF($W104="","",IFERROR(IF(ISNUMBER(INDEX($F$9:$F$2008,$W104)),INDEX($F$9:$F$2008,$W104),VALUE(SUBSTITUTE(INDEX($F$9:$F$2008,$W104),",",""))),""))</f>
        <v/>
      </c>
      <c r="AE104" s="29">
        <f>IF($W104="","",IFERROR(IF(ISNUMBER(INDEX($G$9:$G$2008,$W104)),INDEX($G$9:$G$2008,$W104),VALUE(SUBSTITUTE(INDEX($G$9:$G$2008,$W104),",",""))),""))</f>
        <v/>
      </c>
      <c r="AF104" s="29">
        <f>IF($W104="","",IFERROR(IF(ISNUMBER(INDEX($H$9:$H$2008,$W104)),INDEX($H$9:$H$2008,$W104),VALUE(SUBSTITUTE(INDEX($H$9:$H$2008,$W104),",",""))),""))</f>
        <v/>
      </c>
      <c r="AG104" s="29">
        <f>IF($W104="","",IFERROR(IF(ISNUMBER(INDEX($I$9:$I$2008,$W104)),INDEX($I$9:$I$2008,$W104),VALUE(SUBSTITUTE(INDEX($I$9:$I$2008,$W104),",",""))),""))</f>
        <v/>
      </c>
      <c r="AH104" s="29">
        <f>IF($W104="","",IFERROR(IF(ISNUMBER(INDEX($J$9:$J$2008,$W104)),INDEX($J$9:$J$2008,$W104),VALUE(SUBSTITUTE(INDEX($J$9:$J$2008,$W104),",",""))),""))</f>
        <v/>
      </c>
      <c r="AI104" s="29">
        <f>IF($W104="","",IFERROR(IF(ISNUMBER(INDEX($K$9:$K$2008,$W104)),INDEX($K$9:$K$2008,$W104),VALUE(SUBSTITUTE(INDEX($K$9:$K$2008,$W104),",",""))),""))</f>
        <v/>
      </c>
      <c r="AJ104" s="30">
        <f>IF($W104="","",IFERROR(IF(ISNUMBER(INDEX($L$9:$L$2008,$W104)),INDEX($L$9:$L$2008,$W104),VALUE(SUBSTITUTE(INDEX($L$9:$L$2008,$W104),",",""))),""))</f>
        <v/>
      </c>
      <c r="AK104" s="30">
        <f>IF($W104="","",IFERROR(IF(ISNUMBER(INDEX($M$9:$M$2008,$W104)),INDEX($M$9:$M$2008,$W104),VALUE(SUBSTITUTE(INDEX($M$9:$M$2008,$W104),",",""))),""))</f>
        <v/>
      </c>
      <c r="AL104" s="31">
        <f>IF($W104="","",IFERROR(IF(ISNUMBER(INDEX($P$9:$P$2008,$W104)),INDEX($P$9:$P$2008,$W104),VALUE(SUBSTITUTE(INDEX($P$9:$P$2008,$W104),"%",""))/100),""))</f>
        <v/>
      </c>
    </row>
    <row r="105">
      <c r="S105">
        <f>IF(AND(ISTEXT($A105),ISNUMBER(SEARCH(" - ",$A105)),ISERROR(SEARCH("Folio",$A105)),$D105=""),TRIM($A105),$S104)</f>
        <v/>
      </c>
      <c r="T105">
        <f>IF(AND(ISNUMBER(SEARCH("Folio",$A105)),$D105&lt;&gt;""),1,"")</f>
        <v/>
      </c>
      <c r="U105">
        <f>IF($T105=1,COUNTIF($T$9:$T105,1),"")</f>
        <v/>
      </c>
      <c r="V105">
        <f>IF(AND(ISTEXT($A105),LEFT($A106,3)="Pan"),1,"")</f>
        <v/>
      </c>
      <c r="W105" s="21">
        <f>IFERROR(MATCH(97,$U$9:$U$2008,0),"")</f>
        <v/>
      </c>
      <c r="X105" s="22">
        <f>IF($W105="","",IF($R$5&lt;&gt;"",$R$5,$R$6))</f>
        <v/>
      </c>
      <c r="Y105" s="22">
        <f>IF($W105="","",INDEX($S$9:$S$2008,$W105))</f>
        <v/>
      </c>
      <c r="Z105" s="22">
        <f>IF($W105="","",IFERROR(TRIM(LEFT(SUBSTITUTE(INDEX($A$9:$A$2008,$W105),CHAR(10)," "),SEARCH("Folio",SUBSTITUTE(INDEX($A$9:$A$2008,$W105),CHAR(10)," "))-1)),TRIM(SUBSTITUTE(INDEX($A$9:$A$2008,$W105),CHAR(10)," "))))</f>
        <v/>
      </c>
      <c r="AA105" s="22">
        <f>IF($W105="","",IFERROR(TRIM(SUBSTITUTE(MID(SUBSTITUTE(INDEX($A$9:$A$2008,$W105),CHAR(10)," "),SEARCH("Folio",SUBSTITUTE(INDEX($A$9:$A$2008,$W105),CHAR(10)," "))+5,200),":","")),""))</f>
        <v/>
      </c>
      <c r="AB105" s="23">
        <f>IF($W105="","",IF(ISNUMBER(INDEX($D$9:$D$2008,$W105)),INDEX($D$9:$D$2008,$W105),IFERROR(DATE(2000+VALUE(RIGHT(INDEX($D$9:$D$2008,$W105),2)),VALUE(MID(INDEX($D$9:$D$2008,$W105),4,2)),VALUE(LEFT(INDEX($D$9:$D$2008,$W105),2))),"")))</f>
        <v/>
      </c>
      <c r="AC105" s="24">
        <f>IF($W105="","",IFERROR(IF(ISNUMBER(INDEX($E$9:$E$2008,$W105)),INDEX($E$9:$E$2008,$W105),VALUE(SUBSTITUTE(INDEX($E$9:$E$2008,$W105),",",""))),""))</f>
        <v/>
      </c>
      <c r="AD105" s="24">
        <f>IF($W105="","",IFERROR(IF(ISNUMBER(INDEX($F$9:$F$2008,$W105)),INDEX($F$9:$F$2008,$W105),VALUE(SUBSTITUTE(INDEX($F$9:$F$2008,$W105),",",""))),""))</f>
        <v/>
      </c>
      <c r="AE105" s="24">
        <f>IF($W105="","",IFERROR(IF(ISNUMBER(INDEX($G$9:$G$2008,$W105)),INDEX($G$9:$G$2008,$W105),VALUE(SUBSTITUTE(INDEX($G$9:$G$2008,$W105),",",""))),""))</f>
        <v/>
      </c>
      <c r="AF105" s="24">
        <f>IF($W105="","",IFERROR(IF(ISNUMBER(INDEX($H$9:$H$2008,$W105)),INDEX($H$9:$H$2008,$W105),VALUE(SUBSTITUTE(INDEX($H$9:$H$2008,$W105),",",""))),""))</f>
        <v/>
      </c>
      <c r="AG105" s="24">
        <f>IF($W105="","",IFERROR(IF(ISNUMBER(INDEX($I$9:$I$2008,$W105)),INDEX($I$9:$I$2008,$W105),VALUE(SUBSTITUTE(INDEX($I$9:$I$2008,$W105),",",""))),""))</f>
        <v/>
      </c>
      <c r="AH105" s="24">
        <f>IF($W105="","",IFERROR(IF(ISNUMBER(INDEX($J$9:$J$2008,$W105)),INDEX($J$9:$J$2008,$W105),VALUE(SUBSTITUTE(INDEX($J$9:$J$2008,$W105),",",""))),""))</f>
        <v/>
      </c>
      <c r="AI105" s="24">
        <f>IF($W105="","",IFERROR(IF(ISNUMBER(INDEX($K$9:$K$2008,$W105)),INDEX($K$9:$K$2008,$W105),VALUE(SUBSTITUTE(INDEX($K$9:$K$2008,$W105),",",""))),""))</f>
        <v/>
      </c>
      <c r="AJ105" s="25">
        <f>IF($W105="","",IFERROR(IF(ISNUMBER(INDEX($L$9:$L$2008,$W105)),INDEX($L$9:$L$2008,$W105),VALUE(SUBSTITUTE(INDEX($L$9:$L$2008,$W105),",",""))),""))</f>
        <v/>
      </c>
      <c r="AK105" s="25">
        <f>IF($W105="","",IFERROR(IF(ISNUMBER(INDEX($M$9:$M$2008,$W105)),INDEX($M$9:$M$2008,$W105),VALUE(SUBSTITUTE(INDEX($M$9:$M$2008,$W105),",",""))),""))</f>
        <v/>
      </c>
      <c r="AL105" s="26">
        <f>IF($W105="","",IFERROR(IF(ISNUMBER(INDEX($P$9:$P$2008,$W105)),INDEX($P$9:$P$2008,$W105),VALUE(SUBSTITUTE(INDEX($P$9:$P$2008,$W105),"%",""))/100),""))</f>
        <v/>
      </c>
    </row>
    <row r="106">
      <c r="S106">
        <f>IF(AND(ISTEXT($A106),ISNUMBER(SEARCH(" - ",$A106)),ISERROR(SEARCH("Folio",$A106)),$D106=""),TRIM($A106),$S105)</f>
        <v/>
      </c>
      <c r="T106">
        <f>IF(AND(ISNUMBER(SEARCH("Folio",$A106)),$D106&lt;&gt;""),1,"")</f>
        <v/>
      </c>
      <c r="U106">
        <f>IF($T106=1,COUNTIF($T$9:$T106,1),"")</f>
        <v/>
      </c>
      <c r="V106">
        <f>IF(AND(ISTEXT($A106),LEFT($A107,3)="Pan"),1,"")</f>
        <v/>
      </c>
      <c r="W106" s="21">
        <f>IFERROR(MATCH(98,$U$9:$U$2008,0),"")</f>
        <v/>
      </c>
      <c r="X106" s="27">
        <f>IF($W106="","",IF($R$5&lt;&gt;"",$R$5,$R$6))</f>
        <v/>
      </c>
      <c r="Y106" s="27">
        <f>IF($W106="","",INDEX($S$9:$S$2008,$W106))</f>
        <v/>
      </c>
      <c r="Z106" s="27">
        <f>IF($W106="","",IFERROR(TRIM(LEFT(SUBSTITUTE(INDEX($A$9:$A$2008,$W106),CHAR(10)," "),SEARCH("Folio",SUBSTITUTE(INDEX($A$9:$A$2008,$W106),CHAR(10)," "))-1)),TRIM(SUBSTITUTE(INDEX($A$9:$A$2008,$W106),CHAR(10)," "))))</f>
        <v/>
      </c>
      <c r="AA106" s="27">
        <f>IF($W106="","",IFERROR(TRIM(SUBSTITUTE(MID(SUBSTITUTE(INDEX($A$9:$A$2008,$W106),CHAR(10)," "),SEARCH("Folio",SUBSTITUTE(INDEX($A$9:$A$2008,$W106),CHAR(10)," "))+5,200),":","")),""))</f>
        <v/>
      </c>
      <c r="AB106" s="28">
        <f>IF($W106="","",IF(ISNUMBER(INDEX($D$9:$D$2008,$W106)),INDEX($D$9:$D$2008,$W106),IFERROR(DATE(2000+VALUE(RIGHT(INDEX($D$9:$D$2008,$W106),2)),VALUE(MID(INDEX($D$9:$D$2008,$W106),4,2)),VALUE(LEFT(INDEX($D$9:$D$2008,$W106),2))),"")))</f>
        <v/>
      </c>
      <c r="AC106" s="29">
        <f>IF($W106="","",IFERROR(IF(ISNUMBER(INDEX($E$9:$E$2008,$W106)),INDEX($E$9:$E$2008,$W106),VALUE(SUBSTITUTE(INDEX($E$9:$E$2008,$W106),",",""))),""))</f>
        <v/>
      </c>
      <c r="AD106" s="29">
        <f>IF($W106="","",IFERROR(IF(ISNUMBER(INDEX($F$9:$F$2008,$W106)),INDEX($F$9:$F$2008,$W106),VALUE(SUBSTITUTE(INDEX($F$9:$F$2008,$W106),",",""))),""))</f>
        <v/>
      </c>
      <c r="AE106" s="29">
        <f>IF($W106="","",IFERROR(IF(ISNUMBER(INDEX($G$9:$G$2008,$W106)),INDEX($G$9:$G$2008,$W106),VALUE(SUBSTITUTE(INDEX($G$9:$G$2008,$W106),",",""))),""))</f>
        <v/>
      </c>
      <c r="AF106" s="29">
        <f>IF($W106="","",IFERROR(IF(ISNUMBER(INDEX($H$9:$H$2008,$W106)),INDEX($H$9:$H$2008,$W106),VALUE(SUBSTITUTE(INDEX($H$9:$H$2008,$W106),",",""))),""))</f>
        <v/>
      </c>
      <c r="AG106" s="29">
        <f>IF($W106="","",IFERROR(IF(ISNUMBER(INDEX($I$9:$I$2008,$W106)),INDEX($I$9:$I$2008,$W106),VALUE(SUBSTITUTE(INDEX($I$9:$I$2008,$W106),",",""))),""))</f>
        <v/>
      </c>
      <c r="AH106" s="29">
        <f>IF($W106="","",IFERROR(IF(ISNUMBER(INDEX($J$9:$J$2008,$W106)),INDEX($J$9:$J$2008,$W106),VALUE(SUBSTITUTE(INDEX($J$9:$J$2008,$W106),",",""))),""))</f>
        <v/>
      </c>
      <c r="AI106" s="29">
        <f>IF($W106="","",IFERROR(IF(ISNUMBER(INDEX($K$9:$K$2008,$W106)),INDEX($K$9:$K$2008,$W106),VALUE(SUBSTITUTE(INDEX($K$9:$K$2008,$W106),",",""))),""))</f>
        <v/>
      </c>
      <c r="AJ106" s="30">
        <f>IF($W106="","",IFERROR(IF(ISNUMBER(INDEX($L$9:$L$2008,$W106)),INDEX($L$9:$L$2008,$W106),VALUE(SUBSTITUTE(INDEX($L$9:$L$2008,$W106),",",""))),""))</f>
        <v/>
      </c>
      <c r="AK106" s="30">
        <f>IF($W106="","",IFERROR(IF(ISNUMBER(INDEX($M$9:$M$2008,$W106)),INDEX($M$9:$M$2008,$W106),VALUE(SUBSTITUTE(INDEX($M$9:$M$2008,$W106),",",""))),""))</f>
        <v/>
      </c>
      <c r="AL106" s="31">
        <f>IF($W106="","",IFERROR(IF(ISNUMBER(INDEX($P$9:$P$2008,$W106)),INDEX($P$9:$P$2008,$W106),VALUE(SUBSTITUTE(INDEX($P$9:$P$2008,$W106),"%",""))/100),""))</f>
        <v/>
      </c>
    </row>
    <row r="107">
      <c r="S107">
        <f>IF(AND(ISTEXT($A107),ISNUMBER(SEARCH(" - ",$A107)),ISERROR(SEARCH("Folio",$A107)),$D107=""),TRIM($A107),$S106)</f>
        <v/>
      </c>
      <c r="T107">
        <f>IF(AND(ISNUMBER(SEARCH("Folio",$A107)),$D107&lt;&gt;""),1,"")</f>
        <v/>
      </c>
      <c r="U107">
        <f>IF($T107=1,COUNTIF($T$9:$T107,1),"")</f>
        <v/>
      </c>
      <c r="V107">
        <f>IF(AND(ISTEXT($A107),LEFT($A108,3)="Pan"),1,"")</f>
        <v/>
      </c>
      <c r="W107" s="21">
        <f>IFERROR(MATCH(99,$U$9:$U$2008,0),"")</f>
        <v/>
      </c>
      <c r="X107" s="22">
        <f>IF($W107="","",IF($R$5&lt;&gt;"",$R$5,$R$6))</f>
        <v/>
      </c>
      <c r="Y107" s="22">
        <f>IF($W107="","",INDEX($S$9:$S$2008,$W107))</f>
        <v/>
      </c>
      <c r="Z107" s="22">
        <f>IF($W107="","",IFERROR(TRIM(LEFT(SUBSTITUTE(INDEX($A$9:$A$2008,$W107),CHAR(10)," "),SEARCH("Folio",SUBSTITUTE(INDEX($A$9:$A$2008,$W107),CHAR(10)," "))-1)),TRIM(SUBSTITUTE(INDEX($A$9:$A$2008,$W107),CHAR(10)," "))))</f>
        <v/>
      </c>
      <c r="AA107" s="22">
        <f>IF($W107="","",IFERROR(TRIM(SUBSTITUTE(MID(SUBSTITUTE(INDEX($A$9:$A$2008,$W107),CHAR(10)," "),SEARCH("Folio",SUBSTITUTE(INDEX($A$9:$A$2008,$W107),CHAR(10)," "))+5,200),":","")),""))</f>
        <v/>
      </c>
      <c r="AB107" s="23">
        <f>IF($W107="","",IF(ISNUMBER(INDEX($D$9:$D$2008,$W107)),INDEX($D$9:$D$2008,$W107),IFERROR(DATE(2000+VALUE(RIGHT(INDEX($D$9:$D$2008,$W107),2)),VALUE(MID(INDEX($D$9:$D$2008,$W107),4,2)),VALUE(LEFT(INDEX($D$9:$D$2008,$W107),2))),"")))</f>
        <v/>
      </c>
      <c r="AC107" s="24">
        <f>IF($W107="","",IFERROR(IF(ISNUMBER(INDEX($E$9:$E$2008,$W107)),INDEX($E$9:$E$2008,$W107),VALUE(SUBSTITUTE(INDEX($E$9:$E$2008,$W107),",",""))),""))</f>
        <v/>
      </c>
      <c r="AD107" s="24">
        <f>IF($W107="","",IFERROR(IF(ISNUMBER(INDEX($F$9:$F$2008,$W107)),INDEX($F$9:$F$2008,$W107),VALUE(SUBSTITUTE(INDEX($F$9:$F$2008,$W107),",",""))),""))</f>
        <v/>
      </c>
      <c r="AE107" s="24">
        <f>IF($W107="","",IFERROR(IF(ISNUMBER(INDEX($G$9:$G$2008,$W107)),INDEX($G$9:$G$2008,$W107),VALUE(SUBSTITUTE(INDEX($G$9:$G$2008,$W107),",",""))),""))</f>
        <v/>
      </c>
      <c r="AF107" s="24">
        <f>IF($W107="","",IFERROR(IF(ISNUMBER(INDEX($H$9:$H$2008,$W107)),INDEX($H$9:$H$2008,$W107),VALUE(SUBSTITUTE(INDEX($H$9:$H$2008,$W107),",",""))),""))</f>
        <v/>
      </c>
      <c r="AG107" s="24">
        <f>IF($W107="","",IFERROR(IF(ISNUMBER(INDEX($I$9:$I$2008,$W107)),INDEX($I$9:$I$2008,$W107),VALUE(SUBSTITUTE(INDEX($I$9:$I$2008,$W107),",",""))),""))</f>
        <v/>
      </c>
      <c r="AH107" s="24">
        <f>IF($W107="","",IFERROR(IF(ISNUMBER(INDEX($J$9:$J$2008,$W107)),INDEX($J$9:$J$2008,$W107),VALUE(SUBSTITUTE(INDEX($J$9:$J$2008,$W107),",",""))),""))</f>
        <v/>
      </c>
      <c r="AI107" s="24">
        <f>IF($W107="","",IFERROR(IF(ISNUMBER(INDEX($K$9:$K$2008,$W107)),INDEX($K$9:$K$2008,$W107),VALUE(SUBSTITUTE(INDEX($K$9:$K$2008,$W107),",",""))),""))</f>
        <v/>
      </c>
      <c r="AJ107" s="25">
        <f>IF($W107="","",IFERROR(IF(ISNUMBER(INDEX($L$9:$L$2008,$W107)),INDEX($L$9:$L$2008,$W107),VALUE(SUBSTITUTE(INDEX($L$9:$L$2008,$W107),",",""))),""))</f>
        <v/>
      </c>
      <c r="AK107" s="25">
        <f>IF($W107="","",IFERROR(IF(ISNUMBER(INDEX($M$9:$M$2008,$W107)),INDEX($M$9:$M$2008,$W107),VALUE(SUBSTITUTE(INDEX($M$9:$M$2008,$W107),",",""))),""))</f>
        <v/>
      </c>
      <c r="AL107" s="26">
        <f>IF($W107="","",IFERROR(IF(ISNUMBER(INDEX($P$9:$P$2008,$W107)),INDEX($P$9:$P$2008,$W107),VALUE(SUBSTITUTE(INDEX($P$9:$P$2008,$W107),"%",""))/100),""))</f>
        <v/>
      </c>
    </row>
    <row r="108">
      <c r="S108">
        <f>IF(AND(ISTEXT($A108),ISNUMBER(SEARCH(" - ",$A108)),ISERROR(SEARCH("Folio",$A108)),$D108=""),TRIM($A108),$S107)</f>
        <v/>
      </c>
      <c r="T108">
        <f>IF(AND(ISNUMBER(SEARCH("Folio",$A108)),$D108&lt;&gt;""),1,"")</f>
        <v/>
      </c>
      <c r="U108">
        <f>IF($T108=1,COUNTIF($T$9:$T108,1),"")</f>
        <v/>
      </c>
      <c r="V108">
        <f>IF(AND(ISTEXT($A108),LEFT($A109,3)="Pan"),1,"")</f>
        <v/>
      </c>
      <c r="W108" s="21">
        <f>IFERROR(MATCH(100,$U$9:$U$2008,0),"")</f>
        <v/>
      </c>
      <c r="X108" s="27">
        <f>IF($W108="","",IF($R$5&lt;&gt;"",$R$5,$R$6))</f>
        <v/>
      </c>
      <c r="Y108" s="27">
        <f>IF($W108="","",INDEX($S$9:$S$2008,$W108))</f>
        <v/>
      </c>
      <c r="Z108" s="27">
        <f>IF($W108="","",IFERROR(TRIM(LEFT(SUBSTITUTE(INDEX($A$9:$A$2008,$W108),CHAR(10)," "),SEARCH("Folio",SUBSTITUTE(INDEX($A$9:$A$2008,$W108),CHAR(10)," "))-1)),TRIM(SUBSTITUTE(INDEX($A$9:$A$2008,$W108),CHAR(10)," "))))</f>
        <v/>
      </c>
      <c r="AA108" s="27">
        <f>IF($W108="","",IFERROR(TRIM(SUBSTITUTE(MID(SUBSTITUTE(INDEX($A$9:$A$2008,$W108),CHAR(10)," "),SEARCH("Folio",SUBSTITUTE(INDEX($A$9:$A$2008,$W108),CHAR(10)," "))+5,200),":","")),""))</f>
        <v/>
      </c>
      <c r="AB108" s="28">
        <f>IF($W108="","",IF(ISNUMBER(INDEX($D$9:$D$2008,$W108)),INDEX($D$9:$D$2008,$W108),IFERROR(DATE(2000+VALUE(RIGHT(INDEX($D$9:$D$2008,$W108),2)),VALUE(MID(INDEX($D$9:$D$2008,$W108),4,2)),VALUE(LEFT(INDEX($D$9:$D$2008,$W108),2))),"")))</f>
        <v/>
      </c>
      <c r="AC108" s="29">
        <f>IF($W108="","",IFERROR(IF(ISNUMBER(INDEX($E$9:$E$2008,$W108)),INDEX($E$9:$E$2008,$W108),VALUE(SUBSTITUTE(INDEX($E$9:$E$2008,$W108),",",""))),""))</f>
        <v/>
      </c>
      <c r="AD108" s="29">
        <f>IF($W108="","",IFERROR(IF(ISNUMBER(INDEX($F$9:$F$2008,$W108)),INDEX($F$9:$F$2008,$W108),VALUE(SUBSTITUTE(INDEX($F$9:$F$2008,$W108),",",""))),""))</f>
        <v/>
      </c>
      <c r="AE108" s="29">
        <f>IF($W108="","",IFERROR(IF(ISNUMBER(INDEX($G$9:$G$2008,$W108)),INDEX($G$9:$G$2008,$W108),VALUE(SUBSTITUTE(INDEX($G$9:$G$2008,$W108),",",""))),""))</f>
        <v/>
      </c>
      <c r="AF108" s="29">
        <f>IF($W108="","",IFERROR(IF(ISNUMBER(INDEX($H$9:$H$2008,$W108)),INDEX($H$9:$H$2008,$W108),VALUE(SUBSTITUTE(INDEX($H$9:$H$2008,$W108),",",""))),""))</f>
        <v/>
      </c>
      <c r="AG108" s="29">
        <f>IF($W108="","",IFERROR(IF(ISNUMBER(INDEX($I$9:$I$2008,$W108)),INDEX($I$9:$I$2008,$W108),VALUE(SUBSTITUTE(INDEX($I$9:$I$2008,$W108),",",""))),""))</f>
        <v/>
      </c>
      <c r="AH108" s="29">
        <f>IF($W108="","",IFERROR(IF(ISNUMBER(INDEX($J$9:$J$2008,$W108)),INDEX($J$9:$J$2008,$W108),VALUE(SUBSTITUTE(INDEX($J$9:$J$2008,$W108),",",""))),""))</f>
        <v/>
      </c>
      <c r="AI108" s="29">
        <f>IF($W108="","",IFERROR(IF(ISNUMBER(INDEX($K$9:$K$2008,$W108)),INDEX($K$9:$K$2008,$W108),VALUE(SUBSTITUTE(INDEX($K$9:$K$2008,$W108),",",""))),""))</f>
        <v/>
      </c>
      <c r="AJ108" s="30">
        <f>IF($W108="","",IFERROR(IF(ISNUMBER(INDEX($L$9:$L$2008,$W108)),INDEX($L$9:$L$2008,$W108),VALUE(SUBSTITUTE(INDEX($L$9:$L$2008,$W108),",",""))),""))</f>
        <v/>
      </c>
      <c r="AK108" s="30">
        <f>IF($W108="","",IFERROR(IF(ISNUMBER(INDEX($M$9:$M$2008,$W108)),INDEX($M$9:$M$2008,$W108),VALUE(SUBSTITUTE(INDEX($M$9:$M$2008,$W108),",",""))),""))</f>
        <v/>
      </c>
      <c r="AL108" s="31">
        <f>IF($W108="","",IFERROR(IF(ISNUMBER(INDEX($P$9:$P$2008,$W108)),INDEX($P$9:$P$2008,$W108),VALUE(SUBSTITUTE(INDEX($P$9:$P$2008,$W108),"%",""))/100),""))</f>
        <v/>
      </c>
    </row>
    <row r="109">
      <c r="S109">
        <f>IF(AND(ISTEXT($A109),ISNUMBER(SEARCH(" - ",$A109)),ISERROR(SEARCH("Folio",$A109)),$D109=""),TRIM($A109),$S108)</f>
        <v/>
      </c>
      <c r="T109">
        <f>IF(AND(ISNUMBER(SEARCH("Folio",$A109)),$D109&lt;&gt;""),1,"")</f>
        <v/>
      </c>
      <c r="U109">
        <f>IF($T109=1,COUNTIF($T$9:$T109,1),"")</f>
        <v/>
      </c>
      <c r="V109">
        <f>IF(AND(ISTEXT($A109),LEFT($A110,3)="Pan"),1,"")</f>
        <v/>
      </c>
      <c r="W109" s="21">
        <f>IFERROR(MATCH(101,$U$9:$U$2008,0),"")</f>
        <v/>
      </c>
      <c r="X109" s="22">
        <f>IF($W109="","",IF($R$5&lt;&gt;"",$R$5,$R$6))</f>
        <v/>
      </c>
      <c r="Y109" s="22">
        <f>IF($W109="","",INDEX($S$9:$S$2008,$W109))</f>
        <v/>
      </c>
      <c r="Z109" s="22">
        <f>IF($W109="","",IFERROR(TRIM(LEFT(SUBSTITUTE(INDEX($A$9:$A$2008,$W109),CHAR(10)," "),SEARCH("Folio",SUBSTITUTE(INDEX($A$9:$A$2008,$W109),CHAR(10)," "))-1)),TRIM(SUBSTITUTE(INDEX($A$9:$A$2008,$W109),CHAR(10)," "))))</f>
        <v/>
      </c>
      <c r="AA109" s="22">
        <f>IF($W109="","",IFERROR(TRIM(SUBSTITUTE(MID(SUBSTITUTE(INDEX($A$9:$A$2008,$W109),CHAR(10)," "),SEARCH("Folio",SUBSTITUTE(INDEX($A$9:$A$2008,$W109),CHAR(10)," "))+5,200),":","")),""))</f>
        <v/>
      </c>
      <c r="AB109" s="23">
        <f>IF($W109="","",IF(ISNUMBER(INDEX($D$9:$D$2008,$W109)),INDEX($D$9:$D$2008,$W109),IFERROR(DATE(2000+VALUE(RIGHT(INDEX($D$9:$D$2008,$W109),2)),VALUE(MID(INDEX($D$9:$D$2008,$W109),4,2)),VALUE(LEFT(INDEX($D$9:$D$2008,$W109),2))),"")))</f>
        <v/>
      </c>
      <c r="AC109" s="24">
        <f>IF($W109="","",IFERROR(IF(ISNUMBER(INDEX($E$9:$E$2008,$W109)),INDEX($E$9:$E$2008,$W109),VALUE(SUBSTITUTE(INDEX($E$9:$E$2008,$W109),",",""))),""))</f>
        <v/>
      </c>
      <c r="AD109" s="24">
        <f>IF($W109="","",IFERROR(IF(ISNUMBER(INDEX($F$9:$F$2008,$W109)),INDEX($F$9:$F$2008,$W109),VALUE(SUBSTITUTE(INDEX($F$9:$F$2008,$W109),",",""))),""))</f>
        <v/>
      </c>
      <c r="AE109" s="24">
        <f>IF($W109="","",IFERROR(IF(ISNUMBER(INDEX($G$9:$G$2008,$W109)),INDEX($G$9:$G$2008,$W109),VALUE(SUBSTITUTE(INDEX($G$9:$G$2008,$W109),",",""))),""))</f>
        <v/>
      </c>
      <c r="AF109" s="24">
        <f>IF($W109="","",IFERROR(IF(ISNUMBER(INDEX($H$9:$H$2008,$W109)),INDEX($H$9:$H$2008,$W109),VALUE(SUBSTITUTE(INDEX($H$9:$H$2008,$W109),",",""))),""))</f>
        <v/>
      </c>
      <c r="AG109" s="24">
        <f>IF($W109="","",IFERROR(IF(ISNUMBER(INDEX($I$9:$I$2008,$W109)),INDEX($I$9:$I$2008,$W109),VALUE(SUBSTITUTE(INDEX($I$9:$I$2008,$W109),",",""))),""))</f>
        <v/>
      </c>
      <c r="AH109" s="24">
        <f>IF($W109="","",IFERROR(IF(ISNUMBER(INDEX($J$9:$J$2008,$W109)),INDEX($J$9:$J$2008,$W109),VALUE(SUBSTITUTE(INDEX($J$9:$J$2008,$W109),",",""))),""))</f>
        <v/>
      </c>
      <c r="AI109" s="24">
        <f>IF($W109="","",IFERROR(IF(ISNUMBER(INDEX($K$9:$K$2008,$W109)),INDEX($K$9:$K$2008,$W109),VALUE(SUBSTITUTE(INDEX($K$9:$K$2008,$W109),",",""))),""))</f>
        <v/>
      </c>
      <c r="AJ109" s="25">
        <f>IF($W109="","",IFERROR(IF(ISNUMBER(INDEX($L$9:$L$2008,$W109)),INDEX($L$9:$L$2008,$W109),VALUE(SUBSTITUTE(INDEX($L$9:$L$2008,$W109),",",""))),""))</f>
        <v/>
      </c>
      <c r="AK109" s="25">
        <f>IF($W109="","",IFERROR(IF(ISNUMBER(INDEX($M$9:$M$2008,$W109)),INDEX($M$9:$M$2008,$W109),VALUE(SUBSTITUTE(INDEX($M$9:$M$2008,$W109),",",""))),""))</f>
        <v/>
      </c>
      <c r="AL109" s="26">
        <f>IF($W109="","",IFERROR(IF(ISNUMBER(INDEX($P$9:$P$2008,$W109)),INDEX($P$9:$P$2008,$W109),VALUE(SUBSTITUTE(INDEX($P$9:$P$2008,$W109),"%",""))/100),""))</f>
        <v/>
      </c>
    </row>
    <row r="110">
      <c r="S110">
        <f>IF(AND(ISTEXT($A110),ISNUMBER(SEARCH(" - ",$A110)),ISERROR(SEARCH("Folio",$A110)),$D110=""),TRIM($A110),$S109)</f>
        <v/>
      </c>
      <c r="T110">
        <f>IF(AND(ISNUMBER(SEARCH("Folio",$A110)),$D110&lt;&gt;""),1,"")</f>
        <v/>
      </c>
      <c r="U110">
        <f>IF($T110=1,COUNTIF($T$9:$T110,1),"")</f>
        <v/>
      </c>
      <c r="V110">
        <f>IF(AND(ISTEXT($A110),LEFT($A111,3)="Pan"),1,"")</f>
        <v/>
      </c>
      <c r="W110" s="21">
        <f>IFERROR(MATCH(102,$U$9:$U$2008,0),"")</f>
        <v/>
      </c>
      <c r="X110" s="27">
        <f>IF($W110="","",IF($R$5&lt;&gt;"",$R$5,$R$6))</f>
        <v/>
      </c>
      <c r="Y110" s="27">
        <f>IF($W110="","",INDEX($S$9:$S$2008,$W110))</f>
        <v/>
      </c>
      <c r="Z110" s="27">
        <f>IF($W110="","",IFERROR(TRIM(LEFT(SUBSTITUTE(INDEX($A$9:$A$2008,$W110),CHAR(10)," "),SEARCH("Folio",SUBSTITUTE(INDEX($A$9:$A$2008,$W110),CHAR(10)," "))-1)),TRIM(SUBSTITUTE(INDEX($A$9:$A$2008,$W110),CHAR(10)," "))))</f>
        <v/>
      </c>
      <c r="AA110" s="27">
        <f>IF($W110="","",IFERROR(TRIM(SUBSTITUTE(MID(SUBSTITUTE(INDEX($A$9:$A$2008,$W110),CHAR(10)," "),SEARCH("Folio",SUBSTITUTE(INDEX($A$9:$A$2008,$W110),CHAR(10)," "))+5,200),":","")),""))</f>
        <v/>
      </c>
      <c r="AB110" s="28">
        <f>IF($W110="","",IF(ISNUMBER(INDEX($D$9:$D$2008,$W110)),INDEX($D$9:$D$2008,$W110),IFERROR(DATE(2000+VALUE(RIGHT(INDEX($D$9:$D$2008,$W110),2)),VALUE(MID(INDEX($D$9:$D$2008,$W110),4,2)),VALUE(LEFT(INDEX($D$9:$D$2008,$W110),2))),"")))</f>
        <v/>
      </c>
      <c r="AC110" s="29">
        <f>IF($W110="","",IFERROR(IF(ISNUMBER(INDEX($E$9:$E$2008,$W110)),INDEX($E$9:$E$2008,$W110),VALUE(SUBSTITUTE(INDEX($E$9:$E$2008,$W110),",",""))),""))</f>
        <v/>
      </c>
      <c r="AD110" s="29">
        <f>IF($W110="","",IFERROR(IF(ISNUMBER(INDEX($F$9:$F$2008,$W110)),INDEX($F$9:$F$2008,$W110),VALUE(SUBSTITUTE(INDEX($F$9:$F$2008,$W110),",",""))),""))</f>
        <v/>
      </c>
      <c r="AE110" s="29">
        <f>IF($W110="","",IFERROR(IF(ISNUMBER(INDEX($G$9:$G$2008,$W110)),INDEX($G$9:$G$2008,$W110),VALUE(SUBSTITUTE(INDEX($G$9:$G$2008,$W110),",",""))),""))</f>
        <v/>
      </c>
      <c r="AF110" s="29">
        <f>IF($W110="","",IFERROR(IF(ISNUMBER(INDEX($H$9:$H$2008,$W110)),INDEX($H$9:$H$2008,$W110),VALUE(SUBSTITUTE(INDEX($H$9:$H$2008,$W110),",",""))),""))</f>
        <v/>
      </c>
      <c r="AG110" s="29">
        <f>IF($W110="","",IFERROR(IF(ISNUMBER(INDEX($I$9:$I$2008,$W110)),INDEX($I$9:$I$2008,$W110),VALUE(SUBSTITUTE(INDEX($I$9:$I$2008,$W110),",",""))),""))</f>
        <v/>
      </c>
      <c r="AH110" s="29">
        <f>IF($W110="","",IFERROR(IF(ISNUMBER(INDEX($J$9:$J$2008,$W110)),INDEX($J$9:$J$2008,$W110),VALUE(SUBSTITUTE(INDEX($J$9:$J$2008,$W110),",",""))),""))</f>
        <v/>
      </c>
      <c r="AI110" s="29">
        <f>IF($W110="","",IFERROR(IF(ISNUMBER(INDEX($K$9:$K$2008,$W110)),INDEX($K$9:$K$2008,$W110),VALUE(SUBSTITUTE(INDEX($K$9:$K$2008,$W110),",",""))),""))</f>
        <v/>
      </c>
      <c r="AJ110" s="30">
        <f>IF($W110="","",IFERROR(IF(ISNUMBER(INDEX($L$9:$L$2008,$W110)),INDEX($L$9:$L$2008,$W110),VALUE(SUBSTITUTE(INDEX($L$9:$L$2008,$W110),",",""))),""))</f>
        <v/>
      </c>
      <c r="AK110" s="30">
        <f>IF($W110="","",IFERROR(IF(ISNUMBER(INDEX($M$9:$M$2008,$W110)),INDEX($M$9:$M$2008,$W110),VALUE(SUBSTITUTE(INDEX($M$9:$M$2008,$W110),",",""))),""))</f>
        <v/>
      </c>
      <c r="AL110" s="31">
        <f>IF($W110="","",IFERROR(IF(ISNUMBER(INDEX($P$9:$P$2008,$W110)),INDEX($P$9:$P$2008,$W110),VALUE(SUBSTITUTE(INDEX($P$9:$P$2008,$W110),"%",""))/100),""))</f>
        <v/>
      </c>
    </row>
    <row r="111">
      <c r="S111">
        <f>IF(AND(ISTEXT($A111),ISNUMBER(SEARCH(" - ",$A111)),ISERROR(SEARCH("Folio",$A111)),$D111=""),TRIM($A111),$S110)</f>
        <v/>
      </c>
      <c r="T111">
        <f>IF(AND(ISNUMBER(SEARCH("Folio",$A111)),$D111&lt;&gt;""),1,"")</f>
        <v/>
      </c>
      <c r="U111">
        <f>IF($T111=1,COUNTIF($T$9:$T111,1),"")</f>
        <v/>
      </c>
      <c r="V111">
        <f>IF(AND(ISTEXT($A111),LEFT($A112,3)="Pan"),1,"")</f>
        <v/>
      </c>
      <c r="W111" s="21">
        <f>IFERROR(MATCH(103,$U$9:$U$2008,0),"")</f>
        <v/>
      </c>
      <c r="X111" s="22">
        <f>IF($W111="","",IF($R$5&lt;&gt;"",$R$5,$R$6))</f>
        <v/>
      </c>
      <c r="Y111" s="22">
        <f>IF($W111="","",INDEX($S$9:$S$2008,$W111))</f>
        <v/>
      </c>
      <c r="Z111" s="22">
        <f>IF($W111="","",IFERROR(TRIM(LEFT(SUBSTITUTE(INDEX($A$9:$A$2008,$W111),CHAR(10)," "),SEARCH("Folio",SUBSTITUTE(INDEX($A$9:$A$2008,$W111),CHAR(10)," "))-1)),TRIM(SUBSTITUTE(INDEX($A$9:$A$2008,$W111),CHAR(10)," "))))</f>
        <v/>
      </c>
      <c r="AA111" s="22">
        <f>IF($W111="","",IFERROR(TRIM(SUBSTITUTE(MID(SUBSTITUTE(INDEX($A$9:$A$2008,$W111),CHAR(10)," "),SEARCH("Folio",SUBSTITUTE(INDEX($A$9:$A$2008,$W111),CHAR(10)," "))+5,200),":","")),""))</f>
        <v/>
      </c>
      <c r="AB111" s="23">
        <f>IF($W111="","",IF(ISNUMBER(INDEX($D$9:$D$2008,$W111)),INDEX($D$9:$D$2008,$W111),IFERROR(DATE(2000+VALUE(RIGHT(INDEX($D$9:$D$2008,$W111),2)),VALUE(MID(INDEX($D$9:$D$2008,$W111),4,2)),VALUE(LEFT(INDEX($D$9:$D$2008,$W111),2))),"")))</f>
        <v/>
      </c>
      <c r="AC111" s="24">
        <f>IF($W111="","",IFERROR(IF(ISNUMBER(INDEX($E$9:$E$2008,$W111)),INDEX($E$9:$E$2008,$W111),VALUE(SUBSTITUTE(INDEX($E$9:$E$2008,$W111),",",""))),""))</f>
        <v/>
      </c>
      <c r="AD111" s="24">
        <f>IF($W111="","",IFERROR(IF(ISNUMBER(INDEX($F$9:$F$2008,$W111)),INDEX($F$9:$F$2008,$W111),VALUE(SUBSTITUTE(INDEX($F$9:$F$2008,$W111),",",""))),""))</f>
        <v/>
      </c>
      <c r="AE111" s="24">
        <f>IF($W111="","",IFERROR(IF(ISNUMBER(INDEX($G$9:$G$2008,$W111)),INDEX($G$9:$G$2008,$W111),VALUE(SUBSTITUTE(INDEX($G$9:$G$2008,$W111),",",""))),""))</f>
        <v/>
      </c>
      <c r="AF111" s="24">
        <f>IF($W111="","",IFERROR(IF(ISNUMBER(INDEX($H$9:$H$2008,$W111)),INDEX($H$9:$H$2008,$W111),VALUE(SUBSTITUTE(INDEX($H$9:$H$2008,$W111),",",""))),""))</f>
        <v/>
      </c>
      <c r="AG111" s="24">
        <f>IF($W111="","",IFERROR(IF(ISNUMBER(INDEX($I$9:$I$2008,$W111)),INDEX($I$9:$I$2008,$W111),VALUE(SUBSTITUTE(INDEX($I$9:$I$2008,$W111),",",""))),""))</f>
        <v/>
      </c>
      <c r="AH111" s="24">
        <f>IF($W111="","",IFERROR(IF(ISNUMBER(INDEX($J$9:$J$2008,$W111)),INDEX($J$9:$J$2008,$W111),VALUE(SUBSTITUTE(INDEX($J$9:$J$2008,$W111),",",""))),""))</f>
        <v/>
      </c>
      <c r="AI111" s="24">
        <f>IF($W111="","",IFERROR(IF(ISNUMBER(INDEX($K$9:$K$2008,$W111)),INDEX($K$9:$K$2008,$W111),VALUE(SUBSTITUTE(INDEX($K$9:$K$2008,$W111),",",""))),""))</f>
        <v/>
      </c>
      <c r="AJ111" s="25">
        <f>IF($W111="","",IFERROR(IF(ISNUMBER(INDEX($L$9:$L$2008,$W111)),INDEX($L$9:$L$2008,$W111),VALUE(SUBSTITUTE(INDEX($L$9:$L$2008,$W111),",",""))),""))</f>
        <v/>
      </c>
      <c r="AK111" s="25">
        <f>IF($W111="","",IFERROR(IF(ISNUMBER(INDEX($M$9:$M$2008,$W111)),INDEX($M$9:$M$2008,$W111),VALUE(SUBSTITUTE(INDEX($M$9:$M$2008,$W111),",",""))),""))</f>
        <v/>
      </c>
      <c r="AL111" s="26">
        <f>IF($W111="","",IFERROR(IF(ISNUMBER(INDEX($P$9:$P$2008,$W111)),INDEX($P$9:$P$2008,$W111),VALUE(SUBSTITUTE(INDEX($P$9:$P$2008,$W111),"%",""))/100),""))</f>
        <v/>
      </c>
    </row>
    <row r="112">
      <c r="S112">
        <f>IF(AND(ISTEXT($A112),ISNUMBER(SEARCH(" - ",$A112)),ISERROR(SEARCH("Folio",$A112)),$D112=""),TRIM($A112),$S111)</f>
        <v/>
      </c>
      <c r="T112">
        <f>IF(AND(ISNUMBER(SEARCH("Folio",$A112)),$D112&lt;&gt;""),1,"")</f>
        <v/>
      </c>
      <c r="U112">
        <f>IF($T112=1,COUNTIF($T$9:$T112,1),"")</f>
        <v/>
      </c>
      <c r="V112">
        <f>IF(AND(ISTEXT($A112),LEFT($A113,3)="Pan"),1,"")</f>
        <v/>
      </c>
      <c r="W112" s="21">
        <f>IFERROR(MATCH(104,$U$9:$U$2008,0),"")</f>
        <v/>
      </c>
      <c r="X112" s="27">
        <f>IF($W112="","",IF($R$5&lt;&gt;"",$R$5,$R$6))</f>
        <v/>
      </c>
      <c r="Y112" s="27">
        <f>IF($W112="","",INDEX($S$9:$S$2008,$W112))</f>
        <v/>
      </c>
      <c r="Z112" s="27">
        <f>IF($W112="","",IFERROR(TRIM(LEFT(SUBSTITUTE(INDEX($A$9:$A$2008,$W112),CHAR(10)," "),SEARCH("Folio",SUBSTITUTE(INDEX($A$9:$A$2008,$W112),CHAR(10)," "))-1)),TRIM(SUBSTITUTE(INDEX($A$9:$A$2008,$W112),CHAR(10)," "))))</f>
        <v/>
      </c>
      <c r="AA112" s="27">
        <f>IF($W112="","",IFERROR(TRIM(SUBSTITUTE(MID(SUBSTITUTE(INDEX($A$9:$A$2008,$W112),CHAR(10)," "),SEARCH("Folio",SUBSTITUTE(INDEX($A$9:$A$2008,$W112),CHAR(10)," "))+5,200),":","")),""))</f>
        <v/>
      </c>
      <c r="AB112" s="28">
        <f>IF($W112="","",IF(ISNUMBER(INDEX($D$9:$D$2008,$W112)),INDEX($D$9:$D$2008,$W112),IFERROR(DATE(2000+VALUE(RIGHT(INDEX($D$9:$D$2008,$W112),2)),VALUE(MID(INDEX($D$9:$D$2008,$W112),4,2)),VALUE(LEFT(INDEX($D$9:$D$2008,$W112),2))),"")))</f>
        <v/>
      </c>
      <c r="AC112" s="29">
        <f>IF($W112="","",IFERROR(IF(ISNUMBER(INDEX($E$9:$E$2008,$W112)),INDEX($E$9:$E$2008,$W112),VALUE(SUBSTITUTE(INDEX($E$9:$E$2008,$W112),",",""))),""))</f>
        <v/>
      </c>
      <c r="AD112" s="29">
        <f>IF($W112="","",IFERROR(IF(ISNUMBER(INDEX($F$9:$F$2008,$W112)),INDEX($F$9:$F$2008,$W112),VALUE(SUBSTITUTE(INDEX($F$9:$F$2008,$W112),",",""))),""))</f>
        <v/>
      </c>
      <c r="AE112" s="29">
        <f>IF($W112="","",IFERROR(IF(ISNUMBER(INDEX($G$9:$G$2008,$W112)),INDEX($G$9:$G$2008,$W112),VALUE(SUBSTITUTE(INDEX($G$9:$G$2008,$W112),",",""))),""))</f>
        <v/>
      </c>
      <c r="AF112" s="29">
        <f>IF($W112="","",IFERROR(IF(ISNUMBER(INDEX($H$9:$H$2008,$W112)),INDEX($H$9:$H$2008,$W112),VALUE(SUBSTITUTE(INDEX($H$9:$H$2008,$W112),",",""))),""))</f>
        <v/>
      </c>
      <c r="AG112" s="29">
        <f>IF($W112="","",IFERROR(IF(ISNUMBER(INDEX($I$9:$I$2008,$W112)),INDEX($I$9:$I$2008,$W112),VALUE(SUBSTITUTE(INDEX($I$9:$I$2008,$W112),",",""))),""))</f>
        <v/>
      </c>
      <c r="AH112" s="29">
        <f>IF($W112="","",IFERROR(IF(ISNUMBER(INDEX($J$9:$J$2008,$W112)),INDEX($J$9:$J$2008,$W112),VALUE(SUBSTITUTE(INDEX($J$9:$J$2008,$W112),",",""))),""))</f>
        <v/>
      </c>
      <c r="AI112" s="29">
        <f>IF($W112="","",IFERROR(IF(ISNUMBER(INDEX($K$9:$K$2008,$W112)),INDEX($K$9:$K$2008,$W112),VALUE(SUBSTITUTE(INDEX($K$9:$K$2008,$W112),",",""))),""))</f>
        <v/>
      </c>
      <c r="AJ112" s="30">
        <f>IF($W112="","",IFERROR(IF(ISNUMBER(INDEX($L$9:$L$2008,$W112)),INDEX($L$9:$L$2008,$W112),VALUE(SUBSTITUTE(INDEX($L$9:$L$2008,$W112),",",""))),""))</f>
        <v/>
      </c>
      <c r="AK112" s="30">
        <f>IF($W112="","",IFERROR(IF(ISNUMBER(INDEX($M$9:$M$2008,$W112)),INDEX($M$9:$M$2008,$W112),VALUE(SUBSTITUTE(INDEX($M$9:$M$2008,$W112),",",""))),""))</f>
        <v/>
      </c>
      <c r="AL112" s="31">
        <f>IF($W112="","",IFERROR(IF(ISNUMBER(INDEX($P$9:$P$2008,$W112)),INDEX($P$9:$P$2008,$W112),VALUE(SUBSTITUTE(INDEX($P$9:$P$2008,$W112),"%",""))/100),""))</f>
        <v/>
      </c>
    </row>
    <row r="113">
      <c r="S113">
        <f>IF(AND(ISTEXT($A113),ISNUMBER(SEARCH(" - ",$A113)),ISERROR(SEARCH("Folio",$A113)),$D113=""),TRIM($A113),$S112)</f>
        <v/>
      </c>
      <c r="T113">
        <f>IF(AND(ISNUMBER(SEARCH("Folio",$A113)),$D113&lt;&gt;""),1,"")</f>
        <v/>
      </c>
      <c r="U113">
        <f>IF($T113=1,COUNTIF($T$9:$T113,1),"")</f>
        <v/>
      </c>
      <c r="V113">
        <f>IF(AND(ISTEXT($A113),LEFT($A114,3)="Pan"),1,"")</f>
        <v/>
      </c>
      <c r="W113" s="21">
        <f>IFERROR(MATCH(105,$U$9:$U$2008,0),"")</f>
        <v/>
      </c>
      <c r="X113" s="22">
        <f>IF($W113="","",IF($R$5&lt;&gt;"",$R$5,$R$6))</f>
        <v/>
      </c>
      <c r="Y113" s="22">
        <f>IF($W113="","",INDEX($S$9:$S$2008,$W113))</f>
        <v/>
      </c>
      <c r="Z113" s="22">
        <f>IF($W113="","",IFERROR(TRIM(LEFT(SUBSTITUTE(INDEX($A$9:$A$2008,$W113),CHAR(10)," "),SEARCH("Folio",SUBSTITUTE(INDEX($A$9:$A$2008,$W113),CHAR(10)," "))-1)),TRIM(SUBSTITUTE(INDEX($A$9:$A$2008,$W113),CHAR(10)," "))))</f>
        <v/>
      </c>
      <c r="AA113" s="22">
        <f>IF($W113="","",IFERROR(TRIM(SUBSTITUTE(MID(SUBSTITUTE(INDEX($A$9:$A$2008,$W113),CHAR(10)," "),SEARCH("Folio",SUBSTITUTE(INDEX($A$9:$A$2008,$W113),CHAR(10)," "))+5,200),":","")),""))</f>
        <v/>
      </c>
      <c r="AB113" s="23">
        <f>IF($W113="","",IF(ISNUMBER(INDEX($D$9:$D$2008,$W113)),INDEX($D$9:$D$2008,$W113),IFERROR(DATE(2000+VALUE(RIGHT(INDEX($D$9:$D$2008,$W113),2)),VALUE(MID(INDEX($D$9:$D$2008,$W113),4,2)),VALUE(LEFT(INDEX($D$9:$D$2008,$W113),2))),"")))</f>
        <v/>
      </c>
      <c r="AC113" s="24">
        <f>IF($W113="","",IFERROR(IF(ISNUMBER(INDEX($E$9:$E$2008,$W113)),INDEX($E$9:$E$2008,$W113),VALUE(SUBSTITUTE(INDEX($E$9:$E$2008,$W113),",",""))),""))</f>
        <v/>
      </c>
      <c r="AD113" s="24">
        <f>IF($W113="","",IFERROR(IF(ISNUMBER(INDEX($F$9:$F$2008,$W113)),INDEX($F$9:$F$2008,$W113),VALUE(SUBSTITUTE(INDEX($F$9:$F$2008,$W113),",",""))),""))</f>
        <v/>
      </c>
      <c r="AE113" s="24">
        <f>IF($W113="","",IFERROR(IF(ISNUMBER(INDEX($G$9:$G$2008,$W113)),INDEX($G$9:$G$2008,$W113),VALUE(SUBSTITUTE(INDEX($G$9:$G$2008,$W113),",",""))),""))</f>
        <v/>
      </c>
      <c r="AF113" s="24">
        <f>IF($W113="","",IFERROR(IF(ISNUMBER(INDEX($H$9:$H$2008,$W113)),INDEX($H$9:$H$2008,$W113),VALUE(SUBSTITUTE(INDEX($H$9:$H$2008,$W113),",",""))),""))</f>
        <v/>
      </c>
      <c r="AG113" s="24">
        <f>IF($W113="","",IFERROR(IF(ISNUMBER(INDEX($I$9:$I$2008,$W113)),INDEX($I$9:$I$2008,$W113),VALUE(SUBSTITUTE(INDEX($I$9:$I$2008,$W113),",",""))),""))</f>
        <v/>
      </c>
      <c r="AH113" s="24">
        <f>IF($W113="","",IFERROR(IF(ISNUMBER(INDEX($J$9:$J$2008,$W113)),INDEX($J$9:$J$2008,$W113),VALUE(SUBSTITUTE(INDEX($J$9:$J$2008,$W113),",",""))),""))</f>
        <v/>
      </c>
      <c r="AI113" s="24">
        <f>IF($W113="","",IFERROR(IF(ISNUMBER(INDEX($K$9:$K$2008,$W113)),INDEX($K$9:$K$2008,$W113),VALUE(SUBSTITUTE(INDEX($K$9:$K$2008,$W113),",",""))),""))</f>
        <v/>
      </c>
      <c r="AJ113" s="25">
        <f>IF($W113="","",IFERROR(IF(ISNUMBER(INDEX($L$9:$L$2008,$W113)),INDEX($L$9:$L$2008,$W113),VALUE(SUBSTITUTE(INDEX($L$9:$L$2008,$W113),",",""))),""))</f>
        <v/>
      </c>
      <c r="AK113" s="25">
        <f>IF($W113="","",IFERROR(IF(ISNUMBER(INDEX($M$9:$M$2008,$W113)),INDEX($M$9:$M$2008,$W113),VALUE(SUBSTITUTE(INDEX($M$9:$M$2008,$W113),",",""))),""))</f>
        <v/>
      </c>
      <c r="AL113" s="26">
        <f>IF($W113="","",IFERROR(IF(ISNUMBER(INDEX($P$9:$P$2008,$W113)),INDEX($P$9:$P$2008,$W113),VALUE(SUBSTITUTE(INDEX($P$9:$P$2008,$W113),"%",""))/100),""))</f>
        <v/>
      </c>
    </row>
    <row r="114">
      <c r="S114">
        <f>IF(AND(ISTEXT($A114),ISNUMBER(SEARCH(" - ",$A114)),ISERROR(SEARCH("Folio",$A114)),$D114=""),TRIM($A114),$S113)</f>
        <v/>
      </c>
      <c r="T114">
        <f>IF(AND(ISNUMBER(SEARCH("Folio",$A114)),$D114&lt;&gt;""),1,"")</f>
        <v/>
      </c>
      <c r="U114">
        <f>IF($T114=1,COUNTIF($T$9:$T114,1),"")</f>
        <v/>
      </c>
      <c r="V114">
        <f>IF(AND(ISTEXT($A114),LEFT($A115,3)="Pan"),1,"")</f>
        <v/>
      </c>
      <c r="W114" s="21">
        <f>IFERROR(MATCH(106,$U$9:$U$2008,0),"")</f>
        <v/>
      </c>
      <c r="X114" s="27">
        <f>IF($W114="","",IF($R$5&lt;&gt;"",$R$5,$R$6))</f>
        <v/>
      </c>
      <c r="Y114" s="27">
        <f>IF($W114="","",INDEX($S$9:$S$2008,$W114))</f>
        <v/>
      </c>
      <c r="Z114" s="27">
        <f>IF($W114="","",IFERROR(TRIM(LEFT(SUBSTITUTE(INDEX($A$9:$A$2008,$W114),CHAR(10)," "),SEARCH("Folio",SUBSTITUTE(INDEX($A$9:$A$2008,$W114),CHAR(10)," "))-1)),TRIM(SUBSTITUTE(INDEX($A$9:$A$2008,$W114),CHAR(10)," "))))</f>
        <v/>
      </c>
      <c r="AA114" s="27">
        <f>IF($W114="","",IFERROR(TRIM(SUBSTITUTE(MID(SUBSTITUTE(INDEX($A$9:$A$2008,$W114),CHAR(10)," "),SEARCH("Folio",SUBSTITUTE(INDEX($A$9:$A$2008,$W114),CHAR(10)," "))+5,200),":","")),""))</f>
        <v/>
      </c>
      <c r="AB114" s="28">
        <f>IF($W114="","",IF(ISNUMBER(INDEX($D$9:$D$2008,$W114)),INDEX($D$9:$D$2008,$W114),IFERROR(DATE(2000+VALUE(RIGHT(INDEX($D$9:$D$2008,$W114),2)),VALUE(MID(INDEX($D$9:$D$2008,$W114),4,2)),VALUE(LEFT(INDEX($D$9:$D$2008,$W114),2))),"")))</f>
        <v/>
      </c>
      <c r="AC114" s="29">
        <f>IF($W114="","",IFERROR(IF(ISNUMBER(INDEX($E$9:$E$2008,$W114)),INDEX($E$9:$E$2008,$W114),VALUE(SUBSTITUTE(INDEX($E$9:$E$2008,$W114),",",""))),""))</f>
        <v/>
      </c>
      <c r="AD114" s="29">
        <f>IF($W114="","",IFERROR(IF(ISNUMBER(INDEX($F$9:$F$2008,$W114)),INDEX($F$9:$F$2008,$W114),VALUE(SUBSTITUTE(INDEX($F$9:$F$2008,$W114),",",""))),""))</f>
        <v/>
      </c>
      <c r="AE114" s="29">
        <f>IF($W114="","",IFERROR(IF(ISNUMBER(INDEX($G$9:$G$2008,$W114)),INDEX($G$9:$G$2008,$W114),VALUE(SUBSTITUTE(INDEX($G$9:$G$2008,$W114),",",""))),""))</f>
        <v/>
      </c>
      <c r="AF114" s="29">
        <f>IF($W114="","",IFERROR(IF(ISNUMBER(INDEX($H$9:$H$2008,$W114)),INDEX($H$9:$H$2008,$W114),VALUE(SUBSTITUTE(INDEX($H$9:$H$2008,$W114),",",""))),""))</f>
        <v/>
      </c>
      <c r="AG114" s="29">
        <f>IF($W114="","",IFERROR(IF(ISNUMBER(INDEX($I$9:$I$2008,$W114)),INDEX($I$9:$I$2008,$W114),VALUE(SUBSTITUTE(INDEX($I$9:$I$2008,$W114),",",""))),""))</f>
        <v/>
      </c>
      <c r="AH114" s="29">
        <f>IF($W114="","",IFERROR(IF(ISNUMBER(INDEX($J$9:$J$2008,$W114)),INDEX($J$9:$J$2008,$W114),VALUE(SUBSTITUTE(INDEX($J$9:$J$2008,$W114),",",""))),""))</f>
        <v/>
      </c>
      <c r="AI114" s="29">
        <f>IF($W114="","",IFERROR(IF(ISNUMBER(INDEX($K$9:$K$2008,$W114)),INDEX($K$9:$K$2008,$W114),VALUE(SUBSTITUTE(INDEX($K$9:$K$2008,$W114),",",""))),""))</f>
        <v/>
      </c>
      <c r="AJ114" s="30">
        <f>IF($W114="","",IFERROR(IF(ISNUMBER(INDEX($L$9:$L$2008,$W114)),INDEX($L$9:$L$2008,$W114),VALUE(SUBSTITUTE(INDEX($L$9:$L$2008,$W114),",",""))),""))</f>
        <v/>
      </c>
      <c r="AK114" s="30">
        <f>IF($W114="","",IFERROR(IF(ISNUMBER(INDEX($M$9:$M$2008,$W114)),INDEX($M$9:$M$2008,$W114),VALUE(SUBSTITUTE(INDEX($M$9:$M$2008,$W114),",",""))),""))</f>
        <v/>
      </c>
      <c r="AL114" s="31">
        <f>IF($W114="","",IFERROR(IF(ISNUMBER(INDEX($P$9:$P$2008,$W114)),INDEX($P$9:$P$2008,$W114),VALUE(SUBSTITUTE(INDEX($P$9:$P$2008,$W114),"%",""))/100),""))</f>
        <v/>
      </c>
    </row>
    <row r="115">
      <c r="S115">
        <f>IF(AND(ISTEXT($A115),ISNUMBER(SEARCH(" - ",$A115)),ISERROR(SEARCH("Folio",$A115)),$D115=""),TRIM($A115),$S114)</f>
        <v/>
      </c>
      <c r="T115">
        <f>IF(AND(ISNUMBER(SEARCH("Folio",$A115)),$D115&lt;&gt;""),1,"")</f>
        <v/>
      </c>
      <c r="U115">
        <f>IF($T115=1,COUNTIF($T$9:$T115,1),"")</f>
        <v/>
      </c>
      <c r="V115">
        <f>IF(AND(ISTEXT($A115),LEFT($A116,3)="Pan"),1,"")</f>
        <v/>
      </c>
      <c r="W115" s="21">
        <f>IFERROR(MATCH(107,$U$9:$U$2008,0),"")</f>
        <v/>
      </c>
      <c r="X115" s="22">
        <f>IF($W115="","",IF($R$5&lt;&gt;"",$R$5,$R$6))</f>
        <v/>
      </c>
      <c r="Y115" s="22">
        <f>IF($W115="","",INDEX($S$9:$S$2008,$W115))</f>
        <v/>
      </c>
      <c r="Z115" s="22">
        <f>IF($W115="","",IFERROR(TRIM(LEFT(SUBSTITUTE(INDEX($A$9:$A$2008,$W115),CHAR(10)," "),SEARCH("Folio",SUBSTITUTE(INDEX($A$9:$A$2008,$W115),CHAR(10)," "))-1)),TRIM(SUBSTITUTE(INDEX($A$9:$A$2008,$W115),CHAR(10)," "))))</f>
        <v/>
      </c>
      <c r="AA115" s="22">
        <f>IF($W115="","",IFERROR(TRIM(SUBSTITUTE(MID(SUBSTITUTE(INDEX($A$9:$A$2008,$W115),CHAR(10)," "),SEARCH("Folio",SUBSTITUTE(INDEX($A$9:$A$2008,$W115),CHAR(10)," "))+5,200),":","")),""))</f>
        <v/>
      </c>
      <c r="AB115" s="23">
        <f>IF($W115="","",IF(ISNUMBER(INDEX($D$9:$D$2008,$W115)),INDEX($D$9:$D$2008,$W115),IFERROR(DATE(2000+VALUE(RIGHT(INDEX($D$9:$D$2008,$W115),2)),VALUE(MID(INDEX($D$9:$D$2008,$W115),4,2)),VALUE(LEFT(INDEX($D$9:$D$2008,$W115),2))),"")))</f>
        <v/>
      </c>
      <c r="AC115" s="24">
        <f>IF($W115="","",IFERROR(IF(ISNUMBER(INDEX($E$9:$E$2008,$W115)),INDEX($E$9:$E$2008,$W115),VALUE(SUBSTITUTE(INDEX($E$9:$E$2008,$W115),",",""))),""))</f>
        <v/>
      </c>
      <c r="AD115" s="24">
        <f>IF($W115="","",IFERROR(IF(ISNUMBER(INDEX($F$9:$F$2008,$W115)),INDEX($F$9:$F$2008,$W115),VALUE(SUBSTITUTE(INDEX($F$9:$F$2008,$W115),",",""))),""))</f>
        <v/>
      </c>
      <c r="AE115" s="24">
        <f>IF($W115="","",IFERROR(IF(ISNUMBER(INDEX($G$9:$G$2008,$W115)),INDEX($G$9:$G$2008,$W115),VALUE(SUBSTITUTE(INDEX($G$9:$G$2008,$W115),",",""))),""))</f>
        <v/>
      </c>
      <c r="AF115" s="24">
        <f>IF($W115="","",IFERROR(IF(ISNUMBER(INDEX($H$9:$H$2008,$W115)),INDEX($H$9:$H$2008,$W115),VALUE(SUBSTITUTE(INDEX($H$9:$H$2008,$W115),",",""))),""))</f>
        <v/>
      </c>
      <c r="AG115" s="24">
        <f>IF($W115="","",IFERROR(IF(ISNUMBER(INDEX($I$9:$I$2008,$W115)),INDEX($I$9:$I$2008,$W115),VALUE(SUBSTITUTE(INDEX($I$9:$I$2008,$W115),",",""))),""))</f>
        <v/>
      </c>
      <c r="AH115" s="24">
        <f>IF($W115="","",IFERROR(IF(ISNUMBER(INDEX($J$9:$J$2008,$W115)),INDEX($J$9:$J$2008,$W115),VALUE(SUBSTITUTE(INDEX($J$9:$J$2008,$W115),",",""))),""))</f>
        <v/>
      </c>
      <c r="AI115" s="24">
        <f>IF($W115="","",IFERROR(IF(ISNUMBER(INDEX($K$9:$K$2008,$W115)),INDEX($K$9:$K$2008,$W115),VALUE(SUBSTITUTE(INDEX($K$9:$K$2008,$W115),",",""))),""))</f>
        <v/>
      </c>
      <c r="AJ115" s="25">
        <f>IF($W115="","",IFERROR(IF(ISNUMBER(INDEX($L$9:$L$2008,$W115)),INDEX($L$9:$L$2008,$W115),VALUE(SUBSTITUTE(INDEX($L$9:$L$2008,$W115),",",""))),""))</f>
        <v/>
      </c>
      <c r="AK115" s="25">
        <f>IF($W115="","",IFERROR(IF(ISNUMBER(INDEX($M$9:$M$2008,$W115)),INDEX($M$9:$M$2008,$W115),VALUE(SUBSTITUTE(INDEX($M$9:$M$2008,$W115),",",""))),""))</f>
        <v/>
      </c>
      <c r="AL115" s="26">
        <f>IF($W115="","",IFERROR(IF(ISNUMBER(INDEX($P$9:$P$2008,$W115)),INDEX($P$9:$P$2008,$W115),VALUE(SUBSTITUTE(INDEX($P$9:$P$2008,$W115),"%",""))/100),""))</f>
        <v/>
      </c>
    </row>
    <row r="116">
      <c r="S116">
        <f>IF(AND(ISTEXT($A116),ISNUMBER(SEARCH(" - ",$A116)),ISERROR(SEARCH("Folio",$A116)),$D116=""),TRIM($A116),$S115)</f>
        <v/>
      </c>
      <c r="T116">
        <f>IF(AND(ISNUMBER(SEARCH("Folio",$A116)),$D116&lt;&gt;""),1,"")</f>
        <v/>
      </c>
      <c r="U116">
        <f>IF($T116=1,COUNTIF($T$9:$T116,1),"")</f>
        <v/>
      </c>
      <c r="V116">
        <f>IF(AND(ISTEXT($A116),LEFT($A117,3)="Pan"),1,"")</f>
        <v/>
      </c>
      <c r="W116" s="21">
        <f>IFERROR(MATCH(108,$U$9:$U$2008,0),"")</f>
        <v/>
      </c>
      <c r="X116" s="27">
        <f>IF($W116="","",IF($R$5&lt;&gt;"",$R$5,$R$6))</f>
        <v/>
      </c>
      <c r="Y116" s="27">
        <f>IF($W116="","",INDEX($S$9:$S$2008,$W116))</f>
        <v/>
      </c>
      <c r="Z116" s="27">
        <f>IF($W116="","",IFERROR(TRIM(LEFT(SUBSTITUTE(INDEX($A$9:$A$2008,$W116),CHAR(10)," "),SEARCH("Folio",SUBSTITUTE(INDEX($A$9:$A$2008,$W116),CHAR(10)," "))-1)),TRIM(SUBSTITUTE(INDEX($A$9:$A$2008,$W116),CHAR(10)," "))))</f>
        <v/>
      </c>
      <c r="AA116" s="27">
        <f>IF($W116="","",IFERROR(TRIM(SUBSTITUTE(MID(SUBSTITUTE(INDEX($A$9:$A$2008,$W116),CHAR(10)," "),SEARCH("Folio",SUBSTITUTE(INDEX($A$9:$A$2008,$W116),CHAR(10)," "))+5,200),":","")),""))</f>
        <v/>
      </c>
      <c r="AB116" s="28">
        <f>IF($W116="","",IF(ISNUMBER(INDEX($D$9:$D$2008,$W116)),INDEX($D$9:$D$2008,$W116),IFERROR(DATE(2000+VALUE(RIGHT(INDEX($D$9:$D$2008,$W116),2)),VALUE(MID(INDEX($D$9:$D$2008,$W116),4,2)),VALUE(LEFT(INDEX($D$9:$D$2008,$W116),2))),"")))</f>
        <v/>
      </c>
      <c r="AC116" s="29">
        <f>IF($W116="","",IFERROR(IF(ISNUMBER(INDEX($E$9:$E$2008,$W116)),INDEX($E$9:$E$2008,$W116),VALUE(SUBSTITUTE(INDEX($E$9:$E$2008,$W116),",",""))),""))</f>
        <v/>
      </c>
      <c r="AD116" s="29">
        <f>IF($W116="","",IFERROR(IF(ISNUMBER(INDEX($F$9:$F$2008,$W116)),INDEX($F$9:$F$2008,$W116),VALUE(SUBSTITUTE(INDEX($F$9:$F$2008,$W116),",",""))),""))</f>
        <v/>
      </c>
      <c r="AE116" s="29">
        <f>IF($W116="","",IFERROR(IF(ISNUMBER(INDEX($G$9:$G$2008,$W116)),INDEX($G$9:$G$2008,$W116),VALUE(SUBSTITUTE(INDEX($G$9:$G$2008,$W116),",",""))),""))</f>
        <v/>
      </c>
      <c r="AF116" s="29">
        <f>IF($W116="","",IFERROR(IF(ISNUMBER(INDEX($H$9:$H$2008,$W116)),INDEX($H$9:$H$2008,$W116),VALUE(SUBSTITUTE(INDEX($H$9:$H$2008,$W116),",",""))),""))</f>
        <v/>
      </c>
      <c r="AG116" s="29">
        <f>IF($W116="","",IFERROR(IF(ISNUMBER(INDEX($I$9:$I$2008,$W116)),INDEX($I$9:$I$2008,$W116),VALUE(SUBSTITUTE(INDEX($I$9:$I$2008,$W116),",",""))),""))</f>
        <v/>
      </c>
      <c r="AH116" s="29">
        <f>IF($W116="","",IFERROR(IF(ISNUMBER(INDEX($J$9:$J$2008,$W116)),INDEX($J$9:$J$2008,$W116),VALUE(SUBSTITUTE(INDEX($J$9:$J$2008,$W116),",",""))),""))</f>
        <v/>
      </c>
      <c r="AI116" s="29">
        <f>IF($W116="","",IFERROR(IF(ISNUMBER(INDEX($K$9:$K$2008,$W116)),INDEX($K$9:$K$2008,$W116),VALUE(SUBSTITUTE(INDEX($K$9:$K$2008,$W116),",",""))),""))</f>
        <v/>
      </c>
      <c r="AJ116" s="30">
        <f>IF($W116="","",IFERROR(IF(ISNUMBER(INDEX($L$9:$L$2008,$W116)),INDEX($L$9:$L$2008,$W116),VALUE(SUBSTITUTE(INDEX($L$9:$L$2008,$W116),",",""))),""))</f>
        <v/>
      </c>
      <c r="AK116" s="30">
        <f>IF($W116="","",IFERROR(IF(ISNUMBER(INDEX($M$9:$M$2008,$W116)),INDEX($M$9:$M$2008,$W116),VALUE(SUBSTITUTE(INDEX($M$9:$M$2008,$W116),",",""))),""))</f>
        <v/>
      </c>
      <c r="AL116" s="31">
        <f>IF($W116="","",IFERROR(IF(ISNUMBER(INDEX($P$9:$P$2008,$W116)),INDEX($P$9:$P$2008,$W116),VALUE(SUBSTITUTE(INDEX($P$9:$P$2008,$W116),"%",""))/100),""))</f>
        <v/>
      </c>
    </row>
    <row r="117">
      <c r="S117">
        <f>IF(AND(ISTEXT($A117),ISNUMBER(SEARCH(" - ",$A117)),ISERROR(SEARCH("Folio",$A117)),$D117=""),TRIM($A117),$S116)</f>
        <v/>
      </c>
      <c r="T117">
        <f>IF(AND(ISNUMBER(SEARCH("Folio",$A117)),$D117&lt;&gt;""),1,"")</f>
        <v/>
      </c>
      <c r="U117">
        <f>IF($T117=1,COUNTIF($T$9:$T117,1),"")</f>
        <v/>
      </c>
      <c r="V117">
        <f>IF(AND(ISTEXT($A117),LEFT($A118,3)="Pan"),1,"")</f>
        <v/>
      </c>
      <c r="W117" s="21">
        <f>IFERROR(MATCH(109,$U$9:$U$2008,0),"")</f>
        <v/>
      </c>
      <c r="X117" s="22">
        <f>IF($W117="","",IF($R$5&lt;&gt;"",$R$5,$R$6))</f>
        <v/>
      </c>
      <c r="Y117" s="22">
        <f>IF($W117="","",INDEX($S$9:$S$2008,$W117))</f>
        <v/>
      </c>
      <c r="Z117" s="22">
        <f>IF($W117="","",IFERROR(TRIM(LEFT(SUBSTITUTE(INDEX($A$9:$A$2008,$W117),CHAR(10)," "),SEARCH("Folio",SUBSTITUTE(INDEX($A$9:$A$2008,$W117),CHAR(10)," "))-1)),TRIM(SUBSTITUTE(INDEX($A$9:$A$2008,$W117),CHAR(10)," "))))</f>
        <v/>
      </c>
      <c r="AA117" s="22">
        <f>IF($W117="","",IFERROR(TRIM(SUBSTITUTE(MID(SUBSTITUTE(INDEX($A$9:$A$2008,$W117),CHAR(10)," "),SEARCH("Folio",SUBSTITUTE(INDEX($A$9:$A$2008,$W117),CHAR(10)," "))+5,200),":","")),""))</f>
        <v/>
      </c>
      <c r="AB117" s="23">
        <f>IF($W117="","",IF(ISNUMBER(INDEX($D$9:$D$2008,$W117)),INDEX($D$9:$D$2008,$W117),IFERROR(DATE(2000+VALUE(RIGHT(INDEX($D$9:$D$2008,$W117),2)),VALUE(MID(INDEX($D$9:$D$2008,$W117),4,2)),VALUE(LEFT(INDEX($D$9:$D$2008,$W117),2))),"")))</f>
        <v/>
      </c>
      <c r="AC117" s="24">
        <f>IF($W117="","",IFERROR(IF(ISNUMBER(INDEX($E$9:$E$2008,$W117)),INDEX($E$9:$E$2008,$W117),VALUE(SUBSTITUTE(INDEX($E$9:$E$2008,$W117),",",""))),""))</f>
        <v/>
      </c>
      <c r="AD117" s="24">
        <f>IF($W117="","",IFERROR(IF(ISNUMBER(INDEX($F$9:$F$2008,$W117)),INDEX($F$9:$F$2008,$W117),VALUE(SUBSTITUTE(INDEX($F$9:$F$2008,$W117),",",""))),""))</f>
        <v/>
      </c>
      <c r="AE117" s="24">
        <f>IF($W117="","",IFERROR(IF(ISNUMBER(INDEX($G$9:$G$2008,$W117)),INDEX($G$9:$G$2008,$W117),VALUE(SUBSTITUTE(INDEX($G$9:$G$2008,$W117),",",""))),""))</f>
        <v/>
      </c>
      <c r="AF117" s="24">
        <f>IF($W117="","",IFERROR(IF(ISNUMBER(INDEX($H$9:$H$2008,$W117)),INDEX($H$9:$H$2008,$W117),VALUE(SUBSTITUTE(INDEX($H$9:$H$2008,$W117),",",""))),""))</f>
        <v/>
      </c>
      <c r="AG117" s="24">
        <f>IF($W117="","",IFERROR(IF(ISNUMBER(INDEX($I$9:$I$2008,$W117)),INDEX($I$9:$I$2008,$W117),VALUE(SUBSTITUTE(INDEX($I$9:$I$2008,$W117),",",""))),""))</f>
        <v/>
      </c>
      <c r="AH117" s="24">
        <f>IF($W117="","",IFERROR(IF(ISNUMBER(INDEX($J$9:$J$2008,$W117)),INDEX($J$9:$J$2008,$W117),VALUE(SUBSTITUTE(INDEX($J$9:$J$2008,$W117),",",""))),""))</f>
        <v/>
      </c>
      <c r="AI117" s="24">
        <f>IF($W117="","",IFERROR(IF(ISNUMBER(INDEX($K$9:$K$2008,$W117)),INDEX($K$9:$K$2008,$W117),VALUE(SUBSTITUTE(INDEX($K$9:$K$2008,$W117),",",""))),""))</f>
        <v/>
      </c>
      <c r="AJ117" s="25">
        <f>IF($W117="","",IFERROR(IF(ISNUMBER(INDEX($L$9:$L$2008,$W117)),INDEX($L$9:$L$2008,$W117),VALUE(SUBSTITUTE(INDEX($L$9:$L$2008,$W117),",",""))),""))</f>
        <v/>
      </c>
      <c r="AK117" s="25">
        <f>IF($W117="","",IFERROR(IF(ISNUMBER(INDEX($M$9:$M$2008,$W117)),INDEX($M$9:$M$2008,$W117),VALUE(SUBSTITUTE(INDEX($M$9:$M$2008,$W117),",",""))),""))</f>
        <v/>
      </c>
      <c r="AL117" s="26">
        <f>IF($W117="","",IFERROR(IF(ISNUMBER(INDEX($P$9:$P$2008,$W117)),INDEX($P$9:$P$2008,$W117),VALUE(SUBSTITUTE(INDEX($P$9:$P$2008,$W117),"%",""))/100),""))</f>
        <v/>
      </c>
    </row>
    <row r="118">
      <c r="S118">
        <f>IF(AND(ISTEXT($A118),ISNUMBER(SEARCH(" - ",$A118)),ISERROR(SEARCH("Folio",$A118)),$D118=""),TRIM($A118),$S117)</f>
        <v/>
      </c>
      <c r="T118">
        <f>IF(AND(ISNUMBER(SEARCH("Folio",$A118)),$D118&lt;&gt;""),1,"")</f>
        <v/>
      </c>
      <c r="U118">
        <f>IF($T118=1,COUNTIF($T$9:$T118,1),"")</f>
        <v/>
      </c>
      <c r="V118">
        <f>IF(AND(ISTEXT($A118),LEFT($A119,3)="Pan"),1,"")</f>
        <v/>
      </c>
      <c r="W118" s="21">
        <f>IFERROR(MATCH(110,$U$9:$U$2008,0),"")</f>
        <v/>
      </c>
      <c r="X118" s="27">
        <f>IF($W118="","",IF($R$5&lt;&gt;"",$R$5,$R$6))</f>
        <v/>
      </c>
      <c r="Y118" s="27">
        <f>IF($W118="","",INDEX($S$9:$S$2008,$W118))</f>
        <v/>
      </c>
      <c r="Z118" s="27">
        <f>IF($W118="","",IFERROR(TRIM(LEFT(SUBSTITUTE(INDEX($A$9:$A$2008,$W118),CHAR(10)," "),SEARCH("Folio",SUBSTITUTE(INDEX($A$9:$A$2008,$W118),CHAR(10)," "))-1)),TRIM(SUBSTITUTE(INDEX($A$9:$A$2008,$W118),CHAR(10)," "))))</f>
        <v/>
      </c>
      <c r="AA118" s="27">
        <f>IF($W118="","",IFERROR(TRIM(SUBSTITUTE(MID(SUBSTITUTE(INDEX($A$9:$A$2008,$W118),CHAR(10)," "),SEARCH("Folio",SUBSTITUTE(INDEX($A$9:$A$2008,$W118),CHAR(10)," "))+5,200),":","")),""))</f>
        <v/>
      </c>
      <c r="AB118" s="28">
        <f>IF($W118="","",IF(ISNUMBER(INDEX($D$9:$D$2008,$W118)),INDEX($D$9:$D$2008,$W118),IFERROR(DATE(2000+VALUE(RIGHT(INDEX($D$9:$D$2008,$W118),2)),VALUE(MID(INDEX($D$9:$D$2008,$W118),4,2)),VALUE(LEFT(INDEX($D$9:$D$2008,$W118),2))),"")))</f>
        <v/>
      </c>
      <c r="AC118" s="29">
        <f>IF($W118="","",IFERROR(IF(ISNUMBER(INDEX($E$9:$E$2008,$W118)),INDEX($E$9:$E$2008,$W118),VALUE(SUBSTITUTE(INDEX($E$9:$E$2008,$W118),",",""))),""))</f>
        <v/>
      </c>
      <c r="AD118" s="29">
        <f>IF($W118="","",IFERROR(IF(ISNUMBER(INDEX($F$9:$F$2008,$W118)),INDEX($F$9:$F$2008,$W118),VALUE(SUBSTITUTE(INDEX($F$9:$F$2008,$W118),",",""))),""))</f>
        <v/>
      </c>
      <c r="AE118" s="29">
        <f>IF($W118="","",IFERROR(IF(ISNUMBER(INDEX($G$9:$G$2008,$W118)),INDEX($G$9:$G$2008,$W118),VALUE(SUBSTITUTE(INDEX($G$9:$G$2008,$W118),",",""))),""))</f>
        <v/>
      </c>
      <c r="AF118" s="29">
        <f>IF($W118="","",IFERROR(IF(ISNUMBER(INDEX($H$9:$H$2008,$W118)),INDEX($H$9:$H$2008,$W118),VALUE(SUBSTITUTE(INDEX($H$9:$H$2008,$W118),",",""))),""))</f>
        <v/>
      </c>
      <c r="AG118" s="29">
        <f>IF($W118="","",IFERROR(IF(ISNUMBER(INDEX($I$9:$I$2008,$W118)),INDEX($I$9:$I$2008,$W118),VALUE(SUBSTITUTE(INDEX($I$9:$I$2008,$W118),",",""))),""))</f>
        <v/>
      </c>
      <c r="AH118" s="29">
        <f>IF($W118="","",IFERROR(IF(ISNUMBER(INDEX($J$9:$J$2008,$W118)),INDEX($J$9:$J$2008,$W118),VALUE(SUBSTITUTE(INDEX($J$9:$J$2008,$W118),",",""))),""))</f>
        <v/>
      </c>
      <c r="AI118" s="29">
        <f>IF($W118="","",IFERROR(IF(ISNUMBER(INDEX($K$9:$K$2008,$W118)),INDEX($K$9:$K$2008,$W118),VALUE(SUBSTITUTE(INDEX($K$9:$K$2008,$W118),",",""))),""))</f>
        <v/>
      </c>
      <c r="AJ118" s="30">
        <f>IF($W118="","",IFERROR(IF(ISNUMBER(INDEX($L$9:$L$2008,$W118)),INDEX($L$9:$L$2008,$W118),VALUE(SUBSTITUTE(INDEX($L$9:$L$2008,$W118),",",""))),""))</f>
        <v/>
      </c>
      <c r="AK118" s="30">
        <f>IF($W118="","",IFERROR(IF(ISNUMBER(INDEX($M$9:$M$2008,$W118)),INDEX($M$9:$M$2008,$W118),VALUE(SUBSTITUTE(INDEX($M$9:$M$2008,$W118),",",""))),""))</f>
        <v/>
      </c>
      <c r="AL118" s="31">
        <f>IF($W118="","",IFERROR(IF(ISNUMBER(INDEX($P$9:$P$2008,$W118)),INDEX($P$9:$P$2008,$W118),VALUE(SUBSTITUTE(INDEX($P$9:$P$2008,$W118),"%",""))/100),""))</f>
        <v/>
      </c>
    </row>
    <row r="119">
      <c r="S119">
        <f>IF(AND(ISTEXT($A119),ISNUMBER(SEARCH(" - ",$A119)),ISERROR(SEARCH("Folio",$A119)),$D119=""),TRIM($A119),$S118)</f>
        <v/>
      </c>
      <c r="T119">
        <f>IF(AND(ISNUMBER(SEARCH("Folio",$A119)),$D119&lt;&gt;""),1,"")</f>
        <v/>
      </c>
      <c r="U119">
        <f>IF($T119=1,COUNTIF($T$9:$T119,1),"")</f>
        <v/>
      </c>
      <c r="V119">
        <f>IF(AND(ISTEXT($A119),LEFT($A120,3)="Pan"),1,"")</f>
        <v/>
      </c>
      <c r="W119" s="21">
        <f>IFERROR(MATCH(111,$U$9:$U$2008,0),"")</f>
        <v/>
      </c>
      <c r="X119" s="22">
        <f>IF($W119="","",IF($R$5&lt;&gt;"",$R$5,$R$6))</f>
        <v/>
      </c>
      <c r="Y119" s="22">
        <f>IF($W119="","",INDEX($S$9:$S$2008,$W119))</f>
        <v/>
      </c>
      <c r="Z119" s="22">
        <f>IF($W119="","",IFERROR(TRIM(LEFT(SUBSTITUTE(INDEX($A$9:$A$2008,$W119),CHAR(10)," "),SEARCH("Folio",SUBSTITUTE(INDEX($A$9:$A$2008,$W119),CHAR(10)," "))-1)),TRIM(SUBSTITUTE(INDEX($A$9:$A$2008,$W119),CHAR(10)," "))))</f>
        <v/>
      </c>
      <c r="AA119" s="22">
        <f>IF($W119="","",IFERROR(TRIM(SUBSTITUTE(MID(SUBSTITUTE(INDEX($A$9:$A$2008,$W119),CHAR(10)," "),SEARCH("Folio",SUBSTITUTE(INDEX($A$9:$A$2008,$W119),CHAR(10)," "))+5,200),":","")),""))</f>
        <v/>
      </c>
      <c r="AB119" s="23">
        <f>IF($W119="","",IF(ISNUMBER(INDEX($D$9:$D$2008,$W119)),INDEX($D$9:$D$2008,$W119),IFERROR(DATE(2000+VALUE(RIGHT(INDEX($D$9:$D$2008,$W119),2)),VALUE(MID(INDEX($D$9:$D$2008,$W119),4,2)),VALUE(LEFT(INDEX($D$9:$D$2008,$W119),2))),"")))</f>
        <v/>
      </c>
      <c r="AC119" s="24">
        <f>IF($W119="","",IFERROR(IF(ISNUMBER(INDEX($E$9:$E$2008,$W119)),INDEX($E$9:$E$2008,$W119),VALUE(SUBSTITUTE(INDEX($E$9:$E$2008,$W119),",",""))),""))</f>
        <v/>
      </c>
      <c r="AD119" s="24">
        <f>IF($W119="","",IFERROR(IF(ISNUMBER(INDEX($F$9:$F$2008,$W119)),INDEX($F$9:$F$2008,$W119),VALUE(SUBSTITUTE(INDEX($F$9:$F$2008,$W119),",",""))),""))</f>
        <v/>
      </c>
      <c r="AE119" s="24">
        <f>IF($W119="","",IFERROR(IF(ISNUMBER(INDEX($G$9:$G$2008,$W119)),INDEX($G$9:$G$2008,$W119),VALUE(SUBSTITUTE(INDEX($G$9:$G$2008,$W119),",",""))),""))</f>
        <v/>
      </c>
      <c r="AF119" s="24">
        <f>IF($W119="","",IFERROR(IF(ISNUMBER(INDEX($H$9:$H$2008,$W119)),INDEX($H$9:$H$2008,$W119),VALUE(SUBSTITUTE(INDEX($H$9:$H$2008,$W119),",",""))),""))</f>
        <v/>
      </c>
      <c r="AG119" s="24">
        <f>IF($W119="","",IFERROR(IF(ISNUMBER(INDEX($I$9:$I$2008,$W119)),INDEX($I$9:$I$2008,$W119),VALUE(SUBSTITUTE(INDEX($I$9:$I$2008,$W119),",",""))),""))</f>
        <v/>
      </c>
      <c r="AH119" s="24">
        <f>IF($W119="","",IFERROR(IF(ISNUMBER(INDEX($J$9:$J$2008,$W119)),INDEX($J$9:$J$2008,$W119),VALUE(SUBSTITUTE(INDEX($J$9:$J$2008,$W119),",",""))),""))</f>
        <v/>
      </c>
      <c r="AI119" s="24">
        <f>IF($W119="","",IFERROR(IF(ISNUMBER(INDEX($K$9:$K$2008,$W119)),INDEX($K$9:$K$2008,$W119),VALUE(SUBSTITUTE(INDEX($K$9:$K$2008,$W119),",",""))),""))</f>
        <v/>
      </c>
      <c r="AJ119" s="25">
        <f>IF($W119="","",IFERROR(IF(ISNUMBER(INDEX($L$9:$L$2008,$W119)),INDEX($L$9:$L$2008,$W119),VALUE(SUBSTITUTE(INDEX($L$9:$L$2008,$W119),",",""))),""))</f>
        <v/>
      </c>
      <c r="AK119" s="25">
        <f>IF($W119="","",IFERROR(IF(ISNUMBER(INDEX($M$9:$M$2008,$W119)),INDEX($M$9:$M$2008,$W119),VALUE(SUBSTITUTE(INDEX($M$9:$M$2008,$W119),",",""))),""))</f>
        <v/>
      </c>
      <c r="AL119" s="26">
        <f>IF($W119="","",IFERROR(IF(ISNUMBER(INDEX($P$9:$P$2008,$W119)),INDEX($P$9:$P$2008,$W119),VALUE(SUBSTITUTE(INDEX($P$9:$P$2008,$W119),"%",""))/100),""))</f>
        <v/>
      </c>
    </row>
    <row r="120">
      <c r="S120">
        <f>IF(AND(ISTEXT($A120),ISNUMBER(SEARCH(" - ",$A120)),ISERROR(SEARCH("Folio",$A120)),$D120=""),TRIM($A120),$S119)</f>
        <v/>
      </c>
      <c r="T120">
        <f>IF(AND(ISNUMBER(SEARCH("Folio",$A120)),$D120&lt;&gt;""),1,"")</f>
        <v/>
      </c>
      <c r="U120">
        <f>IF($T120=1,COUNTIF($T$9:$T120,1),"")</f>
        <v/>
      </c>
      <c r="V120">
        <f>IF(AND(ISTEXT($A120),LEFT($A121,3)="Pan"),1,"")</f>
        <v/>
      </c>
      <c r="W120" s="21">
        <f>IFERROR(MATCH(112,$U$9:$U$2008,0),"")</f>
        <v/>
      </c>
      <c r="X120" s="27">
        <f>IF($W120="","",IF($R$5&lt;&gt;"",$R$5,$R$6))</f>
        <v/>
      </c>
      <c r="Y120" s="27">
        <f>IF($W120="","",INDEX($S$9:$S$2008,$W120))</f>
        <v/>
      </c>
      <c r="Z120" s="27">
        <f>IF($W120="","",IFERROR(TRIM(LEFT(SUBSTITUTE(INDEX($A$9:$A$2008,$W120),CHAR(10)," "),SEARCH("Folio",SUBSTITUTE(INDEX($A$9:$A$2008,$W120),CHAR(10)," "))-1)),TRIM(SUBSTITUTE(INDEX($A$9:$A$2008,$W120),CHAR(10)," "))))</f>
        <v/>
      </c>
      <c r="AA120" s="27">
        <f>IF($W120="","",IFERROR(TRIM(SUBSTITUTE(MID(SUBSTITUTE(INDEX($A$9:$A$2008,$W120),CHAR(10)," "),SEARCH("Folio",SUBSTITUTE(INDEX($A$9:$A$2008,$W120),CHAR(10)," "))+5,200),":","")),""))</f>
        <v/>
      </c>
      <c r="AB120" s="28">
        <f>IF($W120="","",IF(ISNUMBER(INDEX($D$9:$D$2008,$W120)),INDEX($D$9:$D$2008,$W120),IFERROR(DATE(2000+VALUE(RIGHT(INDEX($D$9:$D$2008,$W120),2)),VALUE(MID(INDEX($D$9:$D$2008,$W120),4,2)),VALUE(LEFT(INDEX($D$9:$D$2008,$W120),2))),"")))</f>
        <v/>
      </c>
      <c r="AC120" s="29">
        <f>IF($W120="","",IFERROR(IF(ISNUMBER(INDEX($E$9:$E$2008,$W120)),INDEX($E$9:$E$2008,$W120),VALUE(SUBSTITUTE(INDEX($E$9:$E$2008,$W120),",",""))),""))</f>
        <v/>
      </c>
      <c r="AD120" s="29">
        <f>IF($W120="","",IFERROR(IF(ISNUMBER(INDEX($F$9:$F$2008,$W120)),INDEX($F$9:$F$2008,$W120),VALUE(SUBSTITUTE(INDEX($F$9:$F$2008,$W120),",",""))),""))</f>
        <v/>
      </c>
      <c r="AE120" s="29">
        <f>IF($W120="","",IFERROR(IF(ISNUMBER(INDEX($G$9:$G$2008,$W120)),INDEX($G$9:$G$2008,$W120),VALUE(SUBSTITUTE(INDEX($G$9:$G$2008,$W120),",",""))),""))</f>
        <v/>
      </c>
      <c r="AF120" s="29">
        <f>IF($W120="","",IFERROR(IF(ISNUMBER(INDEX($H$9:$H$2008,$W120)),INDEX($H$9:$H$2008,$W120),VALUE(SUBSTITUTE(INDEX($H$9:$H$2008,$W120),",",""))),""))</f>
        <v/>
      </c>
      <c r="AG120" s="29">
        <f>IF($W120="","",IFERROR(IF(ISNUMBER(INDEX($I$9:$I$2008,$W120)),INDEX($I$9:$I$2008,$W120),VALUE(SUBSTITUTE(INDEX($I$9:$I$2008,$W120),",",""))),""))</f>
        <v/>
      </c>
      <c r="AH120" s="29">
        <f>IF($W120="","",IFERROR(IF(ISNUMBER(INDEX($J$9:$J$2008,$W120)),INDEX($J$9:$J$2008,$W120),VALUE(SUBSTITUTE(INDEX($J$9:$J$2008,$W120),",",""))),""))</f>
        <v/>
      </c>
      <c r="AI120" s="29">
        <f>IF($W120="","",IFERROR(IF(ISNUMBER(INDEX($K$9:$K$2008,$W120)),INDEX($K$9:$K$2008,$W120),VALUE(SUBSTITUTE(INDEX($K$9:$K$2008,$W120),",",""))),""))</f>
        <v/>
      </c>
      <c r="AJ120" s="30">
        <f>IF($W120="","",IFERROR(IF(ISNUMBER(INDEX($L$9:$L$2008,$W120)),INDEX($L$9:$L$2008,$W120),VALUE(SUBSTITUTE(INDEX($L$9:$L$2008,$W120),",",""))),""))</f>
        <v/>
      </c>
      <c r="AK120" s="30">
        <f>IF($W120="","",IFERROR(IF(ISNUMBER(INDEX($M$9:$M$2008,$W120)),INDEX($M$9:$M$2008,$W120),VALUE(SUBSTITUTE(INDEX($M$9:$M$2008,$W120),",",""))),""))</f>
        <v/>
      </c>
      <c r="AL120" s="31">
        <f>IF($W120="","",IFERROR(IF(ISNUMBER(INDEX($P$9:$P$2008,$W120)),INDEX($P$9:$P$2008,$W120),VALUE(SUBSTITUTE(INDEX($P$9:$P$2008,$W120),"%",""))/100),""))</f>
        <v/>
      </c>
    </row>
    <row r="121">
      <c r="S121">
        <f>IF(AND(ISTEXT($A121),ISNUMBER(SEARCH(" - ",$A121)),ISERROR(SEARCH("Folio",$A121)),$D121=""),TRIM($A121),$S120)</f>
        <v/>
      </c>
      <c r="T121">
        <f>IF(AND(ISNUMBER(SEARCH("Folio",$A121)),$D121&lt;&gt;""),1,"")</f>
        <v/>
      </c>
      <c r="U121">
        <f>IF($T121=1,COUNTIF($T$9:$T121,1),"")</f>
        <v/>
      </c>
      <c r="V121">
        <f>IF(AND(ISTEXT($A121),LEFT($A122,3)="Pan"),1,"")</f>
        <v/>
      </c>
      <c r="W121" s="21">
        <f>IFERROR(MATCH(113,$U$9:$U$2008,0),"")</f>
        <v/>
      </c>
      <c r="X121" s="22">
        <f>IF($W121="","",IF($R$5&lt;&gt;"",$R$5,$R$6))</f>
        <v/>
      </c>
      <c r="Y121" s="22">
        <f>IF($W121="","",INDEX($S$9:$S$2008,$W121))</f>
        <v/>
      </c>
      <c r="Z121" s="22">
        <f>IF($W121="","",IFERROR(TRIM(LEFT(SUBSTITUTE(INDEX($A$9:$A$2008,$W121),CHAR(10)," "),SEARCH("Folio",SUBSTITUTE(INDEX($A$9:$A$2008,$W121),CHAR(10)," "))-1)),TRIM(SUBSTITUTE(INDEX($A$9:$A$2008,$W121),CHAR(10)," "))))</f>
        <v/>
      </c>
      <c r="AA121" s="22">
        <f>IF($W121="","",IFERROR(TRIM(SUBSTITUTE(MID(SUBSTITUTE(INDEX($A$9:$A$2008,$W121),CHAR(10)," "),SEARCH("Folio",SUBSTITUTE(INDEX($A$9:$A$2008,$W121),CHAR(10)," "))+5,200),":","")),""))</f>
        <v/>
      </c>
      <c r="AB121" s="23">
        <f>IF($W121="","",IF(ISNUMBER(INDEX($D$9:$D$2008,$W121)),INDEX($D$9:$D$2008,$W121),IFERROR(DATE(2000+VALUE(RIGHT(INDEX($D$9:$D$2008,$W121),2)),VALUE(MID(INDEX($D$9:$D$2008,$W121),4,2)),VALUE(LEFT(INDEX($D$9:$D$2008,$W121),2))),"")))</f>
        <v/>
      </c>
      <c r="AC121" s="24">
        <f>IF($W121="","",IFERROR(IF(ISNUMBER(INDEX($E$9:$E$2008,$W121)),INDEX($E$9:$E$2008,$W121),VALUE(SUBSTITUTE(INDEX($E$9:$E$2008,$W121),",",""))),""))</f>
        <v/>
      </c>
      <c r="AD121" s="24">
        <f>IF($W121="","",IFERROR(IF(ISNUMBER(INDEX($F$9:$F$2008,$W121)),INDEX($F$9:$F$2008,$W121),VALUE(SUBSTITUTE(INDEX($F$9:$F$2008,$W121),",",""))),""))</f>
        <v/>
      </c>
      <c r="AE121" s="24">
        <f>IF($W121="","",IFERROR(IF(ISNUMBER(INDEX($G$9:$G$2008,$W121)),INDEX($G$9:$G$2008,$W121),VALUE(SUBSTITUTE(INDEX($G$9:$G$2008,$W121),",",""))),""))</f>
        <v/>
      </c>
      <c r="AF121" s="24">
        <f>IF($W121="","",IFERROR(IF(ISNUMBER(INDEX($H$9:$H$2008,$W121)),INDEX($H$9:$H$2008,$W121),VALUE(SUBSTITUTE(INDEX($H$9:$H$2008,$W121),",",""))),""))</f>
        <v/>
      </c>
      <c r="AG121" s="24">
        <f>IF($W121="","",IFERROR(IF(ISNUMBER(INDEX($I$9:$I$2008,$W121)),INDEX($I$9:$I$2008,$W121),VALUE(SUBSTITUTE(INDEX($I$9:$I$2008,$W121),",",""))),""))</f>
        <v/>
      </c>
      <c r="AH121" s="24">
        <f>IF($W121="","",IFERROR(IF(ISNUMBER(INDEX($J$9:$J$2008,$W121)),INDEX($J$9:$J$2008,$W121),VALUE(SUBSTITUTE(INDEX($J$9:$J$2008,$W121),",",""))),""))</f>
        <v/>
      </c>
      <c r="AI121" s="24">
        <f>IF($W121="","",IFERROR(IF(ISNUMBER(INDEX($K$9:$K$2008,$W121)),INDEX($K$9:$K$2008,$W121),VALUE(SUBSTITUTE(INDEX($K$9:$K$2008,$W121),",",""))),""))</f>
        <v/>
      </c>
      <c r="AJ121" s="25">
        <f>IF($W121="","",IFERROR(IF(ISNUMBER(INDEX($L$9:$L$2008,$W121)),INDEX($L$9:$L$2008,$W121),VALUE(SUBSTITUTE(INDEX($L$9:$L$2008,$W121),",",""))),""))</f>
        <v/>
      </c>
      <c r="AK121" s="25">
        <f>IF($W121="","",IFERROR(IF(ISNUMBER(INDEX($M$9:$M$2008,$W121)),INDEX($M$9:$M$2008,$W121),VALUE(SUBSTITUTE(INDEX($M$9:$M$2008,$W121),",",""))),""))</f>
        <v/>
      </c>
      <c r="AL121" s="26">
        <f>IF($W121="","",IFERROR(IF(ISNUMBER(INDEX($P$9:$P$2008,$W121)),INDEX($P$9:$P$2008,$W121),VALUE(SUBSTITUTE(INDEX($P$9:$P$2008,$W121),"%",""))/100),""))</f>
        <v/>
      </c>
    </row>
    <row r="122">
      <c r="S122">
        <f>IF(AND(ISTEXT($A122),ISNUMBER(SEARCH(" - ",$A122)),ISERROR(SEARCH("Folio",$A122)),$D122=""),TRIM($A122),$S121)</f>
        <v/>
      </c>
      <c r="T122">
        <f>IF(AND(ISNUMBER(SEARCH("Folio",$A122)),$D122&lt;&gt;""),1,"")</f>
        <v/>
      </c>
      <c r="U122">
        <f>IF($T122=1,COUNTIF($T$9:$T122,1),"")</f>
        <v/>
      </c>
      <c r="V122">
        <f>IF(AND(ISTEXT($A122),LEFT($A123,3)="Pan"),1,"")</f>
        <v/>
      </c>
      <c r="W122" s="21">
        <f>IFERROR(MATCH(114,$U$9:$U$2008,0),"")</f>
        <v/>
      </c>
      <c r="X122" s="27">
        <f>IF($W122="","",IF($R$5&lt;&gt;"",$R$5,$R$6))</f>
        <v/>
      </c>
      <c r="Y122" s="27">
        <f>IF($W122="","",INDEX($S$9:$S$2008,$W122))</f>
        <v/>
      </c>
      <c r="Z122" s="27">
        <f>IF($W122="","",IFERROR(TRIM(LEFT(SUBSTITUTE(INDEX($A$9:$A$2008,$W122),CHAR(10)," "),SEARCH("Folio",SUBSTITUTE(INDEX($A$9:$A$2008,$W122),CHAR(10)," "))-1)),TRIM(SUBSTITUTE(INDEX($A$9:$A$2008,$W122),CHAR(10)," "))))</f>
        <v/>
      </c>
      <c r="AA122" s="27">
        <f>IF($W122="","",IFERROR(TRIM(SUBSTITUTE(MID(SUBSTITUTE(INDEX($A$9:$A$2008,$W122),CHAR(10)," "),SEARCH("Folio",SUBSTITUTE(INDEX($A$9:$A$2008,$W122),CHAR(10)," "))+5,200),":","")),""))</f>
        <v/>
      </c>
      <c r="AB122" s="28">
        <f>IF($W122="","",IF(ISNUMBER(INDEX($D$9:$D$2008,$W122)),INDEX($D$9:$D$2008,$W122),IFERROR(DATE(2000+VALUE(RIGHT(INDEX($D$9:$D$2008,$W122),2)),VALUE(MID(INDEX($D$9:$D$2008,$W122),4,2)),VALUE(LEFT(INDEX($D$9:$D$2008,$W122),2))),"")))</f>
        <v/>
      </c>
      <c r="AC122" s="29">
        <f>IF($W122="","",IFERROR(IF(ISNUMBER(INDEX($E$9:$E$2008,$W122)),INDEX($E$9:$E$2008,$W122),VALUE(SUBSTITUTE(INDEX($E$9:$E$2008,$W122),",",""))),""))</f>
        <v/>
      </c>
      <c r="AD122" s="29">
        <f>IF($W122="","",IFERROR(IF(ISNUMBER(INDEX($F$9:$F$2008,$W122)),INDEX($F$9:$F$2008,$W122),VALUE(SUBSTITUTE(INDEX($F$9:$F$2008,$W122),",",""))),""))</f>
        <v/>
      </c>
      <c r="AE122" s="29">
        <f>IF($W122="","",IFERROR(IF(ISNUMBER(INDEX($G$9:$G$2008,$W122)),INDEX($G$9:$G$2008,$W122),VALUE(SUBSTITUTE(INDEX($G$9:$G$2008,$W122),",",""))),""))</f>
        <v/>
      </c>
      <c r="AF122" s="29">
        <f>IF($W122="","",IFERROR(IF(ISNUMBER(INDEX($H$9:$H$2008,$W122)),INDEX($H$9:$H$2008,$W122),VALUE(SUBSTITUTE(INDEX($H$9:$H$2008,$W122),",",""))),""))</f>
        <v/>
      </c>
      <c r="AG122" s="29">
        <f>IF($W122="","",IFERROR(IF(ISNUMBER(INDEX($I$9:$I$2008,$W122)),INDEX($I$9:$I$2008,$W122),VALUE(SUBSTITUTE(INDEX($I$9:$I$2008,$W122),",",""))),""))</f>
        <v/>
      </c>
      <c r="AH122" s="29">
        <f>IF($W122="","",IFERROR(IF(ISNUMBER(INDEX($J$9:$J$2008,$W122)),INDEX($J$9:$J$2008,$W122),VALUE(SUBSTITUTE(INDEX($J$9:$J$2008,$W122),",",""))),""))</f>
        <v/>
      </c>
      <c r="AI122" s="29">
        <f>IF($W122="","",IFERROR(IF(ISNUMBER(INDEX($K$9:$K$2008,$W122)),INDEX($K$9:$K$2008,$W122),VALUE(SUBSTITUTE(INDEX($K$9:$K$2008,$W122),",",""))),""))</f>
        <v/>
      </c>
      <c r="AJ122" s="30">
        <f>IF($W122="","",IFERROR(IF(ISNUMBER(INDEX($L$9:$L$2008,$W122)),INDEX($L$9:$L$2008,$W122),VALUE(SUBSTITUTE(INDEX($L$9:$L$2008,$W122),",",""))),""))</f>
        <v/>
      </c>
      <c r="AK122" s="30">
        <f>IF($W122="","",IFERROR(IF(ISNUMBER(INDEX($M$9:$M$2008,$W122)),INDEX($M$9:$M$2008,$W122),VALUE(SUBSTITUTE(INDEX($M$9:$M$2008,$W122),",",""))),""))</f>
        <v/>
      </c>
      <c r="AL122" s="31">
        <f>IF($W122="","",IFERROR(IF(ISNUMBER(INDEX($P$9:$P$2008,$W122)),INDEX($P$9:$P$2008,$W122),VALUE(SUBSTITUTE(INDEX($P$9:$P$2008,$W122),"%",""))/100),""))</f>
        <v/>
      </c>
    </row>
    <row r="123">
      <c r="S123">
        <f>IF(AND(ISTEXT($A123),ISNUMBER(SEARCH(" - ",$A123)),ISERROR(SEARCH("Folio",$A123)),$D123=""),TRIM($A123),$S122)</f>
        <v/>
      </c>
      <c r="T123">
        <f>IF(AND(ISNUMBER(SEARCH("Folio",$A123)),$D123&lt;&gt;""),1,"")</f>
        <v/>
      </c>
      <c r="U123">
        <f>IF($T123=1,COUNTIF($T$9:$T123,1),"")</f>
        <v/>
      </c>
      <c r="V123">
        <f>IF(AND(ISTEXT($A123),LEFT($A124,3)="Pan"),1,"")</f>
        <v/>
      </c>
      <c r="W123" s="21">
        <f>IFERROR(MATCH(115,$U$9:$U$2008,0),"")</f>
        <v/>
      </c>
      <c r="X123" s="22">
        <f>IF($W123="","",IF($R$5&lt;&gt;"",$R$5,$R$6))</f>
        <v/>
      </c>
      <c r="Y123" s="22">
        <f>IF($W123="","",INDEX($S$9:$S$2008,$W123))</f>
        <v/>
      </c>
      <c r="Z123" s="22">
        <f>IF($W123="","",IFERROR(TRIM(LEFT(SUBSTITUTE(INDEX($A$9:$A$2008,$W123),CHAR(10)," "),SEARCH("Folio",SUBSTITUTE(INDEX($A$9:$A$2008,$W123),CHAR(10)," "))-1)),TRIM(SUBSTITUTE(INDEX($A$9:$A$2008,$W123),CHAR(10)," "))))</f>
        <v/>
      </c>
      <c r="AA123" s="22">
        <f>IF($W123="","",IFERROR(TRIM(SUBSTITUTE(MID(SUBSTITUTE(INDEX($A$9:$A$2008,$W123),CHAR(10)," "),SEARCH("Folio",SUBSTITUTE(INDEX($A$9:$A$2008,$W123),CHAR(10)," "))+5,200),":","")),""))</f>
        <v/>
      </c>
      <c r="AB123" s="23">
        <f>IF($W123="","",IF(ISNUMBER(INDEX($D$9:$D$2008,$W123)),INDEX($D$9:$D$2008,$W123),IFERROR(DATE(2000+VALUE(RIGHT(INDEX($D$9:$D$2008,$W123),2)),VALUE(MID(INDEX($D$9:$D$2008,$W123),4,2)),VALUE(LEFT(INDEX($D$9:$D$2008,$W123),2))),"")))</f>
        <v/>
      </c>
      <c r="AC123" s="24">
        <f>IF($W123="","",IFERROR(IF(ISNUMBER(INDEX($E$9:$E$2008,$W123)),INDEX($E$9:$E$2008,$W123),VALUE(SUBSTITUTE(INDEX($E$9:$E$2008,$W123),",",""))),""))</f>
        <v/>
      </c>
      <c r="AD123" s="24">
        <f>IF($W123="","",IFERROR(IF(ISNUMBER(INDEX($F$9:$F$2008,$W123)),INDEX($F$9:$F$2008,$W123),VALUE(SUBSTITUTE(INDEX($F$9:$F$2008,$W123),",",""))),""))</f>
        <v/>
      </c>
      <c r="AE123" s="24">
        <f>IF($W123="","",IFERROR(IF(ISNUMBER(INDEX($G$9:$G$2008,$W123)),INDEX($G$9:$G$2008,$W123),VALUE(SUBSTITUTE(INDEX($G$9:$G$2008,$W123),",",""))),""))</f>
        <v/>
      </c>
      <c r="AF123" s="24">
        <f>IF($W123="","",IFERROR(IF(ISNUMBER(INDEX($H$9:$H$2008,$W123)),INDEX($H$9:$H$2008,$W123),VALUE(SUBSTITUTE(INDEX($H$9:$H$2008,$W123),",",""))),""))</f>
        <v/>
      </c>
      <c r="AG123" s="24">
        <f>IF($W123="","",IFERROR(IF(ISNUMBER(INDEX($I$9:$I$2008,$W123)),INDEX($I$9:$I$2008,$W123),VALUE(SUBSTITUTE(INDEX($I$9:$I$2008,$W123),",",""))),""))</f>
        <v/>
      </c>
      <c r="AH123" s="24">
        <f>IF($W123="","",IFERROR(IF(ISNUMBER(INDEX($J$9:$J$2008,$W123)),INDEX($J$9:$J$2008,$W123),VALUE(SUBSTITUTE(INDEX($J$9:$J$2008,$W123),",",""))),""))</f>
        <v/>
      </c>
      <c r="AI123" s="24">
        <f>IF($W123="","",IFERROR(IF(ISNUMBER(INDEX($K$9:$K$2008,$W123)),INDEX($K$9:$K$2008,$W123),VALUE(SUBSTITUTE(INDEX($K$9:$K$2008,$W123),",",""))),""))</f>
        <v/>
      </c>
      <c r="AJ123" s="25">
        <f>IF($W123="","",IFERROR(IF(ISNUMBER(INDEX($L$9:$L$2008,$W123)),INDEX($L$9:$L$2008,$W123),VALUE(SUBSTITUTE(INDEX($L$9:$L$2008,$W123),",",""))),""))</f>
        <v/>
      </c>
      <c r="AK123" s="25">
        <f>IF($W123="","",IFERROR(IF(ISNUMBER(INDEX($M$9:$M$2008,$W123)),INDEX($M$9:$M$2008,$W123),VALUE(SUBSTITUTE(INDEX($M$9:$M$2008,$W123),",",""))),""))</f>
        <v/>
      </c>
      <c r="AL123" s="26">
        <f>IF($W123="","",IFERROR(IF(ISNUMBER(INDEX($P$9:$P$2008,$W123)),INDEX($P$9:$P$2008,$W123),VALUE(SUBSTITUTE(INDEX($P$9:$P$2008,$W123),"%",""))/100),""))</f>
        <v/>
      </c>
    </row>
    <row r="124">
      <c r="S124">
        <f>IF(AND(ISTEXT($A124),ISNUMBER(SEARCH(" - ",$A124)),ISERROR(SEARCH("Folio",$A124)),$D124=""),TRIM($A124),$S123)</f>
        <v/>
      </c>
      <c r="T124">
        <f>IF(AND(ISNUMBER(SEARCH("Folio",$A124)),$D124&lt;&gt;""),1,"")</f>
        <v/>
      </c>
      <c r="U124">
        <f>IF($T124=1,COUNTIF($T$9:$T124,1),"")</f>
        <v/>
      </c>
      <c r="V124">
        <f>IF(AND(ISTEXT($A124),LEFT($A125,3)="Pan"),1,"")</f>
        <v/>
      </c>
      <c r="W124" s="21">
        <f>IFERROR(MATCH(116,$U$9:$U$2008,0),"")</f>
        <v/>
      </c>
      <c r="X124" s="27">
        <f>IF($W124="","",IF($R$5&lt;&gt;"",$R$5,$R$6))</f>
        <v/>
      </c>
      <c r="Y124" s="27">
        <f>IF($W124="","",INDEX($S$9:$S$2008,$W124))</f>
        <v/>
      </c>
      <c r="Z124" s="27">
        <f>IF($W124="","",IFERROR(TRIM(LEFT(SUBSTITUTE(INDEX($A$9:$A$2008,$W124),CHAR(10)," "),SEARCH("Folio",SUBSTITUTE(INDEX($A$9:$A$2008,$W124),CHAR(10)," "))-1)),TRIM(SUBSTITUTE(INDEX($A$9:$A$2008,$W124),CHAR(10)," "))))</f>
        <v/>
      </c>
      <c r="AA124" s="27">
        <f>IF($W124="","",IFERROR(TRIM(SUBSTITUTE(MID(SUBSTITUTE(INDEX($A$9:$A$2008,$W124),CHAR(10)," "),SEARCH("Folio",SUBSTITUTE(INDEX($A$9:$A$2008,$W124),CHAR(10)," "))+5,200),":","")),""))</f>
        <v/>
      </c>
      <c r="AB124" s="28">
        <f>IF($W124="","",IF(ISNUMBER(INDEX($D$9:$D$2008,$W124)),INDEX($D$9:$D$2008,$W124),IFERROR(DATE(2000+VALUE(RIGHT(INDEX($D$9:$D$2008,$W124),2)),VALUE(MID(INDEX($D$9:$D$2008,$W124),4,2)),VALUE(LEFT(INDEX($D$9:$D$2008,$W124),2))),"")))</f>
        <v/>
      </c>
      <c r="AC124" s="29">
        <f>IF($W124="","",IFERROR(IF(ISNUMBER(INDEX($E$9:$E$2008,$W124)),INDEX($E$9:$E$2008,$W124),VALUE(SUBSTITUTE(INDEX($E$9:$E$2008,$W124),",",""))),""))</f>
        <v/>
      </c>
      <c r="AD124" s="29">
        <f>IF($W124="","",IFERROR(IF(ISNUMBER(INDEX($F$9:$F$2008,$W124)),INDEX($F$9:$F$2008,$W124),VALUE(SUBSTITUTE(INDEX($F$9:$F$2008,$W124),",",""))),""))</f>
        <v/>
      </c>
      <c r="AE124" s="29">
        <f>IF($W124="","",IFERROR(IF(ISNUMBER(INDEX($G$9:$G$2008,$W124)),INDEX($G$9:$G$2008,$W124),VALUE(SUBSTITUTE(INDEX($G$9:$G$2008,$W124),",",""))),""))</f>
        <v/>
      </c>
      <c r="AF124" s="29">
        <f>IF($W124="","",IFERROR(IF(ISNUMBER(INDEX($H$9:$H$2008,$W124)),INDEX($H$9:$H$2008,$W124),VALUE(SUBSTITUTE(INDEX($H$9:$H$2008,$W124),",",""))),""))</f>
        <v/>
      </c>
      <c r="AG124" s="29">
        <f>IF($W124="","",IFERROR(IF(ISNUMBER(INDEX($I$9:$I$2008,$W124)),INDEX($I$9:$I$2008,$W124),VALUE(SUBSTITUTE(INDEX($I$9:$I$2008,$W124),",",""))),""))</f>
        <v/>
      </c>
      <c r="AH124" s="29">
        <f>IF($W124="","",IFERROR(IF(ISNUMBER(INDEX($J$9:$J$2008,$W124)),INDEX($J$9:$J$2008,$W124),VALUE(SUBSTITUTE(INDEX($J$9:$J$2008,$W124),",",""))),""))</f>
        <v/>
      </c>
      <c r="AI124" s="29">
        <f>IF($W124="","",IFERROR(IF(ISNUMBER(INDEX($K$9:$K$2008,$W124)),INDEX($K$9:$K$2008,$W124),VALUE(SUBSTITUTE(INDEX($K$9:$K$2008,$W124),",",""))),""))</f>
        <v/>
      </c>
      <c r="AJ124" s="30">
        <f>IF($W124="","",IFERROR(IF(ISNUMBER(INDEX($L$9:$L$2008,$W124)),INDEX($L$9:$L$2008,$W124),VALUE(SUBSTITUTE(INDEX($L$9:$L$2008,$W124),",",""))),""))</f>
        <v/>
      </c>
      <c r="AK124" s="30">
        <f>IF($W124="","",IFERROR(IF(ISNUMBER(INDEX($M$9:$M$2008,$W124)),INDEX($M$9:$M$2008,$W124),VALUE(SUBSTITUTE(INDEX($M$9:$M$2008,$W124),",",""))),""))</f>
        <v/>
      </c>
      <c r="AL124" s="31">
        <f>IF($W124="","",IFERROR(IF(ISNUMBER(INDEX($P$9:$P$2008,$W124)),INDEX($P$9:$P$2008,$W124),VALUE(SUBSTITUTE(INDEX($P$9:$P$2008,$W124),"%",""))/100),""))</f>
        <v/>
      </c>
    </row>
    <row r="125">
      <c r="S125">
        <f>IF(AND(ISTEXT($A125),ISNUMBER(SEARCH(" - ",$A125)),ISERROR(SEARCH("Folio",$A125)),$D125=""),TRIM($A125),$S124)</f>
        <v/>
      </c>
      <c r="T125">
        <f>IF(AND(ISNUMBER(SEARCH("Folio",$A125)),$D125&lt;&gt;""),1,"")</f>
        <v/>
      </c>
      <c r="U125">
        <f>IF($T125=1,COUNTIF($T$9:$T125,1),"")</f>
        <v/>
      </c>
      <c r="V125">
        <f>IF(AND(ISTEXT($A125),LEFT($A126,3)="Pan"),1,"")</f>
        <v/>
      </c>
      <c r="W125" s="21">
        <f>IFERROR(MATCH(117,$U$9:$U$2008,0),"")</f>
        <v/>
      </c>
      <c r="X125" s="22">
        <f>IF($W125="","",IF($R$5&lt;&gt;"",$R$5,$R$6))</f>
        <v/>
      </c>
      <c r="Y125" s="22">
        <f>IF($W125="","",INDEX($S$9:$S$2008,$W125))</f>
        <v/>
      </c>
      <c r="Z125" s="22">
        <f>IF($W125="","",IFERROR(TRIM(LEFT(SUBSTITUTE(INDEX($A$9:$A$2008,$W125),CHAR(10)," "),SEARCH("Folio",SUBSTITUTE(INDEX($A$9:$A$2008,$W125),CHAR(10)," "))-1)),TRIM(SUBSTITUTE(INDEX($A$9:$A$2008,$W125),CHAR(10)," "))))</f>
        <v/>
      </c>
      <c r="AA125" s="22">
        <f>IF($W125="","",IFERROR(TRIM(SUBSTITUTE(MID(SUBSTITUTE(INDEX($A$9:$A$2008,$W125),CHAR(10)," "),SEARCH("Folio",SUBSTITUTE(INDEX($A$9:$A$2008,$W125),CHAR(10)," "))+5,200),":","")),""))</f>
        <v/>
      </c>
      <c r="AB125" s="23">
        <f>IF($W125="","",IF(ISNUMBER(INDEX($D$9:$D$2008,$W125)),INDEX($D$9:$D$2008,$W125),IFERROR(DATE(2000+VALUE(RIGHT(INDEX($D$9:$D$2008,$W125),2)),VALUE(MID(INDEX($D$9:$D$2008,$W125),4,2)),VALUE(LEFT(INDEX($D$9:$D$2008,$W125),2))),"")))</f>
        <v/>
      </c>
      <c r="AC125" s="24">
        <f>IF($W125="","",IFERROR(IF(ISNUMBER(INDEX($E$9:$E$2008,$W125)),INDEX($E$9:$E$2008,$W125),VALUE(SUBSTITUTE(INDEX($E$9:$E$2008,$W125),",",""))),""))</f>
        <v/>
      </c>
      <c r="AD125" s="24">
        <f>IF($W125="","",IFERROR(IF(ISNUMBER(INDEX($F$9:$F$2008,$W125)),INDEX($F$9:$F$2008,$W125),VALUE(SUBSTITUTE(INDEX($F$9:$F$2008,$W125),",",""))),""))</f>
        <v/>
      </c>
      <c r="AE125" s="24">
        <f>IF($W125="","",IFERROR(IF(ISNUMBER(INDEX($G$9:$G$2008,$W125)),INDEX($G$9:$G$2008,$W125),VALUE(SUBSTITUTE(INDEX($G$9:$G$2008,$W125),",",""))),""))</f>
        <v/>
      </c>
      <c r="AF125" s="24">
        <f>IF($W125="","",IFERROR(IF(ISNUMBER(INDEX($H$9:$H$2008,$W125)),INDEX($H$9:$H$2008,$W125),VALUE(SUBSTITUTE(INDEX($H$9:$H$2008,$W125),",",""))),""))</f>
        <v/>
      </c>
      <c r="AG125" s="24">
        <f>IF($W125="","",IFERROR(IF(ISNUMBER(INDEX($I$9:$I$2008,$W125)),INDEX($I$9:$I$2008,$W125),VALUE(SUBSTITUTE(INDEX($I$9:$I$2008,$W125),",",""))),""))</f>
        <v/>
      </c>
      <c r="AH125" s="24">
        <f>IF($W125="","",IFERROR(IF(ISNUMBER(INDEX($J$9:$J$2008,$W125)),INDEX($J$9:$J$2008,$W125),VALUE(SUBSTITUTE(INDEX($J$9:$J$2008,$W125),",",""))),""))</f>
        <v/>
      </c>
      <c r="AI125" s="24">
        <f>IF($W125="","",IFERROR(IF(ISNUMBER(INDEX($K$9:$K$2008,$W125)),INDEX($K$9:$K$2008,$W125),VALUE(SUBSTITUTE(INDEX($K$9:$K$2008,$W125),",",""))),""))</f>
        <v/>
      </c>
      <c r="AJ125" s="25">
        <f>IF($W125="","",IFERROR(IF(ISNUMBER(INDEX($L$9:$L$2008,$W125)),INDEX($L$9:$L$2008,$W125),VALUE(SUBSTITUTE(INDEX($L$9:$L$2008,$W125),",",""))),""))</f>
        <v/>
      </c>
      <c r="AK125" s="25">
        <f>IF($W125="","",IFERROR(IF(ISNUMBER(INDEX($M$9:$M$2008,$W125)),INDEX($M$9:$M$2008,$W125),VALUE(SUBSTITUTE(INDEX($M$9:$M$2008,$W125),",",""))),""))</f>
        <v/>
      </c>
      <c r="AL125" s="26">
        <f>IF($W125="","",IFERROR(IF(ISNUMBER(INDEX($P$9:$P$2008,$W125)),INDEX($P$9:$P$2008,$W125),VALUE(SUBSTITUTE(INDEX($P$9:$P$2008,$W125),"%",""))/100),""))</f>
        <v/>
      </c>
    </row>
    <row r="126">
      <c r="S126">
        <f>IF(AND(ISTEXT($A126),ISNUMBER(SEARCH(" - ",$A126)),ISERROR(SEARCH("Folio",$A126)),$D126=""),TRIM($A126),$S125)</f>
        <v/>
      </c>
      <c r="T126">
        <f>IF(AND(ISNUMBER(SEARCH("Folio",$A126)),$D126&lt;&gt;""),1,"")</f>
        <v/>
      </c>
      <c r="U126">
        <f>IF($T126=1,COUNTIF($T$9:$T126,1),"")</f>
        <v/>
      </c>
      <c r="V126">
        <f>IF(AND(ISTEXT($A126),LEFT($A127,3)="Pan"),1,"")</f>
        <v/>
      </c>
      <c r="W126" s="21">
        <f>IFERROR(MATCH(118,$U$9:$U$2008,0),"")</f>
        <v/>
      </c>
      <c r="X126" s="27">
        <f>IF($W126="","",IF($R$5&lt;&gt;"",$R$5,$R$6))</f>
        <v/>
      </c>
      <c r="Y126" s="27">
        <f>IF($W126="","",INDEX($S$9:$S$2008,$W126))</f>
        <v/>
      </c>
      <c r="Z126" s="27">
        <f>IF($W126="","",IFERROR(TRIM(LEFT(SUBSTITUTE(INDEX($A$9:$A$2008,$W126),CHAR(10)," "),SEARCH("Folio",SUBSTITUTE(INDEX($A$9:$A$2008,$W126),CHAR(10)," "))-1)),TRIM(SUBSTITUTE(INDEX($A$9:$A$2008,$W126),CHAR(10)," "))))</f>
        <v/>
      </c>
      <c r="AA126" s="27">
        <f>IF($W126="","",IFERROR(TRIM(SUBSTITUTE(MID(SUBSTITUTE(INDEX($A$9:$A$2008,$W126),CHAR(10)," "),SEARCH("Folio",SUBSTITUTE(INDEX($A$9:$A$2008,$W126),CHAR(10)," "))+5,200),":","")),""))</f>
        <v/>
      </c>
      <c r="AB126" s="28">
        <f>IF($W126="","",IF(ISNUMBER(INDEX($D$9:$D$2008,$W126)),INDEX($D$9:$D$2008,$W126),IFERROR(DATE(2000+VALUE(RIGHT(INDEX($D$9:$D$2008,$W126),2)),VALUE(MID(INDEX($D$9:$D$2008,$W126),4,2)),VALUE(LEFT(INDEX($D$9:$D$2008,$W126),2))),"")))</f>
        <v/>
      </c>
      <c r="AC126" s="29">
        <f>IF($W126="","",IFERROR(IF(ISNUMBER(INDEX($E$9:$E$2008,$W126)),INDEX($E$9:$E$2008,$W126),VALUE(SUBSTITUTE(INDEX($E$9:$E$2008,$W126),",",""))),""))</f>
        <v/>
      </c>
      <c r="AD126" s="29">
        <f>IF($W126="","",IFERROR(IF(ISNUMBER(INDEX($F$9:$F$2008,$W126)),INDEX($F$9:$F$2008,$W126),VALUE(SUBSTITUTE(INDEX($F$9:$F$2008,$W126),",",""))),""))</f>
        <v/>
      </c>
      <c r="AE126" s="29">
        <f>IF($W126="","",IFERROR(IF(ISNUMBER(INDEX($G$9:$G$2008,$W126)),INDEX($G$9:$G$2008,$W126),VALUE(SUBSTITUTE(INDEX($G$9:$G$2008,$W126),",",""))),""))</f>
        <v/>
      </c>
      <c r="AF126" s="29">
        <f>IF($W126="","",IFERROR(IF(ISNUMBER(INDEX($H$9:$H$2008,$W126)),INDEX($H$9:$H$2008,$W126),VALUE(SUBSTITUTE(INDEX($H$9:$H$2008,$W126),",",""))),""))</f>
        <v/>
      </c>
      <c r="AG126" s="29">
        <f>IF($W126="","",IFERROR(IF(ISNUMBER(INDEX($I$9:$I$2008,$W126)),INDEX($I$9:$I$2008,$W126),VALUE(SUBSTITUTE(INDEX($I$9:$I$2008,$W126),",",""))),""))</f>
        <v/>
      </c>
      <c r="AH126" s="29">
        <f>IF($W126="","",IFERROR(IF(ISNUMBER(INDEX($J$9:$J$2008,$W126)),INDEX($J$9:$J$2008,$W126),VALUE(SUBSTITUTE(INDEX($J$9:$J$2008,$W126),",",""))),""))</f>
        <v/>
      </c>
      <c r="AI126" s="29">
        <f>IF($W126="","",IFERROR(IF(ISNUMBER(INDEX($K$9:$K$2008,$W126)),INDEX($K$9:$K$2008,$W126),VALUE(SUBSTITUTE(INDEX($K$9:$K$2008,$W126),",",""))),""))</f>
        <v/>
      </c>
      <c r="AJ126" s="30">
        <f>IF($W126="","",IFERROR(IF(ISNUMBER(INDEX($L$9:$L$2008,$W126)),INDEX($L$9:$L$2008,$W126),VALUE(SUBSTITUTE(INDEX($L$9:$L$2008,$W126),",",""))),""))</f>
        <v/>
      </c>
      <c r="AK126" s="30">
        <f>IF($W126="","",IFERROR(IF(ISNUMBER(INDEX($M$9:$M$2008,$W126)),INDEX($M$9:$M$2008,$W126),VALUE(SUBSTITUTE(INDEX($M$9:$M$2008,$W126),",",""))),""))</f>
        <v/>
      </c>
      <c r="AL126" s="31">
        <f>IF($W126="","",IFERROR(IF(ISNUMBER(INDEX($P$9:$P$2008,$W126)),INDEX($P$9:$P$2008,$W126),VALUE(SUBSTITUTE(INDEX($P$9:$P$2008,$W126),"%",""))/100),""))</f>
        <v/>
      </c>
    </row>
    <row r="127">
      <c r="S127">
        <f>IF(AND(ISTEXT($A127),ISNUMBER(SEARCH(" - ",$A127)),ISERROR(SEARCH("Folio",$A127)),$D127=""),TRIM($A127),$S126)</f>
        <v/>
      </c>
      <c r="T127">
        <f>IF(AND(ISNUMBER(SEARCH("Folio",$A127)),$D127&lt;&gt;""),1,"")</f>
        <v/>
      </c>
      <c r="U127">
        <f>IF($T127=1,COUNTIF($T$9:$T127,1),"")</f>
        <v/>
      </c>
      <c r="V127">
        <f>IF(AND(ISTEXT($A127),LEFT($A128,3)="Pan"),1,"")</f>
        <v/>
      </c>
      <c r="W127" s="21">
        <f>IFERROR(MATCH(119,$U$9:$U$2008,0),"")</f>
        <v/>
      </c>
      <c r="X127" s="22">
        <f>IF($W127="","",IF($R$5&lt;&gt;"",$R$5,$R$6))</f>
        <v/>
      </c>
      <c r="Y127" s="22">
        <f>IF($W127="","",INDEX($S$9:$S$2008,$W127))</f>
        <v/>
      </c>
      <c r="Z127" s="22">
        <f>IF($W127="","",IFERROR(TRIM(LEFT(SUBSTITUTE(INDEX($A$9:$A$2008,$W127),CHAR(10)," "),SEARCH("Folio",SUBSTITUTE(INDEX($A$9:$A$2008,$W127),CHAR(10)," "))-1)),TRIM(SUBSTITUTE(INDEX($A$9:$A$2008,$W127),CHAR(10)," "))))</f>
        <v/>
      </c>
      <c r="AA127" s="22">
        <f>IF($W127="","",IFERROR(TRIM(SUBSTITUTE(MID(SUBSTITUTE(INDEX($A$9:$A$2008,$W127),CHAR(10)," "),SEARCH("Folio",SUBSTITUTE(INDEX($A$9:$A$2008,$W127),CHAR(10)," "))+5,200),":","")),""))</f>
        <v/>
      </c>
      <c r="AB127" s="23">
        <f>IF($W127="","",IF(ISNUMBER(INDEX($D$9:$D$2008,$W127)),INDEX($D$9:$D$2008,$W127),IFERROR(DATE(2000+VALUE(RIGHT(INDEX($D$9:$D$2008,$W127),2)),VALUE(MID(INDEX($D$9:$D$2008,$W127),4,2)),VALUE(LEFT(INDEX($D$9:$D$2008,$W127),2))),"")))</f>
        <v/>
      </c>
      <c r="AC127" s="24">
        <f>IF($W127="","",IFERROR(IF(ISNUMBER(INDEX($E$9:$E$2008,$W127)),INDEX($E$9:$E$2008,$W127),VALUE(SUBSTITUTE(INDEX($E$9:$E$2008,$W127),",",""))),""))</f>
        <v/>
      </c>
      <c r="AD127" s="24">
        <f>IF($W127="","",IFERROR(IF(ISNUMBER(INDEX($F$9:$F$2008,$W127)),INDEX($F$9:$F$2008,$W127),VALUE(SUBSTITUTE(INDEX($F$9:$F$2008,$W127),",",""))),""))</f>
        <v/>
      </c>
      <c r="AE127" s="24">
        <f>IF($W127="","",IFERROR(IF(ISNUMBER(INDEX($G$9:$G$2008,$W127)),INDEX($G$9:$G$2008,$W127),VALUE(SUBSTITUTE(INDEX($G$9:$G$2008,$W127),",",""))),""))</f>
        <v/>
      </c>
      <c r="AF127" s="24">
        <f>IF($W127="","",IFERROR(IF(ISNUMBER(INDEX($H$9:$H$2008,$W127)),INDEX($H$9:$H$2008,$W127),VALUE(SUBSTITUTE(INDEX($H$9:$H$2008,$W127),",",""))),""))</f>
        <v/>
      </c>
      <c r="AG127" s="24">
        <f>IF($W127="","",IFERROR(IF(ISNUMBER(INDEX($I$9:$I$2008,$W127)),INDEX($I$9:$I$2008,$W127),VALUE(SUBSTITUTE(INDEX($I$9:$I$2008,$W127),",",""))),""))</f>
        <v/>
      </c>
      <c r="AH127" s="24">
        <f>IF($W127="","",IFERROR(IF(ISNUMBER(INDEX($J$9:$J$2008,$W127)),INDEX($J$9:$J$2008,$W127),VALUE(SUBSTITUTE(INDEX($J$9:$J$2008,$W127),",",""))),""))</f>
        <v/>
      </c>
      <c r="AI127" s="24">
        <f>IF($W127="","",IFERROR(IF(ISNUMBER(INDEX($K$9:$K$2008,$W127)),INDEX($K$9:$K$2008,$W127),VALUE(SUBSTITUTE(INDEX($K$9:$K$2008,$W127),",",""))),""))</f>
        <v/>
      </c>
      <c r="AJ127" s="25">
        <f>IF($W127="","",IFERROR(IF(ISNUMBER(INDEX($L$9:$L$2008,$W127)),INDEX($L$9:$L$2008,$W127),VALUE(SUBSTITUTE(INDEX($L$9:$L$2008,$W127),",",""))),""))</f>
        <v/>
      </c>
      <c r="AK127" s="25">
        <f>IF($W127="","",IFERROR(IF(ISNUMBER(INDEX($M$9:$M$2008,$W127)),INDEX($M$9:$M$2008,$W127),VALUE(SUBSTITUTE(INDEX($M$9:$M$2008,$W127),",",""))),""))</f>
        <v/>
      </c>
      <c r="AL127" s="26">
        <f>IF($W127="","",IFERROR(IF(ISNUMBER(INDEX($P$9:$P$2008,$W127)),INDEX($P$9:$P$2008,$W127),VALUE(SUBSTITUTE(INDEX($P$9:$P$2008,$W127),"%",""))/100),""))</f>
        <v/>
      </c>
    </row>
    <row r="128">
      <c r="S128">
        <f>IF(AND(ISTEXT($A128),ISNUMBER(SEARCH(" - ",$A128)),ISERROR(SEARCH("Folio",$A128)),$D128=""),TRIM($A128),$S127)</f>
        <v/>
      </c>
      <c r="T128">
        <f>IF(AND(ISNUMBER(SEARCH("Folio",$A128)),$D128&lt;&gt;""),1,"")</f>
        <v/>
      </c>
      <c r="U128">
        <f>IF($T128=1,COUNTIF($T$9:$T128,1),"")</f>
        <v/>
      </c>
      <c r="V128">
        <f>IF(AND(ISTEXT($A128),LEFT($A129,3)="Pan"),1,"")</f>
        <v/>
      </c>
      <c r="W128" s="21">
        <f>IFERROR(MATCH(120,$U$9:$U$2008,0),"")</f>
        <v/>
      </c>
      <c r="X128" s="27">
        <f>IF($W128="","",IF($R$5&lt;&gt;"",$R$5,$R$6))</f>
        <v/>
      </c>
      <c r="Y128" s="27">
        <f>IF($W128="","",INDEX($S$9:$S$2008,$W128))</f>
        <v/>
      </c>
      <c r="Z128" s="27">
        <f>IF($W128="","",IFERROR(TRIM(LEFT(SUBSTITUTE(INDEX($A$9:$A$2008,$W128),CHAR(10)," "),SEARCH("Folio",SUBSTITUTE(INDEX($A$9:$A$2008,$W128),CHAR(10)," "))-1)),TRIM(SUBSTITUTE(INDEX($A$9:$A$2008,$W128),CHAR(10)," "))))</f>
        <v/>
      </c>
      <c r="AA128" s="27">
        <f>IF($W128="","",IFERROR(TRIM(SUBSTITUTE(MID(SUBSTITUTE(INDEX($A$9:$A$2008,$W128),CHAR(10)," "),SEARCH("Folio",SUBSTITUTE(INDEX($A$9:$A$2008,$W128),CHAR(10)," "))+5,200),":","")),""))</f>
        <v/>
      </c>
      <c r="AB128" s="28">
        <f>IF($W128="","",IF(ISNUMBER(INDEX($D$9:$D$2008,$W128)),INDEX($D$9:$D$2008,$W128),IFERROR(DATE(2000+VALUE(RIGHT(INDEX($D$9:$D$2008,$W128),2)),VALUE(MID(INDEX($D$9:$D$2008,$W128),4,2)),VALUE(LEFT(INDEX($D$9:$D$2008,$W128),2))),"")))</f>
        <v/>
      </c>
      <c r="AC128" s="29">
        <f>IF($W128="","",IFERROR(IF(ISNUMBER(INDEX($E$9:$E$2008,$W128)),INDEX($E$9:$E$2008,$W128),VALUE(SUBSTITUTE(INDEX($E$9:$E$2008,$W128),",",""))),""))</f>
        <v/>
      </c>
      <c r="AD128" s="29">
        <f>IF($W128="","",IFERROR(IF(ISNUMBER(INDEX($F$9:$F$2008,$W128)),INDEX($F$9:$F$2008,$W128),VALUE(SUBSTITUTE(INDEX($F$9:$F$2008,$W128),",",""))),""))</f>
        <v/>
      </c>
      <c r="AE128" s="29">
        <f>IF($W128="","",IFERROR(IF(ISNUMBER(INDEX($G$9:$G$2008,$W128)),INDEX($G$9:$G$2008,$W128),VALUE(SUBSTITUTE(INDEX($G$9:$G$2008,$W128),",",""))),""))</f>
        <v/>
      </c>
      <c r="AF128" s="29">
        <f>IF($W128="","",IFERROR(IF(ISNUMBER(INDEX($H$9:$H$2008,$W128)),INDEX($H$9:$H$2008,$W128),VALUE(SUBSTITUTE(INDEX($H$9:$H$2008,$W128),",",""))),""))</f>
        <v/>
      </c>
      <c r="AG128" s="29">
        <f>IF($W128="","",IFERROR(IF(ISNUMBER(INDEX($I$9:$I$2008,$W128)),INDEX($I$9:$I$2008,$W128),VALUE(SUBSTITUTE(INDEX($I$9:$I$2008,$W128),",",""))),""))</f>
        <v/>
      </c>
      <c r="AH128" s="29">
        <f>IF($W128="","",IFERROR(IF(ISNUMBER(INDEX($J$9:$J$2008,$W128)),INDEX($J$9:$J$2008,$W128),VALUE(SUBSTITUTE(INDEX($J$9:$J$2008,$W128),",",""))),""))</f>
        <v/>
      </c>
      <c r="AI128" s="29">
        <f>IF($W128="","",IFERROR(IF(ISNUMBER(INDEX($K$9:$K$2008,$W128)),INDEX($K$9:$K$2008,$W128),VALUE(SUBSTITUTE(INDEX($K$9:$K$2008,$W128),",",""))),""))</f>
        <v/>
      </c>
      <c r="AJ128" s="30">
        <f>IF($W128="","",IFERROR(IF(ISNUMBER(INDEX($L$9:$L$2008,$W128)),INDEX($L$9:$L$2008,$W128),VALUE(SUBSTITUTE(INDEX($L$9:$L$2008,$W128),",",""))),""))</f>
        <v/>
      </c>
      <c r="AK128" s="30">
        <f>IF($W128="","",IFERROR(IF(ISNUMBER(INDEX($M$9:$M$2008,$W128)),INDEX($M$9:$M$2008,$W128),VALUE(SUBSTITUTE(INDEX($M$9:$M$2008,$W128),",",""))),""))</f>
        <v/>
      </c>
      <c r="AL128" s="31">
        <f>IF($W128="","",IFERROR(IF(ISNUMBER(INDEX($P$9:$P$2008,$W128)),INDEX($P$9:$P$2008,$W128),VALUE(SUBSTITUTE(INDEX($P$9:$P$2008,$W128),"%",""))/100),""))</f>
        <v/>
      </c>
    </row>
    <row r="129">
      <c r="S129">
        <f>IF(AND(ISTEXT($A129),ISNUMBER(SEARCH(" - ",$A129)),ISERROR(SEARCH("Folio",$A129)),$D129=""),TRIM($A129),$S128)</f>
        <v/>
      </c>
      <c r="T129">
        <f>IF(AND(ISNUMBER(SEARCH("Folio",$A129)),$D129&lt;&gt;""),1,"")</f>
        <v/>
      </c>
      <c r="U129">
        <f>IF($T129=1,COUNTIF($T$9:$T129,1),"")</f>
        <v/>
      </c>
      <c r="V129">
        <f>IF(AND(ISTEXT($A129),LEFT($A130,3)="Pan"),1,"")</f>
        <v/>
      </c>
      <c r="W129" s="21">
        <f>IFERROR(MATCH(121,$U$9:$U$2008,0),"")</f>
        <v/>
      </c>
      <c r="X129" s="22">
        <f>IF($W129="","",IF($R$5&lt;&gt;"",$R$5,$R$6))</f>
        <v/>
      </c>
      <c r="Y129" s="22">
        <f>IF($W129="","",INDEX($S$9:$S$2008,$W129))</f>
        <v/>
      </c>
      <c r="Z129" s="22">
        <f>IF($W129="","",IFERROR(TRIM(LEFT(SUBSTITUTE(INDEX($A$9:$A$2008,$W129),CHAR(10)," "),SEARCH("Folio",SUBSTITUTE(INDEX($A$9:$A$2008,$W129),CHAR(10)," "))-1)),TRIM(SUBSTITUTE(INDEX($A$9:$A$2008,$W129),CHAR(10)," "))))</f>
        <v/>
      </c>
      <c r="AA129" s="22">
        <f>IF($W129="","",IFERROR(TRIM(SUBSTITUTE(MID(SUBSTITUTE(INDEX($A$9:$A$2008,$W129),CHAR(10)," "),SEARCH("Folio",SUBSTITUTE(INDEX($A$9:$A$2008,$W129),CHAR(10)," "))+5,200),":","")),""))</f>
        <v/>
      </c>
      <c r="AB129" s="23">
        <f>IF($W129="","",IF(ISNUMBER(INDEX($D$9:$D$2008,$W129)),INDEX($D$9:$D$2008,$W129),IFERROR(DATE(2000+VALUE(RIGHT(INDEX($D$9:$D$2008,$W129),2)),VALUE(MID(INDEX($D$9:$D$2008,$W129),4,2)),VALUE(LEFT(INDEX($D$9:$D$2008,$W129),2))),"")))</f>
        <v/>
      </c>
      <c r="AC129" s="24">
        <f>IF($W129="","",IFERROR(IF(ISNUMBER(INDEX($E$9:$E$2008,$W129)),INDEX($E$9:$E$2008,$W129),VALUE(SUBSTITUTE(INDEX($E$9:$E$2008,$W129),",",""))),""))</f>
        <v/>
      </c>
      <c r="AD129" s="24">
        <f>IF($W129="","",IFERROR(IF(ISNUMBER(INDEX($F$9:$F$2008,$W129)),INDEX($F$9:$F$2008,$W129),VALUE(SUBSTITUTE(INDEX($F$9:$F$2008,$W129),",",""))),""))</f>
        <v/>
      </c>
      <c r="AE129" s="24">
        <f>IF($W129="","",IFERROR(IF(ISNUMBER(INDEX($G$9:$G$2008,$W129)),INDEX($G$9:$G$2008,$W129),VALUE(SUBSTITUTE(INDEX($G$9:$G$2008,$W129),",",""))),""))</f>
        <v/>
      </c>
      <c r="AF129" s="24">
        <f>IF($W129="","",IFERROR(IF(ISNUMBER(INDEX($H$9:$H$2008,$W129)),INDEX($H$9:$H$2008,$W129),VALUE(SUBSTITUTE(INDEX($H$9:$H$2008,$W129),",",""))),""))</f>
        <v/>
      </c>
      <c r="AG129" s="24">
        <f>IF($W129="","",IFERROR(IF(ISNUMBER(INDEX($I$9:$I$2008,$W129)),INDEX($I$9:$I$2008,$W129),VALUE(SUBSTITUTE(INDEX($I$9:$I$2008,$W129),",",""))),""))</f>
        <v/>
      </c>
      <c r="AH129" s="24">
        <f>IF($W129="","",IFERROR(IF(ISNUMBER(INDEX($J$9:$J$2008,$W129)),INDEX($J$9:$J$2008,$W129),VALUE(SUBSTITUTE(INDEX($J$9:$J$2008,$W129),",",""))),""))</f>
        <v/>
      </c>
      <c r="AI129" s="24">
        <f>IF($W129="","",IFERROR(IF(ISNUMBER(INDEX($K$9:$K$2008,$W129)),INDEX($K$9:$K$2008,$W129),VALUE(SUBSTITUTE(INDEX($K$9:$K$2008,$W129),",",""))),""))</f>
        <v/>
      </c>
      <c r="AJ129" s="25">
        <f>IF($W129="","",IFERROR(IF(ISNUMBER(INDEX($L$9:$L$2008,$W129)),INDEX($L$9:$L$2008,$W129),VALUE(SUBSTITUTE(INDEX($L$9:$L$2008,$W129),",",""))),""))</f>
        <v/>
      </c>
      <c r="AK129" s="25">
        <f>IF($W129="","",IFERROR(IF(ISNUMBER(INDEX($M$9:$M$2008,$W129)),INDEX($M$9:$M$2008,$W129),VALUE(SUBSTITUTE(INDEX($M$9:$M$2008,$W129),",",""))),""))</f>
        <v/>
      </c>
      <c r="AL129" s="26">
        <f>IF($W129="","",IFERROR(IF(ISNUMBER(INDEX($P$9:$P$2008,$W129)),INDEX($P$9:$P$2008,$W129),VALUE(SUBSTITUTE(INDEX($P$9:$P$2008,$W129),"%",""))/100),""))</f>
        <v/>
      </c>
    </row>
    <row r="130">
      <c r="S130">
        <f>IF(AND(ISTEXT($A130),ISNUMBER(SEARCH(" - ",$A130)),ISERROR(SEARCH("Folio",$A130)),$D130=""),TRIM($A130),$S129)</f>
        <v/>
      </c>
      <c r="T130">
        <f>IF(AND(ISNUMBER(SEARCH("Folio",$A130)),$D130&lt;&gt;""),1,"")</f>
        <v/>
      </c>
      <c r="U130">
        <f>IF($T130=1,COUNTIF($T$9:$T130,1),"")</f>
        <v/>
      </c>
      <c r="V130">
        <f>IF(AND(ISTEXT($A130),LEFT($A131,3)="Pan"),1,"")</f>
        <v/>
      </c>
      <c r="W130" s="21">
        <f>IFERROR(MATCH(122,$U$9:$U$2008,0),"")</f>
        <v/>
      </c>
      <c r="X130" s="27">
        <f>IF($W130="","",IF($R$5&lt;&gt;"",$R$5,$R$6))</f>
        <v/>
      </c>
      <c r="Y130" s="27">
        <f>IF($W130="","",INDEX($S$9:$S$2008,$W130))</f>
        <v/>
      </c>
      <c r="Z130" s="27">
        <f>IF($W130="","",IFERROR(TRIM(LEFT(SUBSTITUTE(INDEX($A$9:$A$2008,$W130),CHAR(10)," "),SEARCH("Folio",SUBSTITUTE(INDEX($A$9:$A$2008,$W130),CHAR(10)," "))-1)),TRIM(SUBSTITUTE(INDEX($A$9:$A$2008,$W130),CHAR(10)," "))))</f>
        <v/>
      </c>
      <c r="AA130" s="27">
        <f>IF($W130="","",IFERROR(TRIM(SUBSTITUTE(MID(SUBSTITUTE(INDEX($A$9:$A$2008,$W130),CHAR(10)," "),SEARCH("Folio",SUBSTITUTE(INDEX($A$9:$A$2008,$W130),CHAR(10)," "))+5,200),":","")),""))</f>
        <v/>
      </c>
      <c r="AB130" s="28">
        <f>IF($W130="","",IF(ISNUMBER(INDEX($D$9:$D$2008,$W130)),INDEX($D$9:$D$2008,$W130),IFERROR(DATE(2000+VALUE(RIGHT(INDEX($D$9:$D$2008,$W130),2)),VALUE(MID(INDEX($D$9:$D$2008,$W130),4,2)),VALUE(LEFT(INDEX($D$9:$D$2008,$W130),2))),"")))</f>
        <v/>
      </c>
      <c r="AC130" s="29">
        <f>IF($W130="","",IFERROR(IF(ISNUMBER(INDEX($E$9:$E$2008,$W130)),INDEX($E$9:$E$2008,$W130),VALUE(SUBSTITUTE(INDEX($E$9:$E$2008,$W130),",",""))),""))</f>
        <v/>
      </c>
      <c r="AD130" s="29">
        <f>IF($W130="","",IFERROR(IF(ISNUMBER(INDEX($F$9:$F$2008,$W130)),INDEX($F$9:$F$2008,$W130),VALUE(SUBSTITUTE(INDEX($F$9:$F$2008,$W130),",",""))),""))</f>
        <v/>
      </c>
      <c r="AE130" s="29">
        <f>IF($W130="","",IFERROR(IF(ISNUMBER(INDEX($G$9:$G$2008,$W130)),INDEX($G$9:$G$2008,$W130),VALUE(SUBSTITUTE(INDEX($G$9:$G$2008,$W130),",",""))),""))</f>
        <v/>
      </c>
      <c r="AF130" s="29">
        <f>IF($W130="","",IFERROR(IF(ISNUMBER(INDEX($H$9:$H$2008,$W130)),INDEX($H$9:$H$2008,$W130),VALUE(SUBSTITUTE(INDEX($H$9:$H$2008,$W130),",",""))),""))</f>
        <v/>
      </c>
      <c r="AG130" s="29">
        <f>IF($W130="","",IFERROR(IF(ISNUMBER(INDEX($I$9:$I$2008,$W130)),INDEX($I$9:$I$2008,$W130),VALUE(SUBSTITUTE(INDEX($I$9:$I$2008,$W130),",",""))),""))</f>
        <v/>
      </c>
      <c r="AH130" s="29">
        <f>IF($W130="","",IFERROR(IF(ISNUMBER(INDEX($J$9:$J$2008,$W130)),INDEX($J$9:$J$2008,$W130),VALUE(SUBSTITUTE(INDEX($J$9:$J$2008,$W130),",",""))),""))</f>
        <v/>
      </c>
      <c r="AI130" s="29">
        <f>IF($W130="","",IFERROR(IF(ISNUMBER(INDEX($K$9:$K$2008,$W130)),INDEX($K$9:$K$2008,$W130),VALUE(SUBSTITUTE(INDEX($K$9:$K$2008,$W130),",",""))),""))</f>
        <v/>
      </c>
      <c r="AJ130" s="30">
        <f>IF($W130="","",IFERROR(IF(ISNUMBER(INDEX($L$9:$L$2008,$W130)),INDEX($L$9:$L$2008,$W130),VALUE(SUBSTITUTE(INDEX($L$9:$L$2008,$W130),",",""))),""))</f>
        <v/>
      </c>
      <c r="AK130" s="30">
        <f>IF($W130="","",IFERROR(IF(ISNUMBER(INDEX($M$9:$M$2008,$W130)),INDEX($M$9:$M$2008,$W130),VALUE(SUBSTITUTE(INDEX($M$9:$M$2008,$W130),",",""))),""))</f>
        <v/>
      </c>
      <c r="AL130" s="31">
        <f>IF($W130="","",IFERROR(IF(ISNUMBER(INDEX($P$9:$P$2008,$W130)),INDEX($P$9:$P$2008,$W130),VALUE(SUBSTITUTE(INDEX($P$9:$P$2008,$W130),"%",""))/100),""))</f>
        <v/>
      </c>
    </row>
    <row r="131">
      <c r="S131">
        <f>IF(AND(ISTEXT($A131),ISNUMBER(SEARCH(" - ",$A131)),ISERROR(SEARCH("Folio",$A131)),$D131=""),TRIM($A131),$S130)</f>
        <v/>
      </c>
      <c r="T131">
        <f>IF(AND(ISNUMBER(SEARCH("Folio",$A131)),$D131&lt;&gt;""),1,"")</f>
        <v/>
      </c>
      <c r="U131">
        <f>IF($T131=1,COUNTIF($T$9:$T131,1),"")</f>
        <v/>
      </c>
      <c r="V131">
        <f>IF(AND(ISTEXT($A131),LEFT($A132,3)="Pan"),1,"")</f>
        <v/>
      </c>
      <c r="W131" s="21">
        <f>IFERROR(MATCH(123,$U$9:$U$2008,0),"")</f>
        <v/>
      </c>
      <c r="X131" s="22">
        <f>IF($W131="","",IF($R$5&lt;&gt;"",$R$5,$R$6))</f>
        <v/>
      </c>
      <c r="Y131" s="22">
        <f>IF($W131="","",INDEX($S$9:$S$2008,$W131))</f>
        <v/>
      </c>
      <c r="Z131" s="22">
        <f>IF($W131="","",IFERROR(TRIM(LEFT(SUBSTITUTE(INDEX($A$9:$A$2008,$W131),CHAR(10)," "),SEARCH("Folio",SUBSTITUTE(INDEX($A$9:$A$2008,$W131),CHAR(10)," "))-1)),TRIM(SUBSTITUTE(INDEX($A$9:$A$2008,$W131),CHAR(10)," "))))</f>
        <v/>
      </c>
      <c r="AA131" s="22">
        <f>IF($W131="","",IFERROR(TRIM(SUBSTITUTE(MID(SUBSTITUTE(INDEX($A$9:$A$2008,$W131),CHAR(10)," "),SEARCH("Folio",SUBSTITUTE(INDEX($A$9:$A$2008,$W131),CHAR(10)," "))+5,200),":","")),""))</f>
        <v/>
      </c>
      <c r="AB131" s="23">
        <f>IF($W131="","",IF(ISNUMBER(INDEX($D$9:$D$2008,$W131)),INDEX($D$9:$D$2008,$W131),IFERROR(DATE(2000+VALUE(RIGHT(INDEX($D$9:$D$2008,$W131),2)),VALUE(MID(INDEX($D$9:$D$2008,$W131),4,2)),VALUE(LEFT(INDEX($D$9:$D$2008,$W131),2))),"")))</f>
        <v/>
      </c>
      <c r="AC131" s="24">
        <f>IF($W131="","",IFERROR(IF(ISNUMBER(INDEX($E$9:$E$2008,$W131)),INDEX($E$9:$E$2008,$W131),VALUE(SUBSTITUTE(INDEX($E$9:$E$2008,$W131),",",""))),""))</f>
        <v/>
      </c>
      <c r="AD131" s="24">
        <f>IF($W131="","",IFERROR(IF(ISNUMBER(INDEX($F$9:$F$2008,$W131)),INDEX($F$9:$F$2008,$W131),VALUE(SUBSTITUTE(INDEX($F$9:$F$2008,$W131),",",""))),""))</f>
        <v/>
      </c>
      <c r="AE131" s="24">
        <f>IF($W131="","",IFERROR(IF(ISNUMBER(INDEX($G$9:$G$2008,$W131)),INDEX($G$9:$G$2008,$W131),VALUE(SUBSTITUTE(INDEX($G$9:$G$2008,$W131),",",""))),""))</f>
        <v/>
      </c>
      <c r="AF131" s="24">
        <f>IF($W131="","",IFERROR(IF(ISNUMBER(INDEX($H$9:$H$2008,$W131)),INDEX($H$9:$H$2008,$W131),VALUE(SUBSTITUTE(INDEX($H$9:$H$2008,$W131),",",""))),""))</f>
        <v/>
      </c>
      <c r="AG131" s="24">
        <f>IF($W131="","",IFERROR(IF(ISNUMBER(INDEX($I$9:$I$2008,$W131)),INDEX($I$9:$I$2008,$W131),VALUE(SUBSTITUTE(INDEX($I$9:$I$2008,$W131),",",""))),""))</f>
        <v/>
      </c>
      <c r="AH131" s="24">
        <f>IF($W131="","",IFERROR(IF(ISNUMBER(INDEX($J$9:$J$2008,$W131)),INDEX($J$9:$J$2008,$W131),VALUE(SUBSTITUTE(INDEX($J$9:$J$2008,$W131),",",""))),""))</f>
        <v/>
      </c>
      <c r="AI131" s="24">
        <f>IF($W131="","",IFERROR(IF(ISNUMBER(INDEX($K$9:$K$2008,$W131)),INDEX($K$9:$K$2008,$W131),VALUE(SUBSTITUTE(INDEX($K$9:$K$2008,$W131),",",""))),""))</f>
        <v/>
      </c>
      <c r="AJ131" s="25">
        <f>IF($W131="","",IFERROR(IF(ISNUMBER(INDEX($L$9:$L$2008,$W131)),INDEX($L$9:$L$2008,$W131),VALUE(SUBSTITUTE(INDEX($L$9:$L$2008,$W131),",",""))),""))</f>
        <v/>
      </c>
      <c r="AK131" s="25">
        <f>IF($W131="","",IFERROR(IF(ISNUMBER(INDEX($M$9:$M$2008,$W131)),INDEX($M$9:$M$2008,$W131),VALUE(SUBSTITUTE(INDEX($M$9:$M$2008,$W131),",",""))),""))</f>
        <v/>
      </c>
      <c r="AL131" s="26">
        <f>IF($W131="","",IFERROR(IF(ISNUMBER(INDEX($P$9:$P$2008,$W131)),INDEX($P$9:$P$2008,$W131),VALUE(SUBSTITUTE(INDEX($P$9:$P$2008,$W131),"%",""))/100),""))</f>
        <v/>
      </c>
    </row>
    <row r="132">
      <c r="S132">
        <f>IF(AND(ISTEXT($A132),ISNUMBER(SEARCH(" - ",$A132)),ISERROR(SEARCH("Folio",$A132)),$D132=""),TRIM($A132),$S131)</f>
        <v/>
      </c>
      <c r="T132">
        <f>IF(AND(ISNUMBER(SEARCH("Folio",$A132)),$D132&lt;&gt;""),1,"")</f>
        <v/>
      </c>
      <c r="U132">
        <f>IF($T132=1,COUNTIF($T$9:$T132,1),"")</f>
        <v/>
      </c>
      <c r="V132">
        <f>IF(AND(ISTEXT($A132),LEFT($A133,3)="Pan"),1,"")</f>
        <v/>
      </c>
      <c r="W132" s="21">
        <f>IFERROR(MATCH(124,$U$9:$U$2008,0),"")</f>
        <v/>
      </c>
      <c r="X132" s="27">
        <f>IF($W132="","",IF($R$5&lt;&gt;"",$R$5,$R$6))</f>
        <v/>
      </c>
      <c r="Y132" s="27">
        <f>IF($W132="","",INDEX($S$9:$S$2008,$W132))</f>
        <v/>
      </c>
      <c r="Z132" s="27">
        <f>IF($W132="","",IFERROR(TRIM(LEFT(SUBSTITUTE(INDEX($A$9:$A$2008,$W132),CHAR(10)," "),SEARCH("Folio",SUBSTITUTE(INDEX($A$9:$A$2008,$W132),CHAR(10)," "))-1)),TRIM(SUBSTITUTE(INDEX($A$9:$A$2008,$W132),CHAR(10)," "))))</f>
        <v/>
      </c>
      <c r="AA132" s="27">
        <f>IF($W132="","",IFERROR(TRIM(SUBSTITUTE(MID(SUBSTITUTE(INDEX($A$9:$A$2008,$W132),CHAR(10)," "),SEARCH("Folio",SUBSTITUTE(INDEX($A$9:$A$2008,$W132),CHAR(10)," "))+5,200),":","")),""))</f>
        <v/>
      </c>
      <c r="AB132" s="28">
        <f>IF($W132="","",IF(ISNUMBER(INDEX($D$9:$D$2008,$W132)),INDEX($D$9:$D$2008,$W132),IFERROR(DATE(2000+VALUE(RIGHT(INDEX($D$9:$D$2008,$W132),2)),VALUE(MID(INDEX($D$9:$D$2008,$W132),4,2)),VALUE(LEFT(INDEX($D$9:$D$2008,$W132),2))),"")))</f>
        <v/>
      </c>
      <c r="AC132" s="29">
        <f>IF($W132="","",IFERROR(IF(ISNUMBER(INDEX($E$9:$E$2008,$W132)),INDEX($E$9:$E$2008,$W132),VALUE(SUBSTITUTE(INDEX($E$9:$E$2008,$W132),",",""))),""))</f>
        <v/>
      </c>
      <c r="AD132" s="29">
        <f>IF($W132="","",IFERROR(IF(ISNUMBER(INDEX($F$9:$F$2008,$W132)),INDEX($F$9:$F$2008,$W132),VALUE(SUBSTITUTE(INDEX($F$9:$F$2008,$W132),",",""))),""))</f>
        <v/>
      </c>
      <c r="AE132" s="29">
        <f>IF($W132="","",IFERROR(IF(ISNUMBER(INDEX($G$9:$G$2008,$W132)),INDEX($G$9:$G$2008,$W132),VALUE(SUBSTITUTE(INDEX($G$9:$G$2008,$W132),",",""))),""))</f>
        <v/>
      </c>
      <c r="AF132" s="29">
        <f>IF($W132="","",IFERROR(IF(ISNUMBER(INDEX($H$9:$H$2008,$W132)),INDEX($H$9:$H$2008,$W132),VALUE(SUBSTITUTE(INDEX($H$9:$H$2008,$W132),",",""))),""))</f>
        <v/>
      </c>
      <c r="AG132" s="29">
        <f>IF($W132="","",IFERROR(IF(ISNUMBER(INDEX($I$9:$I$2008,$W132)),INDEX($I$9:$I$2008,$W132),VALUE(SUBSTITUTE(INDEX($I$9:$I$2008,$W132),",",""))),""))</f>
        <v/>
      </c>
      <c r="AH132" s="29">
        <f>IF($W132="","",IFERROR(IF(ISNUMBER(INDEX($J$9:$J$2008,$W132)),INDEX($J$9:$J$2008,$W132),VALUE(SUBSTITUTE(INDEX($J$9:$J$2008,$W132),",",""))),""))</f>
        <v/>
      </c>
      <c r="AI132" s="29">
        <f>IF($W132="","",IFERROR(IF(ISNUMBER(INDEX($K$9:$K$2008,$W132)),INDEX($K$9:$K$2008,$W132),VALUE(SUBSTITUTE(INDEX($K$9:$K$2008,$W132),",",""))),""))</f>
        <v/>
      </c>
      <c r="AJ132" s="30">
        <f>IF($W132="","",IFERROR(IF(ISNUMBER(INDEX($L$9:$L$2008,$W132)),INDEX($L$9:$L$2008,$W132),VALUE(SUBSTITUTE(INDEX($L$9:$L$2008,$W132),",",""))),""))</f>
        <v/>
      </c>
      <c r="AK132" s="30">
        <f>IF($W132="","",IFERROR(IF(ISNUMBER(INDEX($M$9:$M$2008,$W132)),INDEX($M$9:$M$2008,$W132),VALUE(SUBSTITUTE(INDEX($M$9:$M$2008,$W132),",",""))),""))</f>
        <v/>
      </c>
      <c r="AL132" s="31">
        <f>IF($W132="","",IFERROR(IF(ISNUMBER(INDEX($P$9:$P$2008,$W132)),INDEX($P$9:$P$2008,$W132),VALUE(SUBSTITUTE(INDEX($P$9:$P$2008,$W132),"%",""))/100),""))</f>
        <v/>
      </c>
    </row>
    <row r="133">
      <c r="S133">
        <f>IF(AND(ISTEXT($A133),ISNUMBER(SEARCH(" - ",$A133)),ISERROR(SEARCH("Folio",$A133)),$D133=""),TRIM($A133),$S132)</f>
        <v/>
      </c>
      <c r="T133">
        <f>IF(AND(ISNUMBER(SEARCH("Folio",$A133)),$D133&lt;&gt;""),1,"")</f>
        <v/>
      </c>
      <c r="U133">
        <f>IF($T133=1,COUNTIF($T$9:$T133,1),"")</f>
        <v/>
      </c>
      <c r="V133">
        <f>IF(AND(ISTEXT($A133),LEFT($A134,3)="Pan"),1,"")</f>
        <v/>
      </c>
      <c r="W133" s="21">
        <f>IFERROR(MATCH(125,$U$9:$U$2008,0),"")</f>
        <v/>
      </c>
      <c r="X133" s="22">
        <f>IF($W133="","",IF($R$5&lt;&gt;"",$R$5,$R$6))</f>
        <v/>
      </c>
      <c r="Y133" s="22">
        <f>IF($W133="","",INDEX($S$9:$S$2008,$W133))</f>
        <v/>
      </c>
      <c r="Z133" s="22">
        <f>IF($W133="","",IFERROR(TRIM(LEFT(SUBSTITUTE(INDEX($A$9:$A$2008,$W133),CHAR(10)," "),SEARCH("Folio",SUBSTITUTE(INDEX($A$9:$A$2008,$W133),CHAR(10)," "))-1)),TRIM(SUBSTITUTE(INDEX($A$9:$A$2008,$W133),CHAR(10)," "))))</f>
        <v/>
      </c>
      <c r="AA133" s="22">
        <f>IF($W133="","",IFERROR(TRIM(SUBSTITUTE(MID(SUBSTITUTE(INDEX($A$9:$A$2008,$W133),CHAR(10)," "),SEARCH("Folio",SUBSTITUTE(INDEX($A$9:$A$2008,$W133),CHAR(10)," "))+5,200),":","")),""))</f>
        <v/>
      </c>
      <c r="AB133" s="23">
        <f>IF($W133="","",IF(ISNUMBER(INDEX($D$9:$D$2008,$W133)),INDEX($D$9:$D$2008,$W133),IFERROR(DATE(2000+VALUE(RIGHT(INDEX($D$9:$D$2008,$W133),2)),VALUE(MID(INDEX($D$9:$D$2008,$W133),4,2)),VALUE(LEFT(INDEX($D$9:$D$2008,$W133),2))),"")))</f>
        <v/>
      </c>
      <c r="AC133" s="24">
        <f>IF($W133="","",IFERROR(IF(ISNUMBER(INDEX($E$9:$E$2008,$W133)),INDEX($E$9:$E$2008,$W133),VALUE(SUBSTITUTE(INDEX($E$9:$E$2008,$W133),",",""))),""))</f>
        <v/>
      </c>
      <c r="AD133" s="24">
        <f>IF($W133="","",IFERROR(IF(ISNUMBER(INDEX($F$9:$F$2008,$W133)),INDEX($F$9:$F$2008,$W133),VALUE(SUBSTITUTE(INDEX($F$9:$F$2008,$W133),",",""))),""))</f>
        <v/>
      </c>
      <c r="AE133" s="24">
        <f>IF($W133="","",IFERROR(IF(ISNUMBER(INDEX($G$9:$G$2008,$W133)),INDEX($G$9:$G$2008,$W133),VALUE(SUBSTITUTE(INDEX($G$9:$G$2008,$W133),",",""))),""))</f>
        <v/>
      </c>
      <c r="AF133" s="24">
        <f>IF($W133="","",IFERROR(IF(ISNUMBER(INDEX($H$9:$H$2008,$W133)),INDEX($H$9:$H$2008,$W133),VALUE(SUBSTITUTE(INDEX($H$9:$H$2008,$W133),",",""))),""))</f>
        <v/>
      </c>
      <c r="AG133" s="24">
        <f>IF($W133="","",IFERROR(IF(ISNUMBER(INDEX($I$9:$I$2008,$W133)),INDEX($I$9:$I$2008,$W133),VALUE(SUBSTITUTE(INDEX($I$9:$I$2008,$W133),",",""))),""))</f>
        <v/>
      </c>
      <c r="AH133" s="24">
        <f>IF($W133="","",IFERROR(IF(ISNUMBER(INDEX($J$9:$J$2008,$W133)),INDEX($J$9:$J$2008,$W133),VALUE(SUBSTITUTE(INDEX($J$9:$J$2008,$W133),",",""))),""))</f>
        <v/>
      </c>
      <c r="AI133" s="24">
        <f>IF($W133="","",IFERROR(IF(ISNUMBER(INDEX($K$9:$K$2008,$W133)),INDEX($K$9:$K$2008,$W133),VALUE(SUBSTITUTE(INDEX($K$9:$K$2008,$W133),",",""))),""))</f>
        <v/>
      </c>
      <c r="AJ133" s="25">
        <f>IF($W133="","",IFERROR(IF(ISNUMBER(INDEX($L$9:$L$2008,$W133)),INDEX($L$9:$L$2008,$W133),VALUE(SUBSTITUTE(INDEX($L$9:$L$2008,$W133),",",""))),""))</f>
        <v/>
      </c>
      <c r="AK133" s="25">
        <f>IF($W133="","",IFERROR(IF(ISNUMBER(INDEX($M$9:$M$2008,$W133)),INDEX($M$9:$M$2008,$W133),VALUE(SUBSTITUTE(INDEX($M$9:$M$2008,$W133),",",""))),""))</f>
        <v/>
      </c>
      <c r="AL133" s="26">
        <f>IF($W133="","",IFERROR(IF(ISNUMBER(INDEX($P$9:$P$2008,$W133)),INDEX($P$9:$P$2008,$W133),VALUE(SUBSTITUTE(INDEX($P$9:$P$2008,$W133),"%",""))/100),""))</f>
        <v/>
      </c>
    </row>
    <row r="134">
      <c r="S134">
        <f>IF(AND(ISTEXT($A134),ISNUMBER(SEARCH(" - ",$A134)),ISERROR(SEARCH("Folio",$A134)),$D134=""),TRIM($A134),$S133)</f>
        <v/>
      </c>
      <c r="T134">
        <f>IF(AND(ISNUMBER(SEARCH("Folio",$A134)),$D134&lt;&gt;""),1,"")</f>
        <v/>
      </c>
      <c r="U134">
        <f>IF($T134=1,COUNTIF($T$9:$T134,1),"")</f>
        <v/>
      </c>
      <c r="V134">
        <f>IF(AND(ISTEXT($A134),LEFT($A135,3)="Pan"),1,"")</f>
        <v/>
      </c>
      <c r="W134" s="21">
        <f>IFERROR(MATCH(126,$U$9:$U$2008,0),"")</f>
        <v/>
      </c>
      <c r="X134" s="27">
        <f>IF($W134="","",IF($R$5&lt;&gt;"",$R$5,$R$6))</f>
        <v/>
      </c>
      <c r="Y134" s="27">
        <f>IF($W134="","",INDEX($S$9:$S$2008,$W134))</f>
        <v/>
      </c>
      <c r="Z134" s="27">
        <f>IF($W134="","",IFERROR(TRIM(LEFT(SUBSTITUTE(INDEX($A$9:$A$2008,$W134),CHAR(10)," "),SEARCH("Folio",SUBSTITUTE(INDEX($A$9:$A$2008,$W134),CHAR(10)," "))-1)),TRIM(SUBSTITUTE(INDEX($A$9:$A$2008,$W134),CHAR(10)," "))))</f>
        <v/>
      </c>
      <c r="AA134" s="27">
        <f>IF($W134="","",IFERROR(TRIM(SUBSTITUTE(MID(SUBSTITUTE(INDEX($A$9:$A$2008,$W134),CHAR(10)," "),SEARCH("Folio",SUBSTITUTE(INDEX($A$9:$A$2008,$W134),CHAR(10)," "))+5,200),":","")),""))</f>
        <v/>
      </c>
      <c r="AB134" s="28">
        <f>IF($W134="","",IF(ISNUMBER(INDEX($D$9:$D$2008,$W134)),INDEX($D$9:$D$2008,$W134),IFERROR(DATE(2000+VALUE(RIGHT(INDEX($D$9:$D$2008,$W134),2)),VALUE(MID(INDEX($D$9:$D$2008,$W134),4,2)),VALUE(LEFT(INDEX($D$9:$D$2008,$W134),2))),"")))</f>
        <v/>
      </c>
      <c r="AC134" s="29">
        <f>IF($W134="","",IFERROR(IF(ISNUMBER(INDEX($E$9:$E$2008,$W134)),INDEX($E$9:$E$2008,$W134),VALUE(SUBSTITUTE(INDEX($E$9:$E$2008,$W134),",",""))),""))</f>
        <v/>
      </c>
      <c r="AD134" s="29">
        <f>IF($W134="","",IFERROR(IF(ISNUMBER(INDEX($F$9:$F$2008,$W134)),INDEX($F$9:$F$2008,$W134),VALUE(SUBSTITUTE(INDEX($F$9:$F$2008,$W134),",",""))),""))</f>
        <v/>
      </c>
      <c r="AE134" s="29">
        <f>IF($W134="","",IFERROR(IF(ISNUMBER(INDEX($G$9:$G$2008,$W134)),INDEX($G$9:$G$2008,$W134),VALUE(SUBSTITUTE(INDEX($G$9:$G$2008,$W134),",",""))),""))</f>
        <v/>
      </c>
      <c r="AF134" s="29">
        <f>IF($W134="","",IFERROR(IF(ISNUMBER(INDEX($H$9:$H$2008,$W134)),INDEX($H$9:$H$2008,$W134),VALUE(SUBSTITUTE(INDEX($H$9:$H$2008,$W134),",",""))),""))</f>
        <v/>
      </c>
      <c r="AG134" s="29">
        <f>IF($W134="","",IFERROR(IF(ISNUMBER(INDEX($I$9:$I$2008,$W134)),INDEX($I$9:$I$2008,$W134),VALUE(SUBSTITUTE(INDEX($I$9:$I$2008,$W134),",",""))),""))</f>
        <v/>
      </c>
      <c r="AH134" s="29">
        <f>IF($W134="","",IFERROR(IF(ISNUMBER(INDEX($J$9:$J$2008,$W134)),INDEX($J$9:$J$2008,$W134),VALUE(SUBSTITUTE(INDEX($J$9:$J$2008,$W134),",",""))),""))</f>
        <v/>
      </c>
      <c r="AI134" s="29">
        <f>IF($W134="","",IFERROR(IF(ISNUMBER(INDEX($K$9:$K$2008,$W134)),INDEX($K$9:$K$2008,$W134),VALUE(SUBSTITUTE(INDEX($K$9:$K$2008,$W134),",",""))),""))</f>
        <v/>
      </c>
      <c r="AJ134" s="30">
        <f>IF($W134="","",IFERROR(IF(ISNUMBER(INDEX($L$9:$L$2008,$W134)),INDEX($L$9:$L$2008,$W134),VALUE(SUBSTITUTE(INDEX($L$9:$L$2008,$W134),",",""))),""))</f>
        <v/>
      </c>
      <c r="AK134" s="30">
        <f>IF($W134="","",IFERROR(IF(ISNUMBER(INDEX($M$9:$M$2008,$W134)),INDEX($M$9:$M$2008,$W134),VALUE(SUBSTITUTE(INDEX($M$9:$M$2008,$W134),",",""))),""))</f>
        <v/>
      </c>
      <c r="AL134" s="31">
        <f>IF($W134="","",IFERROR(IF(ISNUMBER(INDEX($P$9:$P$2008,$W134)),INDEX($P$9:$P$2008,$W134),VALUE(SUBSTITUTE(INDEX($P$9:$P$2008,$W134),"%",""))/100),""))</f>
        <v/>
      </c>
    </row>
    <row r="135">
      <c r="S135">
        <f>IF(AND(ISTEXT($A135),ISNUMBER(SEARCH(" - ",$A135)),ISERROR(SEARCH("Folio",$A135)),$D135=""),TRIM($A135),$S134)</f>
        <v/>
      </c>
      <c r="T135">
        <f>IF(AND(ISNUMBER(SEARCH("Folio",$A135)),$D135&lt;&gt;""),1,"")</f>
        <v/>
      </c>
      <c r="U135">
        <f>IF($T135=1,COUNTIF($T$9:$T135,1),"")</f>
        <v/>
      </c>
      <c r="V135">
        <f>IF(AND(ISTEXT($A135),LEFT($A136,3)="Pan"),1,"")</f>
        <v/>
      </c>
      <c r="W135" s="21">
        <f>IFERROR(MATCH(127,$U$9:$U$2008,0),"")</f>
        <v/>
      </c>
      <c r="X135" s="22">
        <f>IF($W135="","",IF($R$5&lt;&gt;"",$R$5,$R$6))</f>
        <v/>
      </c>
      <c r="Y135" s="22">
        <f>IF($W135="","",INDEX($S$9:$S$2008,$W135))</f>
        <v/>
      </c>
      <c r="Z135" s="22">
        <f>IF($W135="","",IFERROR(TRIM(LEFT(SUBSTITUTE(INDEX($A$9:$A$2008,$W135),CHAR(10)," "),SEARCH("Folio",SUBSTITUTE(INDEX($A$9:$A$2008,$W135),CHAR(10)," "))-1)),TRIM(SUBSTITUTE(INDEX($A$9:$A$2008,$W135),CHAR(10)," "))))</f>
        <v/>
      </c>
      <c r="AA135" s="22">
        <f>IF($W135="","",IFERROR(TRIM(SUBSTITUTE(MID(SUBSTITUTE(INDEX($A$9:$A$2008,$W135),CHAR(10)," "),SEARCH("Folio",SUBSTITUTE(INDEX($A$9:$A$2008,$W135),CHAR(10)," "))+5,200),":","")),""))</f>
        <v/>
      </c>
      <c r="AB135" s="23">
        <f>IF($W135="","",IF(ISNUMBER(INDEX($D$9:$D$2008,$W135)),INDEX($D$9:$D$2008,$W135),IFERROR(DATE(2000+VALUE(RIGHT(INDEX($D$9:$D$2008,$W135),2)),VALUE(MID(INDEX($D$9:$D$2008,$W135),4,2)),VALUE(LEFT(INDEX($D$9:$D$2008,$W135),2))),"")))</f>
        <v/>
      </c>
      <c r="AC135" s="24">
        <f>IF($W135="","",IFERROR(IF(ISNUMBER(INDEX($E$9:$E$2008,$W135)),INDEX($E$9:$E$2008,$W135),VALUE(SUBSTITUTE(INDEX($E$9:$E$2008,$W135),",",""))),""))</f>
        <v/>
      </c>
      <c r="AD135" s="24">
        <f>IF($W135="","",IFERROR(IF(ISNUMBER(INDEX($F$9:$F$2008,$W135)),INDEX($F$9:$F$2008,$W135),VALUE(SUBSTITUTE(INDEX($F$9:$F$2008,$W135),",",""))),""))</f>
        <v/>
      </c>
      <c r="AE135" s="24">
        <f>IF($W135="","",IFERROR(IF(ISNUMBER(INDEX($G$9:$G$2008,$W135)),INDEX($G$9:$G$2008,$W135),VALUE(SUBSTITUTE(INDEX($G$9:$G$2008,$W135),",",""))),""))</f>
        <v/>
      </c>
      <c r="AF135" s="24">
        <f>IF($W135="","",IFERROR(IF(ISNUMBER(INDEX($H$9:$H$2008,$W135)),INDEX($H$9:$H$2008,$W135),VALUE(SUBSTITUTE(INDEX($H$9:$H$2008,$W135),",",""))),""))</f>
        <v/>
      </c>
      <c r="AG135" s="24">
        <f>IF($W135="","",IFERROR(IF(ISNUMBER(INDEX($I$9:$I$2008,$W135)),INDEX($I$9:$I$2008,$W135),VALUE(SUBSTITUTE(INDEX($I$9:$I$2008,$W135),",",""))),""))</f>
        <v/>
      </c>
      <c r="AH135" s="24">
        <f>IF($W135="","",IFERROR(IF(ISNUMBER(INDEX($J$9:$J$2008,$W135)),INDEX($J$9:$J$2008,$W135),VALUE(SUBSTITUTE(INDEX($J$9:$J$2008,$W135),",",""))),""))</f>
        <v/>
      </c>
      <c r="AI135" s="24">
        <f>IF($W135="","",IFERROR(IF(ISNUMBER(INDEX($K$9:$K$2008,$W135)),INDEX($K$9:$K$2008,$W135),VALUE(SUBSTITUTE(INDEX($K$9:$K$2008,$W135),",",""))),""))</f>
        <v/>
      </c>
      <c r="AJ135" s="25">
        <f>IF($W135="","",IFERROR(IF(ISNUMBER(INDEX($L$9:$L$2008,$W135)),INDEX($L$9:$L$2008,$W135),VALUE(SUBSTITUTE(INDEX($L$9:$L$2008,$W135),",",""))),""))</f>
        <v/>
      </c>
      <c r="AK135" s="25">
        <f>IF($W135="","",IFERROR(IF(ISNUMBER(INDEX($M$9:$M$2008,$W135)),INDEX($M$9:$M$2008,$W135),VALUE(SUBSTITUTE(INDEX($M$9:$M$2008,$W135),",",""))),""))</f>
        <v/>
      </c>
      <c r="AL135" s="26">
        <f>IF($W135="","",IFERROR(IF(ISNUMBER(INDEX($P$9:$P$2008,$W135)),INDEX($P$9:$P$2008,$W135),VALUE(SUBSTITUTE(INDEX($P$9:$P$2008,$W135),"%",""))/100),""))</f>
        <v/>
      </c>
    </row>
    <row r="136">
      <c r="S136">
        <f>IF(AND(ISTEXT($A136),ISNUMBER(SEARCH(" - ",$A136)),ISERROR(SEARCH("Folio",$A136)),$D136=""),TRIM($A136),$S135)</f>
        <v/>
      </c>
      <c r="T136">
        <f>IF(AND(ISNUMBER(SEARCH("Folio",$A136)),$D136&lt;&gt;""),1,"")</f>
        <v/>
      </c>
      <c r="U136">
        <f>IF($T136=1,COUNTIF($T$9:$T136,1),"")</f>
        <v/>
      </c>
      <c r="V136">
        <f>IF(AND(ISTEXT($A136),LEFT($A137,3)="Pan"),1,"")</f>
        <v/>
      </c>
      <c r="W136" s="21">
        <f>IFERROR(MATCH(128,$U$9:$U$2008,0),"")</f>
        <v/>
      </c>
      <c r="X136" s="27">
        <f>IF($W136="","",IF($R$5&lt;&gt;"",$R$5,$R$6))</f>
        <v/>
      </c>
      <c r="Y136" s="27">
        <f>IF($W136="","",INDEX($S$9:$S$2008,$W136))</f>
        <v/>
      </c>
      <c r="Z136" s="27">
        <f>IF($W136="","",IFERROR(TRIM(LEFT(SUBSTITUTE(INDEX($A$9:$A$2008,$W136),CHAR(10)," "),SEARCH("Folio",SUBSTITUTE(INDEX($A$9:$A$2008,$W136),CHAR(10)," "))-1)),TRIM(SUBSTITUTE(INDEX($A$9:$A$2008,$W136),CHAR(10)," "))))</f>
        <v/>
      </c>
      <c r="AA136" s="27">
        <f>IF($W136="","",IFERROR(TRIM(SUBSTITUTE(MID(SUBSTITUTE(INDEX($A$9:$A$2008,$W136),CHAR(10)," "),SEARCH("Folio",SUBSTITUTE(INDEX($A$9:$A$2008,$W136),CHAR(10)," "))+5,200),":","")),""))</f>
        <v/>
      </c>
      <c r="AB136" s="28">
        <f>IF($W136="","",IF(ISNUMBER(INDEX($D$9:$D$2008,$W136)),INDEX($D$9:$D$2008,$W136),IFERROR(DATE(2000+VALUE(RIGHT(INDEX($D$9:$D$2008,$W136),2)),VALUE(MID(INDEX($D$9:$D$2008,$W136),4,2)),VALUE(LEFT(INDEX($D$9:$D$2008,$W136),2))),"")))</f>
        <v/>
      </c>
      <c r="AC136" s="29">
        <f>IF($W136="","",IFERROR(IF(ISNUMBER(INDEX($E$9:$E$2008,$W136)),INDEX($E$9:$E$2008,$W136),VALUE(SUBSTITUTE(INDEX($E$9:$E$2008,$W136),",",""))),""))</f>
        <v/>
      </c>
      <c r="AD136" s="29">
        <f>IF($W136="","",IFERROR(IF(ISNUMBER(INDEX($F$9:$F$2008,$W136)),INDEX($F$9:$F$2008,$W136),VALUE(SUBSTITUTE(INDEX($F$9:$F$2008,$W136),",",""))),""))</f>
        <v/>
      </c>
      <c r="AE136" s="29">
        <f>IF($W136="","",IFERROR(IF(ISNUMBER(INDEX($G$9:$G$2008,$W136)),INDEX($G$9:$G$2008,$W136),VALUE(SUBSTITUTE(INDEX($G$9:$G$2008,$W136),",",""))),""))</f>
        <v/>
      </c>
      <c r="AF136" s="29">
        <f>IF($W136="","",IFERROR(IF(ISNUMBER(INDEX($H$9:$H$2008,$W136)),INDEX($H$9:$H$2008,$W136),VALUE(SUBSTITUTE(INDEX($H$9:$H$2008,$W136),",",""))),""))</f>
        <v/>
      </c>
      <c r="AG136" s="29">
        <f>IF($W136="","",IFERROR(IF(ISNUMBER(INDEX($I$9:$I$2008,$W136)),INDEX($I$9:$I$2008,$W136),VALUE(SUBSTITUTE(INDEX($I$9:$I$2008,$W136),",",""))),""))</f>
        <v/>
      </c>
      <c r="AH136" s="29">
        <f>IF($W136="","",IFERROR(IF(ISNUMBER(INDEX($J$9:$J$2008,$W136)),INDEX($J$9:$J$2008,$W136),VALUE(SUBSTITUTE(INDEX($J$9:$J$2008,$W136),",",""))),""))</f>
        <v/>
      </c>
      <c r="AI136" s="29">
        <f>IF($W136="","",IFERROR(IF(ISNUMBER(INDEX($K$9:$K$2008,$W136)),INDEX($K$9:$K$2008,$W136),VALUE(SUBSTITUTE(INDEX($K$9:$K$2008,$W136),",",""))),""))</f>
        <v/>
      </c>
      <c r="AJ136" s="30">
        <f>IF($W136="","",IFERROR(IF(ISNUMBER(INDEX($L$9:$L$2008,$W136)),INDEX($L$9:$L$2008,$W136),VALUE(SUBSTITUTE(INDEX($L$9:$L$2008,$W136),",",""))),""))</f>
        <v/>
      </c>
      <c r="AK136" s="30">
        <f>IF($W136="","",IFERROR(IF(ISNUMBER(INDEX($M$9:$M$2008,$W136)),INDEX($M$9:$M$2008,$W136),VALUE(SUBSTITUTE(INDEX($M$9:$M$2008,$W136),",",""))),""))</f>
        <v/>
      </c>
      <c r="AL136" s="31">
        <f>IF($W136="","",IFERROR(IF(ISNUMBER(INDEX($P$9:$P$2008,$W136)),INDEX($P$9:$P$2008,$W136),VALUE(SUBSTITUTE(INDEX($P$9:$P$2008,$W136),"%",""))/100),""))</f>
        <v/>
      </c>
    </row>
    <row r="137">
      <c r="S137">
        <f>IF(AND(ISTEXT($A137),ISNUMBER(SEARCH(" - ",$A137)),ISERROR(SEARCH("Folio",$A137)),$D137=""),TRIM($A137),$S136)</f>
        <v/>
      </c>
      <c r="T137">
        <f>IF(AND(ISNUMBER(SEARCH("Folio",$A137)),$D137&lt;&gt;""),1,"")</f>
        <v/>
      </c>
      <c r="U137">
        <f>IF($T137=1,COUNTIF($T$9:$T137,1),"")</f>
        <v/>
      </c>
      <c r="V137">
        <f>IF(AND(ISTEXT($A137),LEFT($A138,3)="Pan"),1,"")</f>
        <v/>
      </c>
      <c r="W137" s="21">
        <f>IFERROR(MATCH(129,$U$9:$U$2008,0),"")</f>
        <v/>
      </c>
      <c r="X137" s="22">
        <f>IF($W137="","",IF($R$5&lt;&gt;"",$R$5,$R$6))</f>
        <v/>
      </c>
      <c r="Y137" s="22">
        <f>IF($W137="","",INDEX($S$9:$S$2008,$W137))</f>
        <v/>
      </c>
      <c r="Z137" s="22">
        <f>IF($W137="","",IFERROR(TRIM(LEFT(SUBSTITUTE(INDEX($A$9:$A$2008,$W137),CHAR(10)," "),SEARCH("Folio",SUBSTITUTE(INDEX($A$9:$A$2008,$W137),CHAR(10)," "))-1)),TRIM(SUBSTITUTE(INDEX($A$9:$A$2008,$W137),CHAR(10)," "))))</f>
        <v/>
      </c>
      <c r="AA137" s="22">
        <f>IF($W137="","",IFERROR(TRIM(SUBSTITUTE(MID(SUBSTITUTE(INDEX($A$9:$A$2008,$W137),CHAR(10)," "),SEARCH("Folio",SUBSTITUTE(INDEX($A$9:$A$2008,$W137),CHAR(10)," "))+5,200),":","")),""))</f>
        <v/>
      </c>
      <c r="AB137" s="23">
        <f>IF($W137="","",IF(ISNUMBER(INDEX($D$9:$D$2008,$W137)),INDEX($D$9:$D$2008,$W137),IFERROR(DATE(2000+VALUE(RIGHT(INDEX($D$9:$D$2008,$W137),2)),VALUE(MID(INDEX($D$9:$D$2008,$W137),4,2)),VALUE(LEFT(INDEX($D$9:$D$2008,$W137),2))),"")))</f>
        <v/>
      </c>
      <c r="AC137" s="24">
        <f>IF($W137="","",IFERROR(IF(ISNUMBER(INDEX($E$9:$E$2008,$W137)),INDEX($E$9:$E$2008,$W137),VALUE(SUBSTITUTE(INDEX($E$9:$E$2008,$W137),",",""))),""))</f>
        <v/>
      </c>
      <c r="AD137" s="24">
        <f>IF($W137="","",IFERROR(IF(ISNUMBER(INDEX($F$9:$F$2008,$W137)),INDEX($F$9:$F$2008,$W137),VALUE(SUBSTITUTE(INDEX($F$9:$F$2008,$W137),",",""))),""))</f>
        <v/>
      </c>
      <c r="AE137" s="24">
        <f>IF($W137="","",IFERROR(IF(ISNUMBER(INDEX($G$9:$G$2008,$W137)),INDEX($G$9:$G$2008,$W137),VALUE(SUBSTITUTE(INDEX($G$9:$G$2008,$W137),",",""))),""))</f>
        <v/>
      </c>
      <c r="AF137" s="24">
        <f>IF($W137="","",IFERROR(IF(ISNUMBER(INDEX($H$9:$H$2008,$W137)),INDEX($H$9:$H$2008,$W137),VALUE(SUBSTITUTE(INDEX($H$9:$H$2008,$W137),",",""))),""))</f>
        <v/>
      </c>
      <c r="AG137" s="24">
        <f>IF($W137="","",IFERROR(IF(ISNUMBER(INDEX($I$9:$I$2008,$W137)),INDEX($I$9:$I$2008,$W137),VALUE(SUBSTITUTE(INDEX($I$9:$I$2008,$W137),",",""))),""))</f>
        <v/>
      </c>
      <c r="AH137" s="24">
        <f>IF($W137="","",IFERROR(IF(ISNUMBER(INDEX($J$9:$J$2008,$W137)),INDEX($J$9:$J$2008,$W137),VALUE(SUBSTITUTE(INDEX($J$9:$J$2008,$W137),",",""))),""))</f>
        <v/>
      </c>
      <c r="AI137" s="24">
        <f>IF($W137="","",IFERROR(IF(ISNUMBER(INDEX($K$9:$K$2008,$W137)),INDEX($K$9:$K$2008,$W137),VALUE(SUBSTITUTE(INDEX($K$9:$K$2008,$W137),",",""))),""))</f>
        <v/>
      </c>
      <c r="AJ137" s="25">
        <f>IF($W137="","",IFERROR(IF(ISNUMBER(INDEX($L$9:$L$2008,$W137)),INDEX($L$9:$L$2008,$W137),VALUE(SUBSTITUTE(INDEX($L$9:$L$2008,$W137),",",""))),""))</f>
        <v/>
      </c>
      <c r="AK137" s="25">
        <f>IF($W137="","",IFERROR(IF(ISNUMBER(INDEX($M$9:$M$2008,$W137)),INDEX($M$9:$M$2008,$W137),VALUE(SUBSTITUTE(INDEX($M$9:$M$2008,$W137),",",""))),""))</f>
        <v/>
      </c>
      <c r="AL137" s="26">
        <f>IF($W137="","",IFERROR(IF(ISNUMBER(INDEX($P$9:$P$2008,$W137)),INDEX($P$9:$P$2008,$W137),VALUE(SUBSTITUTE(INDEX($P$9:$P$2008,$W137),"%",""))/100),""))</f>
        <v/>
      </c>
    </row>
    <row r="138">
      <c r="S138">
        <f>IF(AND(ISTEXT($A138),ISNUMBER(SEARCH(" - ",$A138)),ISERROR(SEARCH("Folio",$A138)),$D138=""),TRIM($A138),$S137)</f>
        <v/>
      </c>
      <c r="T138">
        <f>IF(AND(ISNUMBER(SEARCH("Folio",$A138)),$D138&lt;&gt;""),1,"")</f>
        <v/>
      </c>
      <c r="U138">
        <f>IF($T138=1,COUNTIF($T$9:$T138,1),"")</f>
        <v/>
      </c>
      <c r="V138">
        <f>IF(AND(ISTEXT($A138),LEFT($A139,3)="Pan"),1,"")</f>
        <v/>
      </c>
      <c r="W138" s="21">
        <f>IFERROR(MATCH(130,$U$9:$U$2008,0),"")</f>
        <v/>
      </c>
      <c r="X138" s="27">
        <f>IF($W138="","",IF($R$5&lt;&gt;"",$R$5,$R$6))</f>
        <v/>
      </c>
      <c r="Y138" s="27">
        <f>IF($W138="","",INDEX($S$9:$S$2008,$W138))</f>
        <v/>
      </c>
      <c r="Z138" s="27">
        <f>IF($W138="","",IFERROR(TRIM(LEFT(SUBSTITUTE(INDEX($A$9:$A$2008,$W138),CHAR(10)," "),SEARCH("Folio",SUBSTITUTE(INDEX($A$9:$A$2008,$W138),CHAR(10)," "))-1)),TRIM(SUBSTITUTE(INDEX($A$9:$A$2008,$W138),CHAR(10)," "))))</f>
        <v/>
      </c>
      <c r="AA138" s="27">
        <f>IF($W138="","",IFERROR(TRIM(SUBSTITUTE(MID(SUBSTITUTE(INDEX($A$9:$A$2008,$W138),CHAR(10)," "),SEARCH("Folio",SUBSTITUTE(INDEX($A$9:$A$2008,$W138),CHAR(10)," "))+5,200),":","")),""))</f>
        <v/>
      </c>
      <c r="AB138" s="28">
        <f>IF($W138="","",IF(ISNUMBER(INDEX($D$9:$D$2008,$W138)),INDEX($D$9:$D$2008,$W138),IFERROR(DATE(2000+VALUE(RIGHT(INDEX($D$9:$D$2008,$W138),2)),VALUE(MID(INDEX($D$9:$D$2008,$W138),4,2)),VALUE(LEFT(INDEX($D$9:$D$2008,$W138),2))),"")))</f>
        <v/>
      </c>
      <c r="AC138" s="29">
        <f>IF($W138="","",IFERROR(IF(ISNUMBER(INDEX($E$9:$E$2008,$W138)),INDEX($E$9:$E$2008,$W138),VALUE(SUBSTITUTE(INDEX($E$9:$E$2008,$W138),",",""))),""))</f>
        <v/>
      </c>
      <c r="AD138" s="29">
        <f>IF($W138="","",IFERROR(IF(ISNUMBER(INDEX($F$9:$F$2008,$W138)),INDEX($F$9:$F$2008,$W138),VALUE(SUBSTITUTE(INDEX($F$9:$F$2008,$W138),",",""))),""))</f>
        <v/>
      </c>
      <c r="AE138" s="29">
        <f>IF($W138="","",IFERROR(IF(ISNUMBER(INDEX($G$9:$G$2008,$W138)),INDEX($G$9:$G$2008,$W138),VALUE(SUBSTITUTE(INDEX($G$9:$G$2008,$W138),",",""))),""))</f>
        <v/>
      </c>
      <c r="AF138" s="29">
        <f>IF($W138="","",IFERROR(IF(ISNUMBER(INDEX($H$9:$H$2008,$W138)),INDEX($H$9:$H$2008,$W138),VALUE(SUBSTITUTE(INDEX($H$9:$H$2008,$W138),",",""))),""))</f>
        <v/>
      </c>
      <c r="AG138" s="29">
        <f>IF($W138="","",IFERROR(IF(ISNUMBER(INDEX($I$9:$I$2008,$W138)),INDEX($I$9:$I$2008,$W138),VALUE(SUBSTITUTE(INDEX($I$9:$I$2008,$W138),",",""))),""))</f>
        <v/>
      </c>
      <c r="AH138" s="29">
        <f>IF($W138="","",IFERROR(IF(ISNUMBER(INDEX($J$9:$J$2008,$W138)),INDEX($J$9:$J$2008,$W138),VALUE(SUBSTITUTE(INDEX($J$9:$J$2008,$W138),",",""))),""))</f>
        <v/>
      </c>
      <c r="AI138" s="29">
        <f>IF($W138="","",IFERROR(IF(ISNUMBER(INDEX($K$9:$K$2008,$W138)),INDEX($K$9:$K$2008,$W138),VALUE(SUBSTITUTE(INDEX($K$9:$K$2008,$W138),",",""))),""))</f>
        <v/>
      </c>
      <c r="AJ138" s="30">
        <f>IF($W138="","",IFERROR(IF(ISNUMBER(INDEX($L$9:$L$2008,$W138)),INDEX($L$9:$L$2008,$W138),VALUE(SUBSTITUTE(INDEX($L$9:$L$2008,$W138),",",""))),""))</f>
        <v/>
      </c>
      <c r="AK138" s="30">
        <f>IF($W138="","",IFERROR(IF(ISNUMBER(INDEX($M$9:$M$2008,$W138)),INDEX($M$9:$M$2008,$W138),VALUE(SUBSTITUTE(INDEX($M$9:$M$2008,$W138),",",""))),""))</f>
        <v/>
      </c>
      <c r="AL138" s="31">
        <f>IF($W138="","",IFERROR(IF(ISNUMBER(INDEX($P$9:$P$2008,$W138)),INDEX($P$9:$P$2008,$W138),VALUE(SUBSTITUTE(INDEX($P$9:$P$2008,$W138),"%",""))/100),""))</f>
        <v/>
      </c>
    </row>
    <row r="139">
      <c r="S139">
        <f>IF(AND(ISTEXT($A139),ISNUMBER(SEARCH(" - ",$A139)),ISERROR(SEARCH("Folio",$A139)),$D139=""),TRIM($A139),$S138)</f>
        <v/>
      </c>
      <c r="T139">
        <f>IF(AND(ISNUMBER(SEARCH("Folio",$A139)),$D139&lt;&gt;""),1,"")</f>
        <v/>
      </c>
      <c r="U139">
        <f>IF($T139=1,COUNTIF($T$9:$T139,1),"")</f>
        <v/>
      </c>
      <c r="V139">
        <f>IF(AND(ISTEXT($A139),LEFT($A140,3)="Pan"),1,"")</f>
        <v/>
      </c>
      <c r="W139" s="21">
        <f>IFERROR(MATCH(131,$U$9:$U$2008,0),"")</f>
        <v/>
      </c>
      <c r="X139" s="22">
        <f>IF($W139="","",IF($R$5&lt;&gt;"",$R$5,$R$6))</f>
        <v/>
      </c>
      <c r="Y139" s="22">
        <f>IF($W139="","",INDEX($S$9:$S$2008,$W139))</f>
        <v/>
      </c>
      <c r="Z139" s="22">
        <f>IF($W139="","",IFERROR(TRIM(LEFT(SUBSTITUTE(INDEX($A$9:$A$2008,$W139),CHAR(10)," "),SEARCH("Folio",SUBSTITUTE(INDEX($A$9:$A$2008,$W139),CHAR(10)," "))-1)),TRIM(SUBSTITUTE(INDEX($A$9:$A$2008,$W139),CHAR(10)," "))))</f>
        <v/>
      </c>
      <c r="AA139" s="22">
        <f>IF($W139="","",IFERROR(TRIM(SUBSTITUTE(MID(SUBSTITUTE(INDEX($A$9:$A$2008,$W139),CHAR(10)," "),SEARCH("Folio",SUBSTITUTE(INDEX($A$9:$A$2008,$W139),CHAR(10)," "))+5,200),":","")),""))</f>
        <v/>
      </c>
      <c r="AB139" s="23">
        <f>IF($W139="","",IF(ISNUMBER(INDEX($D$9:$D$2008,$W139)),INDEX($D$9:$D$2008,$W139),IFERROR(DATE(2000+VALUE(RIGHT(INDEX($D$9:$D$2008,$W139),2)),VALUE(MID(INDEX($D$9:$D$2008,$W139),4,2)),VALUE(LEFT(INDEX($D$9:$D$2008,$W139),2))),"")))</f>
        <v/>
      </c>
      <c r="AC139" s="24">
        <f>IF($W139="","",IFERROR(IF(ISNUMBER(INDEX($E$9:$E$2008,$W139)),INDEX($E$9:$E$2008,$W139),VALUE(SUBSTITUTE(INDEX($E$9:$E$2008,$W139),",",""))),""))</f>
        <v/>
      </c>
      <c r="AD139" s="24">
        <f>IF($W139="","",IFERROR(IF(ISNUMBER(INDEX($F$9:$F$2008,$W139)),INDEX($F$9:$F$2008,$W139),VALUE(SUBSTITUTE(INDEX($F$9:$F$2008,$W139),",",""))),""))</f>
        <v/>
      </c>
      <c r="AE139" s="24">
        <f>IF($W139="","",IFERROR(IF(ISNUMBER(INDEX($G$9:$G$2008,$W139)),INDEX($G$9:$G$2008,$W139),VALUE(SUBSTITUTE(INDEX($G$9:$G$2008,$W139),",",""))),""))</f>
        <v/>
      </c>
      <c r="AF139" s="24">
        <f>IF($W139="","",IFERROR(IF(ISNUMBER(INDEX($H$9:$H$2008,$W139)),INDEX($H$9:$H$2008,$W139),VALUE(SUBSTITUTE(INDEX($H$9:$H$2008,$W139),",",""))),""))</f>
        <v/>
      </c>
      <c r="AG139" s="24">
        <f>IF($W139="","",IFERROR(IF(ISNUMBER(INDEX($I$9:$I$2008,$W139)),INDEX($I$9:$I$2008,$W139),VALUE(SUBSTITUTE(INDEX($I$9:$I$2008,$W139),",",""))),""))</f>
        <v/>
      </c>
      <c r="AH139" s="24">
        <f>IF($W139="","",IFERROR(IF(ISNUMBER(INDEX($J$9:$J$2008,$W139)),INDEX($J$9:$J$2008,$W139),VALUE(SUBSTITUTE(INDEX($J$9:$J$2008,$W139),",",""))),""))</f>
        <v/>
      </c>
      <c r="AI139" s="24">
        <f>IF($W139="","",IFERROR(IF(ISNUMBER(INDEX($K$9:$K$2008,$W139)),INDEX($K$9:$K$2008,$W139),VALUE(SUBSTITUTE(INDEX($K$9:$K$2008,$W139),",",""))),""))</f>
        <v/>
      </c>
      <c r="AJ139" s="25">
        <f>IF($W139="","",IFERROR(IF(ISNUMBER(INDEX($L$9:$L$2008,$W139)),INDEX($L$9:$L$2008,$W139),VALUE(SUBSTITUTE(INDEX($L$9:$L$2008,$W139),",",""))),""))</f>
        <v/>
      </c>
      <c r="AK139" s="25">
        <f>IF($W139="","",IFERROR(IF(ISNUMBER(INDEX($M$9:$M$2008,$W139)),INDEX($M$9:$M$2008,$W139),VALUE(SUBSTITUTE(INDEX($M$9:$M$2008,$W139),",",""))),""))</f>
        <v/>
      </c>
      <c r="AL139" s="26">
        <f>IF($W139="","",IFERROR(IF(ISNUMBER(INDEX($P$9:$P$2008,$W139)),INDEX($P$9:$P$2008,$W139),VALUE(SUBSTITUTE(INDEX($P$9:$P$2008,$W139),"%",""))/100),""))</f>
        <v/>
      </c>
    </row>
    <row r="140">
      <c r="S140">
        <f>IF(AND(ISTEXT($A140),ISNUMBER(SEARCH(" - ",$A140)),ISERROR(SEARCH("Folio",$A140)),$D140=""),TRIM($A140),$S139)</f>
        <v/>
      </c>
      <c r="T140">
        <f>IF(AND(ISNUMBER(SEARCH("Folio",$A140)),$D140&lt;&gt;""),1,"")</f>
        <v/>
      </c>
      <c r="U140">
        <f>IF($T140=1,COUNTIF($T$9:$T140,1),"")</f>
        <v/>
      </c>
      <c r="V140">
        <f>IF(AND(ISTEXT($A140),LEFT($A141,3)="Pan"),1,"")</f>
        <v/>
      </c>
      <c r="W140" s="21">
        <f>IFERROR(MATCH(132,$U$9:$U$2008,0),"")</f>
        <v/>
      </c>
      <c r="X140" s="27">
        <f>IF($W140="","",IF($R$5&lt;&gt;"",$R$5,$R$6))</f>
        <v/>
      </c>
      <c r="Y140" s="27">
        <f>IF($W140="","",INDEX($S$9:$S$2008,$W140))</f>
        <v/>
      </c>
      <c r="Z140" s="27">
        <f>IF($W140="","",IFERROR(TRIM(LEFT(SUBSTITUTE(INDEX($A$9:$A$2008,$W140),CHAR(10)," "),SEARCH("Folio",SUBSTITUTE(INDEX($A$9:$A$2008,$W140),CHAR(10)," "))-1)),TRIM(SUBSTITUTE(INDEX($A$9:$A$2008,$W140),CHAR(10)," "))))</f>
        <v/>
      </c>
      <c r="AA140" s="27">
        <f>IF($W140="","",IFERROR(TRIM(SUBSTITUTE(MID(SUBSTITUTE(INDEX($A$9:$A$2008,$W140),CHAR(10)," "),SEARCH("Folio",SUBSTITUTE(INDEX($A$9:$A$2008,$W140),CHAR(10)," "))+5,200),":","")),""))</f>
        <v/>
      </c>
      <c r="AB140" s="28">
        <f>IF($W140="","",IF(ISNUMBER(INDEX($D$9:$D$2008,$W140)),INDEX($D$9:$D$2008,$W140),IFERROR(DATE(2000+VALUE(RIGHT(INDEX($D$9:$D$2008,$W140),2)),VALUE(MID(INDEX($D$9:$D$2008,$W140),4,2)),VALUE(LEFT(INDEX($D$9:$D$2008,$W140),2))),"")))</f>
        <v/>
      </c>
      <c r="AC140" s="29">
        <f>IF($W140="","",IFERROR(IF(ISNUMBER(INDEX($E$9:$E$2008,$W140)),INDEX($E$9:$E$2008,$W140),VALUE(SUBSTITUTE(INDEX($E$9:$E$2008,$W140),",",""))),""))</f>
        <v/>
      </c>
      <c r="AD140" s="29">
        <f>IF($W140="","",IFERROR(IF(ISNUMBER(INDEX($F$9:$F$2008,$W140)),INDEX($F$9:$F$2008,$W140),VALUE(SUBSTITUTE(INDEX($F$9:$F$2008,$W140),",",""))),""))</f>
        <v/>
      </c>
      <c r="AE140" s="29">
        <f>IF($W140="","",IFERROR(IF(ISNUMBER(INDEX($G$9:$G$2008,$W140)),INDEX($G$9:$G$2008,$W140),VALUE(SUBSTITUTE(INDEX($G$9:$G$2008,$W140),",",""))),""))</f>
        <v/>
      </c>
      <c r="AF140" s="29">
        <f>IF($W140="","",IFERROR(IF(ISNUMBER(INDEX($H$9:$H$2008,$W140)),INDEX($H$9:$H$2008,$W140),VALUE(SUBSTITUTE(INDEX($H$9:$H$2008,$W140),",",""))),""))</f>
        <v/>
      </c>
      <c r="AG140" s="29">
        <f>IF($W140="","",IFERROR(IF(ISNUMBER(INDEX($I$9:$I$2008,$W140)),INDEX($I$9:$I$2008,$W140),VALUE(SUBSTITUTE(INDEX($I$9:$I$2008,$W140),",",""))),""))</f>
        <v/>
      </c>
      <c r="AH140" s="29">
        <f>IF($W140="","",IFERROR(IF(ISNUMBER(INDEX($J$9:$J$2008,$W140)),INDEX($J$9:$J$2008,$W140),VALUE(SUBSTITUTE(INDEX($J$9:$J$2008,$W140),",",""))),""))</f>
        <v/>
      </c>
      <c r="AI140" s="29">
        <f>IF($W140="","",IFERROR(IF(ISNUMBER(INDEX($K$9:$K$2008,$W140)),INDEX($K$9:$K$2008,$W140),VALUE(SUBSTITUTE(INDEX($K$9:$K$2008,$W140),",",""))),""))</f>
        <v/>
      </c>
      <c r="AJ140" s="30">
        <f>IF($W140="","",IFERROR(IF(ISNUMBER(INDEX($L$9:$L$2008,$W140)),INDEX($L$9:$L$2008,$W140),VALUE(SUBSTITUTE(INDEX($L$9:$L$2008,$W140),",",""))),""))</f>
        <v/>
      </c>
      <c r="AK140" s="30">
        <f>IF($W140="","",IFERROR(IF(ISNUMBER(INDEX($M$9:$M$2008,$W140)),INDEX($M$9:$M$2008,$W140),VALUE(SUBSTITUTE(INDEX($M$9:$M$2008,$W140),",",""))),""))</f>
        <v/>
      </c>
      <c r="AL140" s="31">
        <f>IF($W140="","",IFERROR(IF(ISNUMBER(INDEX($P$9:$P$2008,$W140)),INDEX($P$9:$P$2008,$W140),VALUE(SUBSTITUTE(INDEX($P$9:$P$2008,$W140),"%",""))/100),""))</f>
        <v/>
      </c>
    </row>
    <row r="141">
      <c r="S141">
        <f>IF(AND(ISTEXT($A141),ISNUMBER(SEARCH(" - ",$A141)),ISERROR(SEARCH("Folio",$A141)),$D141=""),TRIM($A141),$S140)</f>
        <v/>
      </c>
      <c r="T141">
        <f>IF(AND(ISNUMBER(SEARCH("Folio",$A141)),$D141&lt;&gt;""),1,"")</f>
        <v/>
      </c>
      <c r="U141">
        <f>IF($T141=1,COUNTIF($T$9:$T141,1),"")</f>
        <v/>
      </c>
      <c r="V141">
        <f>IF(AND(ISTEXT($A141),LEFT($A142,3)="Pan"),1,"")</f>
        <v/>
      </c>
      <c r="W141" s="21">
        <f>IFERROR(MATCH(133,$U$9:$U$2008,0),"")</f>
        <v/>
      </c>
      <c r="X141" s="22">
        <f>IF($W141="","",IF($R$5&lt;&gt;"",$R$5,$R$6))</f>
        <v/>
      </c>
      <c r="Y141" s="22">
        <f>IF($W141="","",INDEX($S$9:$S$2008,$W141))</f>
        <v/>
      </c>
      <c r="Z141" s="22">
        <f>IF($W141="","",IFERROR(TRIM(LEFT(SUBSTITUTE(INDEX($A$9:$A$2008,$W141),CHAR(10)," "),SEARCH("Folio",SUBSTITUTE(INDEX($A$9:$A$2008,$W141),CHAR(10)," "))-1)),TRIM(SUBSTITUTE(INDEX($A$9:$A$2008,$W141),CHAR(10)," "))))</f>
        <v/>
      </c>
      <c r="AA141" s="22">
        <f>IF($W141="","",IFERROR(TRIM(SUBSTITUTE(MID(SUBSTITUTE(INDEX($A$9:$A$2008,$W141),CHAR(10)," "),SEARCH("Folio",SUBSTITUTE(INDEX($A$9:$A$2008,$W141),CHAR(10)," "))+5,200),":","")),""))</f>
        <v/>
      </c>
      <c r="AB141" s="23">
        <f>IF($W141="","",IF(ISNUMBER(INDEX($D$9:$D$2008,$W141)),INDEX($D$9:$D$2008,$W141),IFERROR(DATE(2000+VALUE(RIGHT(INDEX($D$9:$D$2008,$W141),2)),VALUE(MID(INDEX($D$9:$D$2008,$W141),4,2)),VALUE(LEFT(INDEX($D$9:$D$2008,$W141),2))),"")))</f>
        <v/>
      </c>
      <c r="AC141" s="24">
        <f>IF($W141="","",IFERROR(IF(ISNUMBER(INDEX($E$9:$E$2008,$W141)),INDEX($E$9:$E$2008,$W141),VALUE(SUBSTITUTE(INDEX($E$9:$E$2008,$W141),",",""))),""))</f>
        <v/>
      </c>
      <c r="AD141" s="24">
        <f>IF($W141="","",IFERROR(IF(ISNUMBER(INDEX($F$9:$F$2008,$W141)),INDEX($F$9:$F$2008,$W141),VALUE(SUBSTITUTE(INDEX($F$9:$F$2008,$W141),",",""))),""))</f>
        <v/>
      </c>
      <c r="AE141" s="24">
        <f>IF($W141="","",IFERROR(IF(ISNUMBER(INDEX($G$9:$G$2008,$W141)),INDEX($G$9:$G$2008,$W141),VALUE(SUBSTITUTE(INDEX($G$9:$G$2008,$W141),",",""))),""))</f>
        <v/>
      </c>
      <c r="AF141" s="24">
        <f>IF($W141="","",IFERROR(IF(ISNUMBER(INDEX($H$9:$H$2008,$W141)),INDEX($H$9:$H$2008,$W141),VALUE(SUBSTITUTE(INDEX($H$9:$H$2008,$W141),",",""))),""))</f>
        <v/>
      </c>
      <c r="AG141" s="24">
        <f>IF($W141="","",IFERROR(IF(ISNUMBER(INDEX($I$9:$I$2008,$W141)),INDEX($I$9:$I$2008,$W141),VALUE(SUBSTITUTE(INDEX($I$9:$I$2008,$W141),",",""))),""))</f>
        <v/>
      </c>
      <c r="AH141" s="24">
        <f>IF($W141="","",IFERROR(IF(ISNUMBER(INDEX($J$9:$J$2008,$W141)),INDEX($J$9:$J$2008,$W141),VALUE(SUBSTITUTE(INDEX($J$9:$J$2008,$W141),",",""))),""))</f>
        <v/>
      </c>
      <c r="AI141" s="24">
        <f>IF($W141="","",IFERROR(IF(ISNUMBER(INDEX($K$9:$K$2008,$W141)),INDEX($K$9:$K$2008,$W141),VALUE(SUBSTITUTE(INDEX($K$9:$K$2008,$W141),",",""))),""))</f>
        <v/>
      </c>
      <c r="AJ141" s="25">
        <f>IF($W141="","",IFERROR(IF(ISNUMBER(INDEX($L$9:$L$2008,$W141)),INDEX($L$9:$L$2008,$W141),VALUE(SUBSTITUTE(INDEX($L$9:$L$2008,$W141),",",""))),""))</f>
        <v/>
      </c>
      <c r="AK141" s="25">
        <f>IF($W141="","",IFERROR(IF(ISNUMBER(INDEX($M$9:$M$2008,$W141)),INDEX($M$9:$M$2008,$W141),VALUE(SUBSTITUTE(INDEX($M$9:$M$2008,$W141),",",""))),""))</f>
        <v/>
      </c>
      <c r="AL141" s="26">
        <f>IF($W141="","",IFERROR(IF(ISNUMBER(INDEX($P$9:$P$2008,$W141)),INDEX($P$9:$P$2008,$W141),VALUE(SUBSTITUTE(INDEX($P$9:$P$2008,$W141),"%",""))/100),""))</f>
        <v/>
      </c>
    </row>
    <row r="142">
      <c r="S142">
        <f>IF(AND(ISTEXT($A142),ISNUMBER(SEARCH(" - ",$A142)),ISERROR(SEARCH("Folio",$A142)),$D142=""),TRIM($A142),$S141)</f>
        <v/>
      </c>
      <c r="T142">
        <f>IF(AND(ISNUMBER(SEARCH("Folio",$A142)),$D142&lt;&gt;""),1,"")</f>
        <v/>
      </c>
      <c r="U142">
        <f>IF($T142=1,COUNTIF($T$9:$T142,1),"")</f>
        <v/>
      </c>
      <c r="V142">
        <f>IF(AND(ISTEXT($A142),LEFT($A143,3)="Pan"),1,"")</f>
        <v/>
      </c>
      <c r="W142" s="21">
        <f>IFERROR(MATCH(134,$U$9:$U$2008,0),"")</f>
        <v/>
      </c>
      <c r="X142" s="27">
        <f>IF($W142="","",IF($R$5&lt;&gt;"",$R$5,$R$6))</f>
        <v/>
      </c>
      <c r="Y142" s="27">
        <f>IF($W142="","",INDEX($S$9:$S$2008,$W142))</f>
        <v/>
      </c>
      <c r="Z142" s="27">
        <f>IF($W142="","",IFERROR(TRIM(LEFT(SUBSTITUTE(INDEX($A$9:$A$2008,$W142),CHAR(10)," "),SEARCH("Folio",SUBSTITUTE(INDEX($A$9:$A$2008,$W142),CHAR(10)," "))-1)),TRIM(SUBSTITUTE(INDEX($A$9:$A$2008,$W142),CHAR(10)," "))))</f>
        <v/>
      </c>
      <c r="AA142" s="27">
        <f>IF($W142="","",IFERROR(TRIM(SUBSTITUTE(MID(SUBSTITUTE(INDEX($A$9:$A$2008,$W142),CHAR(10)," "),SEARCH("Folio",SUBSTITUTE(INDEX($A$9:$A$2008,$W142),CHAR(10)," "))+5,200),":","")),""))</f>
        <v/>
      </c>
      <c r="AB142" s="28">
        <f>IF($W142="","",IF(ISNUMBER(INDEX($D$9:$D$2008,$W142)),INDEX($D$9:$D$2008,$W142),IFERROR(DATE(2000+VALUE(RIGHT(INDEX($D$9:$D$2008,$W142),2)),VALUE(MID(INDEX($D$9:$D$2008,$W142),4,2)),VALUE(LEFT(INDEX($D$9:$D$2008,$W142),2))),"")))</f>
        <v/>
      </c>
      <c r="AC142" s="29">
        <f>IF($W142="","",IFERROR(IF(ISNUMBER(INDEX($E$9:$E$2008,$W142)),INDEX($E$9:$E$2008,$W142),VALUE(SUBSTITUTE(INDEX($E$9:$E$2008,$W142),",",""))),""))</f>
        <v/>
      </c>
      <c r="AD142" s="29">
        <f>IF($W142="","",IFERROR(IF(ISNUMBER(INDEX($F$9:$F$2008,$W142)),INDEX($F$9:$F$2008,$W142),VALUE(SUBSTITUTE(INDEX($F$9:$F$2008,$W142),",",""))),""))</f>
        <v/>
      </c>
      <c r="AE142" s="29">
        <f>IF($W142="","",IFERROR(IF(ISNUMBER(INDEX($G$9:$G$2008,$W142)),INDEX($G$9:$G$2008,$W142),VALUE(SUBSTITUTE(INDEX($G$9:$G$2008,$W142),",",""))),""))</f>
        <v/>
      </c>
      <c r="AF142" s="29">
        <f>IF($W142="","",IFERROR(IF(ISNUMBER(INDEX($H$9:$H$2008,$W142)),INDEX($H$9:$H$2008,$W142),VALUE(SUBSTITUTE(INDEX($H$9:$H$2008,$W142),",",""))),""))</f>
        <v/>
      </c>
      <c r="AG142" s="29">
        <f>IF($W142="","",IFERROR(IF(ISNUMBER(INDEX($I$9:$I$2008,$W142)),INDEX($I$9:$I$2008,$W142),VALUE(SUBSTITUTE(INDEX($I$9:$I$2008,$W142),",",""))),""))</f>
        <v/>
      </c>
      <c r="AH142" s="29">
        <f>IF($W142="","",IFERROR(IF(ISNUMBER(INDEX($J$9:$J$2008,$W142)),INDEX($J$9:$J$2008,$W142),VALUE(SUBSTITUTE(INDEX($J$9:$J$2008,$W142),",",""))),""))</f>
        <v/>
      </c>
      <c r="AI142" s="29">
        <f>IF($W142="","",IFERROR(IF(ISNUMBER(INDEX($K$9:$K$2008,$W142)),INDEX($K$9:$K$2008,$W142),VALUE(SUBSTITUTE(INDEX($K$9:$K$2008,$W142),",",""))),""))</f>
        <v/>
      </c>
      <c r="AJ142" s="30">
        <f>IF($W142="","",IFERROR(IF(ISNUMBER(INDEX($L$9:$L$2008,$W142)),INDEX($L$9:$L$2008,$W142),VALUE(SUBSTITUTE(INDEX($L$9:$L$2008,$W142),",",""))),""))</f>
        <v/>
      </c>
      <c r="AK142" s="30">
        <f>IF($W142="","",IFERROR(IF(ISNUMBER(INDEX($M$9:$M$2008,$W142)),INDEX($M$9:$M$2008,$W142),VALUE(SUBSTITUTE(INDEX($M$9:$M$2008,$W142),",",""))),""))</f>
        <v/>
      </c>
      <c r="AL142" s="31">
        <f>IF($W142="","",IFERROR(IF(ISNUMBER(INDEX($P$9:$P$2008,$W142)),INDEX($P$9:$P$2008,$W142),VALUE(SUBSTITUTE(INDEX($P$9:$P$2008,$W142),"%",""))/100),""))</f>
        <v/>
      </c>
    </row>
    <row r="143">
      <c r="S143">
        <f>IF(AND(ISTEXT($A143),ISNUMBER(SEARCH(" - ",$A143)),ISERROR(SEARCH("Folio",$A143)),$D143=""),TRIM($A143),$S142)</f>
        <v/>
      </c>
      <c r="T143">
        <f>IF(AND(ISNUMBER(SEARCH("Folio",$A143)),$D143&lt;&gt;""),1,"")</f>
        <v/>
      </c>
      <c r="U143">
        <f>IF($T143=1,COUNTIF($T$9:$T143,1),"")</f>
        <v/>
      </c>
      <c r="V143">
        <f>IF(AND(ISTEXT($A143),LEFT($A144,3)="Pan"),1,"")</f>
        <v/>
      </c>
      <c r="W143" s="21">
        <f>IFERROR(MATCH(135,$U$9:$U$2008,0),"")</f>
        <v/>
      </c>
      <c r="X143" s="22">
        <f>IF($W143="","",IF($R$5&lt;&gt;"",$R$5,$R$6))</f>
        <v/>
      </c>
      <c r="Y143" s="22">
        <f>IF($W143="","",INDEX($S$9:$S$2008,$W143))</f>
        <v/>
      </c>
      <c r="Z143" s="22">
        <f>IF($W143="","",IFERROR(TRIM(LEFT(SUBSTITUTE(INDEX($A$9:$A$2008,$W143),CHAR(10)," "),SEARCH("Folio",SUBSTITUTE(INDEX($A$9:$A$2008,$W143),CHAR(10)," "))-1)),TRIM(SUBSTITUTE(INDEX($A$9:$A$2008,$W143),CHAR(10)," "))))</f>
        <v/>
      </c>
      <c r="AA143" s="22">
        <f>IF($W143="","",IFERROR(TRIM(SUBSTITUTE(MID(SUBSTITUTE(INDEX($A$9:$A$2008,$W143),CHAR(10)," "),SEARCH("Folio",SUBSTITUTE(INDEX($A$9:$A$2008,$W143),CHAR(10)," "))+5,200),":","")),""))</f>
        <v/>
      </c>
      <c r="AB143" s="23">
        <f>IF($W143="","",IF(ISNUMBER(INDEX($D$9:$D$2008,$W143)),INDEX($D$9:$D$2008,$W143),IFERROR(DATE(2000+VALUE(RIGHT(INDEX($D$9:$D$2008,$W143),2)),VALUE(MID(INDEX($D$9:$D$2008,$W143),4,2)),VALUE(LEFT(INDEX($D$9:$D$2008,$W143),2))),"")))</f>
        <v/>
      </c>
      <c r="AC143" s="24">
        <f>IF($W143="","",IFERROR(IF(ISNUMBER(INDEX($E$9:$E$2008,$W143)),INDEX($E$9:$E$2008,$W143),VALUE(SUBSTITUTE(INDEX($E$9:$E$2008,$W143),",",""))),""))</f>
        <v/>
      </c>
      <c r="AD143" s="24">
        <f>IF($W143="","",IFERROR(IF(ISNUMBER(INDEX($F$9:$F$2008,$W143)),INDEX($F$9:$F$2008,$W143),VALUE(SUBSTITUTE(INDEX($F$9:$F$2008,$W143),",",""))),""))</f>
        <v/>
      </c>
      <c r="AE143" s="24">
        <f>IF($W143="","",IFERROR(IF(ISNUMBER(INDEX($G$9:$G$2008,$W143)),INDEX($G$9:$G$2008,$W143),VALUE(SUBSTITUTE(INDEX($G$9:$G$2008,$W143),",",""))),""))</f>
        <v/>
      </c>
      <c r="AF143" s="24">
        <f>IF($W143="","",IFERROR(IF(ISNUMBER(INDEX($H$9:$H$2008,$W143)),INDEX($H$9:$H$2008,$W143),VALUE(SUBSTITUTE(INDEX($H$9:$H$2008,$W143),",",""))),""))</f>
        <v/>
      </c>
      <c r="AG143" s="24">
        <f>IF($W143="","",IFERROR(IF(ISNUMBER(INDEX($I$9:$I$2008,$W143)),INDEX($I$9:$I$2008,$W143),VALUE(SUBSTITUTE(INDEX($I$9:$I$2008,$W143),",",""))),""))</f>
        <v/>
      </c>
      <c r="AH143" s="24">
        <f>IF($W143="","",IFERROR(IF(ISNUMBER(INDEX($J$9:$J$2008,$W143)),INDEX($J$9:$J$2008,$W143),VALUE(SUBSTITUTE(INDEX($J$9:$J$2008,$W143),",",""))),""))</f>
        <v/>
      </c>
      <c r="AI143" s="24">
        <f>IF($W143="","",IFERROR(IF(ISNUMBER(INDEX($K$9:$K$2008,$W143)),INDEX($K$9:$K$2008,$W143),VALUE(SUBSTITUTE(INDEX($K$9:$K$2008,$W143),",",""))),""))</f>
        <v/>
      </c>
      <c r="AJ143" s="25">
        <f>IF($W143="","",IFERROR(IF(ISNUMBER(INDEX($L$9:$L$2008,$W143)),INDEX($L$9:$L$2008,$W143),VALUE(SUBSTITUTE(INDEX($L$9:$L$2008,$W143),",",""))),""))</f>
        <v/>
      </c>
      <c r="AK143" s="25">
        <f>IF($W143="","",IFERROR(IF(ISNUMBER(INDEX($M$9:$M$2008,$W143)),INDEX($M$9:$M$2008,$W143),VALUE(SUBSTITUTE(INDEX($M$9:$M$2008,$W143),",",""))),""))</f>
        <v/>
      </c>
      <c r="AL143" s="26">
        <f>IF($W143="","",IFERROR(IF(ISNUMBER(INDEX($P$9:$P$2008,$W143)),INDEX($P$9:$P$2008,$W143),VALUE(SUBSTITUTE(INDEX($P$9:$P$2008,$W143),"%",""))/100),""))</f>
        <v/>
      </c>
    </row>
    <row r="144">
      <c r="S144">
        <f>IF(AND(ISTEXT($A144),ISNUMBER(SEARCH(" - ",$A144)),ISERROR(SEARCH("Folio",$A144)),$D144=""),TRIM($A144),$S143)</f>
        <v/>
      </c>
      <c r="T144">
        <f>IF(AND(ISNUMBER(SEARCH("Folio",$A144)),$D144&lt;&gt;""),1,"")</f>
        <v/>
      </c>
      <c r="U144">
        <f>IF($T144=1,COUNTIF($T$9:$T144,1),"")</f>
        <v/>
      </c>
      <c r="V144">
        <f>IF(AND(ISTEXT($A144),LEFT($A145,3)="Pan"),1,"")</f>
        <v/>
      </c>
      <c r="W144" s="21">
        <f>IFERROR(MATCH(136,$U$9:$U$2008,0),"")</f>
        <v/>
      </c>
      <c r="X144" s="27">
        <f>IF($W144="","",IF($R$5&lt;&gt;"",$R$5,$R$6))</f>
        <v/>
      </c>
      <c r="Y144" s="27">
        <f>IF($W144="","",INDEX($S$9:$S$2008,$W144))</f>
        <v/>
      </c>
      <c r="Z144" s="27">
        <f>IF($W144="","",IFERROR(TRIM(LEFT(SUBSTITUTE(INDEX($A$9:$A$2008,$W144),CHAR(10)," "),SEARCH("Folio",SUBSTITUTE(INDEX($A$9:$A$2008,$W144),CHAR(10)," "))-1)),TRIM(SUBSTITUTE(INDEX($A$9:$A$2008,$W144),CHAR(10)," "))))</f>
        <v/>
      </c>
      <c r="AA144" s="27">
        <f>IF($W144="","",IFERROR(TRIM(SUBSTITUTE(MID(SUBSTITUTE(INDEX($A$9:$A$2008,$W144),CHAR(10)," "),SEARCH("Folio",SUBSTITUTE(INDEX($A$9:$A$2008,$W144),CHAR(10)," "))+5,200),":","")),""))</f>
        <v/>
      </c>
      <c r="AB144" s="28">
        <f>IF($W144="","",IF(ISNUMBER(INDEX($D$9:$D$2008,$W144)),INDEX($D$9:$D$2008,$W144),IFERROR(DATE(2000+VALUE(RIGHT(INDEX($D$9:$D$2008,$W144),2)),VALUE(MID(INDEX($D$9:$D$2008,$W144),4,2)),VALUE(LEFT(INDEX($D$9:$D$2008,$W144),2))),"")))</f>
        <v/>
      </c>
      <c r="AC144" s="29">
        <f>IF($W144="","",IFERROR(IF(ISNUMBER(INDEX($E$9:$E$2008,$W144)),INDEX($E$9:$E$2008,$W144),VALUE(SUBSTITUTE(INDEX($E$9:$E$2008,$W144),",",""))),""))</f>
        <v/>
      </c>
      <c r="AD144" s="29">
        <f>IF($W144="","",IFERROR(IF(ISNUMBER(INDEX($F$9:$F$2008,$W144)),INDEX($F$9:$F$2008,$W144),VALUE(SUBSTITUTE(INDEX($F$9:$F$2008,$W144),",",""))),""))</f>
        <v/>
      </c>
      <c r="AE144" s="29">
        <f>IF($W144="","",IFERROR(IF(ISNUMBER(INDEX($G$9:$G$2008,$W144)),INDEX($G$9:$G$2008,$W144),VALUE(SUBSTITUTE(INDEX($G$9:$G$2008,$W144),",",""))),""))</f>
        <v/>
      </c>
      <c r="AF144" s="29">
        <f>IF($W144="","",IFERROR(IF(ISNUMBER(INDEX($H$9:$H$2008,$W144)),INDEX($H$9:$H$2008,$W144),VALUE(SUBSTITUTE(INDEX($H$9:$H$2008,$W144),",",""))),""))</f>
        <v/>
      </c>
      <c r="AG144" s="29">
        <f>IF($W144="","",IFERROR(IF(ISNUMBER(INDEX($I$9:$I$2008,$W144)),INDEX($I$9:$I$2008,$W144),VALUE(SUBSTITUTE(INDEX($I$9:$I$2008,$W144),",",""))),""))</f>
        <v/>
      </c>
      <c r="AH144" s="29">
        <f>IF($W144="","",IFERROR(IF(ISNUMBER(INDEX($J$9:$J$2008,$W144)),INDEX($J$9:$J$2008,$W144),VALUE(SUBSTITUTE(INDEX($J$9:$J$2008,$W144),",",""))),""))</f>
        <v/>
      </c>
      <c r="AI144" s="29">
        <f>IF($W144="","",IFERROR(IF(ISNUMBER(INDEX($K$9:$K$2008,$W144)),INDEX($K$9:$K$2008,$W144),VALUE(SUBSTITUTE(INDEX($K$9:$K$2008,$W144),",",""))),""))</f>
        <v/>
      </c>
      <c r="AJ144" s="30">
        <f>IF($W144="","",IFERROR(IF(ISNUMBER(INDEX($L$9:$L$2008,$W144)),INDEX($L$9:$L$2008,$W144),VALUE(SUBSTITUTE(INDEX($L$9:$L$2008,$W144),",",""))),""))</f>
        <v/>
      </c>
      <c r="AK144" s="30">
        <f>IF($W144="","",IFERROR(IF(ISNUMBER(INDEX($M$9:$M$2008,$W144)),INDEX($M$9:$M$2008,$W144),VALUE(SUBSTITUTE(INDEX($M$9:$M$2008,$W144),",",""))),""))</f>
        <v/>
      </c>
      <c r="AL144" s="31">
        <f>IF($W144="","",IFERROR(IF(ISNUMBER(INDEX($P$9:$P$2008,$W144)),INDEX($P$9:$P$2008,$W144),VALUE(SUBSTITUTE(INDEX($P$9:$P$2008,$W144),"%",""))/100),""))</f>
        <v/>
      </c>
    </row>
    <row r="145">
      <c r="S145">
        <f>IF(AND(ISTEXT($A145),ISNUMBER(SEARCH(" - ",$A145)),ISERROR(SEARCH("Folio",$A145)),$D145=""),TRIM($A145),$S144)</f>
        <v/>
      </c>
      <c r="T145">
        <f>IF(AND(ISNUMBER(SEARCH("Folio",$A145)),$D145&lt;&gt;""),1,"")</f>
        <v/>
      </c>
      <c r="U145">
        <f>IF($T145=1,COUNTIF($T$9:$T145,1),"")</f>
        <v/>
      </c>
      <c r="V145">
        <f>IF(AND(ISTEXT($A145),LEFT($A146,3)="Pan"),1,"")</f>
        <v/>
      </c>
      <c r="W145" s="21">
        <f>IFERROR(MATCH(137,$U$9:$U$2008,0),"")</f>
        <v/>
      </c>
      <c r="X145" s="22">
        <f>IF($W145="","",IF($R$5&lt;&gt;"",$R$5,$R$6))</f>
        <v/>
      </c>
      <c r="Y145" s="22">
        <f>IF($W145="","",INDEX($S$9:$S$2008,$W145))</f>
        <v/>
      </c>
      <c r="Z145" s="22">
        <f>IF($W145="","",IFERROR(TRIM(LEFT(SUBSTITUTE(INDEX($A$9:$A$2008,$W145),CHAR(10)," "),SEARCH("Folio",SUBSTITUTE(INDEX($A$9:$A$2008,$W145),CHAR(10)," "))-1)),TRIM(SUBSTITUTE(INDEX($A$9:$A$2008,$W145),CHAR(10)," "))))</f>
        <v/>
      </c>
      <c r="AA145" s="22">
        <f>IF($W145="","",IFERROR(TRIM(SUBSTITUTE(MID(SUBSTITUTE(INDEX($A$9:$A$2008,$W145),CHAR(10)," "),SEARCH("Folio",SUBSTITUTE(INDEX($A$9:$A$2008,$W145),CHAR(10)," "))+5,200),":","")),""))</f>
        <v/>
      </c>
      <c r="AB145" s="23">
        <f>IF($W145="","",IF(ISNUMBER(INDEX($D$9:$D$2008,$W145)),INDEX($D$9:$D$2008,$W145),IFERROR(DATE(2000+VALUE(RIGHT(INDEX($D$9:$D$2008,$W145),2)),VALUE(MID(INDEX($D$9:$D$2008,$W145),4,2)),VALUE(LEFT(INDEX($D$9:$D$2008,$W145),2))),"")))</f>
        <v/>
      </c>
      <c r="AC145" s="24">
        <f>IF($W145="","",IFERROR(IF(ISNUMBER(INDEX($E$9:$E$2008,$W145)),INDEX($E$9:$E$2008,$W145),VALUE(SUBSTITUTE(INDEX($E$9:$E$2008,$W145),",",""))),""))</f>
        <v/>
      </c>
      <c r="AD145" s="24">
        <f>IF($W145="","",IFERROR(IF(ISNUMBER(INDEX($F$9:$F$2008,$W145)),INDEX($F$9:$F$2008,$W145),VALUE(SUBSTITUTE(INDEX($F$9:$F$2008,$W145),",",""))),""))</f>
        <v/>
      </c>
      <c r="AE145" s="24">
        <f>IF($W145="","",IFERROR(IF(ISNUMBER(INDEX($G$9:$G$2008,$W145)),INDEX($G$9:$G$2008,$W145),VALUE(SUBSTITUTE(INDEX($G$9:$G$2008,$W145),",",""))),""))</f>
        <v/>
      </c>
      <c r="AF145" s="24">
        <f>IF($W145="","",IFERROR(IF(ISNUMBER(INDEX($H$9:$H$2008,$W145)),INDEX($H$9:$H$2008,$W145),VALUE(SUBSTITUTE(INDEX($H$9:$H$2008,$W145),",",""))),""))</f>
        <v/>
      </c>
      <c r="AG145" s="24">
        <f>IF($W145="","",IFERROR(IF(ISNUMBER(INDEX($I$9:$I$2008,$W145)),INDEX($I$9:$I$2008,$W145),VALUE(SUBSTITUTE(INDEX($I$9:$I$2008,$W145),",",""))),""))</f>
        <v/>
      </c>
      <c r="AH145" s="24">
        <f>IF($W145="","",IFERROR(IF(ISNUMBER(INDEX($J$9:$J$2008,$W145)),INDEX($J$9:$J$2008,$W145),VALUE(SUBSTITUTE(INDEX($J$9:$J$2008,$W145),",",""))),""))</f>
        <v/>
      </c>
      <c r="AI145" s="24">
        <f>IF($W145="","",IFERROR(IF(ISNUMBER(INDEX($K$9:$K$2008,$W145)),INDEX($K$9:$K$2008,$W145),VALUE(SUBSTITUTE(INDEX($K$9:$K$2008,$W145),",",""))),""))</f>
        <v/>
      </c>
      <c r="AJ145" s="25">
        <f>IF($W145="","",IFERROR(IF(ISNUMBER(INDEX($L$9:$L$2008,$W145)),INDEX($L$9:$L$2008,$W145),VALUE(SUBSTITUTE(INDEX($L$9:$L$2008,$W145),",",""))),""))</f>
        <v/>
      </c>
      <c r="AK145" s="25">
        <f>IF($W145="","",IFERROR(IF(ISNUMBER(INDEX($M$9:$M$2008,$W145)),INDEX($M$9:$M$2008,$W145),VALUE(SUBSTITUTE(INDEX($M$9:$M$2008,$W145),",",""))),""))</f>
        <v/>
      </c>
      <c r="AL145" s="26">
        <f>IF($W145="","",IFERROR(IF(ISNUMBER(INDEX($P$9:$P$2008,$W145)),INDEX($P$9:$P$2008,$W145),VALUE(SUBSTITUTE(INDEX($P$9:$P$2008,$W145),"%",""))/100),""))</f>
        <v/>
      </c>
    </row>
    <row r="146">
      <c r="S146">
        <f>IF(AND(ISTEXT($A146),ISNUMBER(SEARCH(" - ",$A146)),ISERROR(SEARCH("Folio",$A146)),$D146=""),TRIM($A146),$S145)</f>
        <v/>
      </c>
      <c r="T146">
        <f>IF(AND(ISNUMBER(SEARCH("Folio",$A146)),$D146&lt;&gt;""),1,"")</f>
        <v/>
      </c>
      <c r="U146">
        <f>IF($T146=1,COUNTIF($T$9:$T146,1),"")</f>
        <v/>
      </c>
      <c r="V146">
        <f>IF(AND(ISTEXT($A146),LEFT($A147,3)="Pan"),1,"")</f>
        <v/>
      </c>
      <c r="W146" s="21">
        <f>IFERROR(MATCH(138,$U$9:$U$2008,0),"")</f>
        <v/>
      </c>
      <c r="X146" s="27">
        <f>IF($W146="","",IF($R$5&lt;&gt;"",$R$5,$R$6))</f>
        <v/>
      </c>
      <c r="Y146" s="27">
        <f>IF($W146="","",INDEX($S$9:$S$2008,$W146))</f>
        <v/>
      </c>
      <c r="Z146" s="27">
        <f>IF($W146="","",IFERROR(TRIM(LEFT(SUBSTITUTE(INDEX($A$9:$A$2008,$W146),CHAR(10)," "),SEARCH("Folio",SUBSTITUTE(INDEX($A$9:$A$2008,$W146),CHAR(10)," "))-1)),TRIM(SUBSTITUTE(INDEX($A$9:$A$2008,$W146),CHAR(10)," "))))</f>
        <v/>
      </c>
      <c r="AA146" s="27">
        <f>IF($W146="","",IFERROR(TRIM(SUBSTITUTE(MID(SUBSTITUTE(INDEX($A$9:$A$2008,$W146),CHAR(10)," "),SEARCH("Folio",SUBSTITUTE(INDEX($A$9:$A$2008,$W146),CHAR(10)," "))+5,200),":","")),""))</f>
        <v/>
      </c>
      <c r="AB146" s="28">
        <f>IF($W146="","",IF(ISNUMBER(INDEX($D$9:$D$2008,$W146)),INDEX($D$9:$D$2008,$W146),IFERROR(DATE(2000+VALUE(RIGHT(INDEX($D$9:$D$2008,$W146),2)),VALUE(MID(INDEX($D$9:$D$2008,$W146),4,2)),VALUE(LEFT(INDEX($D$9:$D$2008,$W146),2))),"")))</f>
        <v/>
      </c>
      <c r="AC146" s="29">
        <f>IF($W146="","",IFERROR(IF(ISNUMBER(INDEX($E$9:$E$2008,$W146)),INDEX($E$9:$E$2008,$W146),VALUE(SUBSTITUTE(INDEX($E$9:$E$2008,$W146),",",""))),""))</f>
        <v/>
      </c>
      <c r="AD146" s="29">
        <f>IF($W146="","",IFERROR(IF(ISNUMBER(INDEX($F$9:$F$2008,$W146)),INDEX($F$9:$F$2008,$W146),VALUE(SUBSTITUTE(INDEX($F$9:$F$2008,$W146),",",""))),""))</f>
        <v/>
      </c>
      <c r="AE146" s="29">
        <f>IF($W146="","",IFERROR(IF(ISNUMBER(INDEX($G$9:$G$2008,$W146)),INDEX($G$9:$G$2008,$W146),VALUE(SUBSTITUTE(INDEX($G$9:$G$2008,$W146),",",""))),""))</f>
        <v/>
      </c>
      <c r="AF146" s="29">
        <f>IF($W146="","",IFERROR(IF(ISNUMBER(INDEX($H$9:$H$2008,$W146)),INDEX($H$9:$H$2008,$W146),VALUE(SUBSTITUTE(INDEX($H$9:$H$2008,$W146),",",""))),""))</f>
        <v/>
      </c>
      <c r="AG146" s="29">
        <f>IF($W146="","",IFERROR(IF(ISNUMBER(INDEX($I$9:$I$2008,$W146)),INDEX($I$9:$I$2008,$W146),VALUE(SUBSTITUTE(INDEX($I$9:$I$2008,$W146),",",""))),""))</f>
        <v/>
      </c>
      <c r="AH146" s="29">
        <f>IF($W146="","",IFERROR(IF(ISNUMBER(INDEX($J$9:$J$2008,$W146)),INDEX($J$9:$J$2008,$W146),VALUE(SUBSTITUTE(INDEX($J$9:$J$2008,$W146),",",""))),""))</f>
        <v/>
      </c>
      <c r="AI146" s="29">
        <f>IF($W146="","",IFERROR(IF(ISNUMBER(INDEX($K$9:$K$2008,$W146)),INDEX($K$9:$K$2008,$W146),VALUE(SUBSTITUTE(INDEX($K$9:$K$2008,$W146),",",""))),""))</f>
        <v/>
      </c>
      <c r="AJ146" s="30">
        <f>IF($W146="","",IFERROR(IF(ISNUMBER(INDEX($L$9:$L$2008,$W146)),INDEX($L$9:$L$2008,$W146),VALUE(SUBSTITUTE(INDEX($L$9:$L$2008,$W146),",",""))),""))</f>
        <v/>
      </c>
      <c r="AK146" s="30">
        <f>IF($W146="","",IFERROR(IF(ISNUMBER(INDEX($M$9:$M$2008,$W146)),INDEX($M$9:$M$2008,$W146),VALUE(SUBSTITUTE(INDEX($M$9:$M$2008,$W146),",",""))),""))</f>
        <v/>
      </c>
      <c r="AL146" s="31">
        <f>IF($W146="","",IFERROR(IF(ISNUMBER(INDEX($P$9:$P$2008,$W146)),INDEX($P$9:$P$2008,$W146),VALUE(SUBSTITUTE(INDEX($P$9:$P$2008,$W146),"%",""))/100),""))</f>
        <v/>
      </c>
    </row>
    <row r="147">
      <c r="S147">
        <f>IF(AND(ISTEXT($A147),ISNUMBER(SEARCH(" - ",$A147)),ISERROR(SEARCH("Folio",$A147)),$D147=""),TRIM($A147),$S146)</f>
        <v/>
      </c>
      <c r="T147">
        <f>IF(AND(ISNUMBER(SEARCH("Folio",$A147)),$D147&lt;&gt;""),1,"")</f>
        <v/>
      </c>
      <c r="U147">
        <f>IF($T147=1,COUNTIF($T$9:$T147,1),"")</f>
        <v/>
      </c>
      <c r="V147">
        <f>IF(AND(ISTEXT($A147),LEFT($A148,3)="Pan"),1,"")</f>
        <v/>
      </c>
      <c r="W147" s="21">
        <f>IFERROR(MATCH(139,$U$9:$U$2008,0),"")</f>
        <v/>
      </c>
      <c r="X147" s="22">
        <f>IF($W147="","",IF($R$5&lt;&gt;"",$R$5,$R$6))</f>
        <v/>
      </c>
      <c r="Y147" s="22">
        <f>IF($W147="","",INDEX($S$9:$S$2008,$W147))</f>
        <v/>
      </c>
      <c r="Z147" s="22">
        <f>IF($W147="","",IFERROR(TRIM(LEFT(SUBSTITUTE(INDEX($A$9:$A$2008,$W147),CHAR(10)," "),SEARCH("Folio",SUBSTITUTE(INDEX($A$9:$A$2008,$W147),CHAR(10)," "))-1)),TRIM(SUBSTITUTE(INDEX($A$9:$A$2008,$W147),CHAR(10)," "))))</f>
        <v/>
      </c>
      <c r="AA147" s="22">
        <f>IF($W147="","",IFERROR(TRIM(SUBSTITUTE(MID(SUBSTITUTE(INDEX($A$9:$A$2008,$W147),CHAR(10)," "),SEARCH("Folio",SUBSTITUTE(INDEX($A$9:$A$2008,$W147),CHAR(10)," "))+5,200),":","")),""))</f>
        <v/>
      </c>
      <c r="AB147" s="23">
        <f>IF($W147="","",IF(ISNUMBER(INDEX($D$9:$D$2008,$W147)),INDEX($D$9:$D$2008,$W147),IFERROR(DATE(2000+VALUE(RIGHT(INDEX($D$9:$D$2008,$W147),2)),VALUE(MID(INDEX($D$9:$D$2008,$W147),4,2)),VALUE(LEFT(INDEX($D$9:$D$2008,$W147),2))),"")))</f>
        <v/>
      </c>
      <c r="AC147" s="24">
        <f>IF($W147="","",IFERROR(IF(ISNUMBER(INDEX($E$9:$E$2008,$W147)),INDEX($E$9:$E$2008,$W147),VALUE(SUBSTITUTE(INDEX($E$9:$E$2008,$W147),",",""))),""))</f>
        <v/>
      </c>
      <c r="AD147" s="24">
        <f>IF($W147="","",IFERROR(IF(ISNUMBER(INDEX($F$9:$F$2008,$W147)),INDEX($F$9:$F$2008,$W147),VALUE(SUBSTITUTE(INDEX($F$9:$F$2008,$W147),",",""))),""))</f>
        <v/>
      </c>
      <c r="AE147" s="24">
        <f>IF($W147="","",IFERROR(IF(ISNUMBER(INDEX($G$9:$G$2008,$W147)),INDEX($G$9:$G$2008,$W147),VALUE(SUBSTITUTE(INDEX($G$9:$G$2008,$W147),",",""))),""))</f>
        <v/>
      </c>
      <c r="AF147" s="24">
        <f>IF($W147="","",IFERROR(IF(ISNUMBER(INDEX($H$9:$H$2008,$W147)),INDEX($H$9:$H$2008,$W147),VALUE(SUBSTITUTE(INDEX($H$9:$H$2008,$W147),",",""))),""))</f>
        <v/>
      </c>
      <c r="AG147" s="24">
        <f>IF($W147="","",IFERROR(IF(ISNUMBER(INDEX($I$9:$I$2008,$W147)),INDEX($I$9:$I$2008,$W147),VALUE(SUBSTITUTE(INDEX($I$9:$I$2008,$W147),",",""))),""))</f>
        <v/>
      </c>
      <c r="AH147" s="24">
        <f>IF($W147="","",IFERROR(IF(ISNUMBER(INDEX($J$9:$J$2008,$W147)),INDEX($J$9:$J$2008,$W147),VALUE(SUBSTITUTE(INDEX($J$9:$J$2008,$W147),",",""))),""))</f>
        <v/>
      </c>
      <c r="AI147" s="24">
        <f>IF($W147="","",IFERROR(IF(ISNUMBER(INDEX($K$9:$K$2008,$W147)),INDEX($K$9:$K$2008,$W147),VALUE(SUBSTITUTE(INDEX($K$9:$K$2008,$W147),",",""))),""))</f>
        <v/>
      </c>
      <c r="AJ147" s="25">
        <f>IF($W147="","",IFERROR(IF(ISNUMBER(INDEX($L$9:$L$2008,$W147)),INDEX($L$9:$L$2008,$W147),VALUE(SUBSTITUTE(INDEX($L$9:$L$2008,$W147),",",""))),""))</f>
        <v/>
      </c>
      <c r="AK147" s="25">
        <f>IF($W147="","",IFERROR(IF(ISNUMBER(INDEX($M$9:$M$2008,$W147)),INDEX($M$9:$M$2008,$W147),VALUE(SUBSTITUTE(INDEX($M$9:$M$2008,$W147),",",""))),""))</f>
        <v/>
      </c>
      <c r="AL147" s="26">
        <f>IF($W147="","",IFERROR(IF(ISNUMBER(INDEX($P$9:$P$2008,$W147)),INDEX($P$9:$P$2008,$W147),VALUE(SUBSTITUTE(INDEX($P$9:$P$2008,$W147),"%",""))/100),""))</f>
        <v/>
      </c>
    </row>
    <row r="148">
      <c r="S148">
        <f>IF(AND(ISTEXT($A148),ISNUMBER(SEARCH(" - ",$A148)),ISERROR(SEARCH("Folio",$A148)),$D148=""),TRIM($A148),$S147)</f>
        <v/>
      </c>
      <c r="T148">
        <f>IF(AND(ISNUMBER(SEARCH("Folio",$A148)),$D148&lt;&gt;""),1,"")</f>
        <v/>
      </c>
      <c r="U148">
        <f>IF($T148=1,COUNTIF($T$9:$T148,1),"")</f>
        <v/>
      </c>
      <c r="V148">
        <f>IF(AND(ISTEXT($A148),LEFT($A149,3)="Pan"),1,"")</f>
        <v/>
      </c>
      <c r="W148" s="21">
        <f>IFERROR(MATCH(140,$U$9:$U$2008,0),"")</f>
        <v/>
      </c>
      <c r="X148" s="27">
        <f>IF($W148="","",IF($R$5&lt;&gt;"",$R$5,$R$6))</f>
        <v/>
      </c>
      <c r="Y148" s="27">
        <f>IF($W148="","",INDEX($S$9:$S$2008,$W148))</f>
        <v/>
      </c>
      <c r="Z148" s="27">
        <f>IF($W148="","",IFERROR(TRIM(LEFT(SUBSTITUTE(INDEX($A$9:$A$2008,$W148),CHAR(10)," "),SEARCH("Folio",SUBSTITUTE(INDEX($A$9:$A$2008,$W148),CHAR(10)," "))-1)),TRIM(SUBSTITUTE(INDEX($A$9:$A$2008,$W148),CHAR(10)," "))))</f>
        <v/>
      </c>
      <c r="AA148" s="27">
        <f>IF($W148="","",IFERROR(TRIM(SUBSTITUTE(MID(SUBSTITUTE(INDEX($A$9:$A$2008,$W148),CHAR(10)," "),SEARCH("Folio",SUBSTITUTE(INDEX($A$9:$A$2008,$W148),CHAR(10)," "))+5,200),":","")),""))</f>
        <v/>
      </c>
      <c r="AB148" s="28">
        <f>IF($W148="","",IF(ISNUMBER(INDEX($D$9:$D$2008,$W148)),INDEX($D$9:$D$2008,$W148),IFERROR(DATE(2000+VALUE(RIGHT(INDEX($D$9:$D$2008,$W148),2)),VALUE(MID(INDEX($D$9:$D$2008,$W148),4,2)),VALUE(LEFT(INDEX($D$9:$D$2008,$W148),2))),"")))</f>
        <v/>
      </c>
      <c r="AC148" s="29">
        <f>IF($W148="","",IFERROR(IF(ISNUMBER(INDEX($E$9:$E$2008,$W148)),INDEX($E$9:$E$2008,$W148),VALUE(SUBSTITUTE(INDEX($E$9:$E$2008,$W148),",",""))),""))</f>
        <v/>
      </c>
      <c r="AD148" s="29">
        <f>IF($W148="","",IFERROR(IF(ISNUMBER(INDEX($F$9:$F$2008,$W148)),INDEX($F$9:$F$2008,$W148),VALUE(SUBSTITUTE(INDEX($F$9:$F$2008,$W148),",",""))),""))</f>
        <v/>
      </c>
      <c r="AE148" s="29">
        <f>IF($W148="","",IFERROR(IF(ISNUMBER(INDEX($G$9:$G$2008,$W148)),INDEX($G$9:$G$2008,$W148),VALUE(SUBSTITUTE(INDEX($G$9:$G$2008,$W148),",",""))),""))</f>
        <v/>
      </c>
      <c r="AF148" s="29">
        <f>IF($W148="","",IFERROR(IF(ISNUMBER(INDEX($H$9:$H$2008,$W148)),INDEX($H$9:$H$2008,$W148),VALUE(SUBSTITUTE(INDEX($H$9:$H$2008,$W148),",",""))),""))</f>
        <v/>
      </c>
      <c r="AG148" s="29">
        <f>IF($W148="","",IFERROR(IF(ISNUMBER(INDEX($I$9:$I$2008,$W148)),INDEX($I$9:$I$2008,$W148),VALUE(SUBSTITUTE(INDEX($I$9:$I$2008,$W148),",",""))),""))</f>
        <v/>
      </c>
      <c r="AH148" s="29">
        <f>IF($W148="","",IFERROR(IF(ISNUMBER(INDEX($J$9:$J$2008,$W148)),INDEX($J$9:$J$2008,$W148),VALUE(SUBSTITUTE(INDEX($J$9:$J$2008,$W148),",",""))),""))</f>
        <v/>
      </c>
      <c r="AI148" s="29">
        <f>IF($W148="","",IFERROR(IF(ISNUMBER(INDEX($K$9:$K$2008,$W148)),INDEX($K$9:$K$2008,$W148),VALUE(SUBSTITUTE(INDEX($K$9:$K$2008,$W148),",",""))),""))</f>
        <v/>
      </c>
      <c r="AJ148" s="30">
        <f>IF($W148="","",IFERROR(IF(ISNUMBER(INDEX($L$9:$L$2008,$W148)),INDEX($L$9:$L$2008,$W148),VALUE(SUBSTITUTE(INDEX($L$9:$L$2008,$W148),",",""))),""))</f>
        <v/>
      </c>
      <c r="AK148" s="30">
        <f>IF($W148="","",IFERROR(IF(ISNUMBER(INDEX($M$9:$M$2008,$W148)),INDEX($M$9:$M$2008,$W148),VALUE(SUBSTITUTE(INDEX($M$9:$M$2008,$W148),",",""))),""))</f>
        <v/>
      </c>
      <c r="AL148" s="31">
        <f>IF($W148="","",IFERROR(IF(ISNUMBER(INDEX($P$9:$P$2008,$W148)),INDEX($P$9:$P$2008,$W148),VALUE(SUBSTITUTE(INDEX($P$9:$P$2008,$W148),"%",""))/100),""))</f>
        <v/>
      </c>
    </row>
    <row r="149">
      <c r="S149">
        <f>IF(AND(ISTEXT($A149),ISNUMBER(SEARCH(" - ",$A149)),ISERROR(SEARCH("Folio",$A149)),$D149=""),TRIM($A149),$S148)</f>
        <v/>
      </c>
      <c r="T149">
        <f>IF(AND(ISNUMBER(SEARCH("Folio",$A149)),$D149&lt;&gt;""),1,"")</f>
        <v/>
      </c>
      <c r="U149">
        <f>IF($T149=1,COUNTIF($T$9:$T149,1),"")</f>
        <v/>
      </c>
      <c r="V149">
        <f>IF(AND(ISTEXT($A149),LEFT($A150,3)="Pan"),1,"")</f>
        <v/>
      </c>
      <c r="W149" s="21">
        <f>IFERROR(MATCH(141,$U$9:$U$2008,0),"")</f>
        <v/>
      </c>
      <c r="X149" s="22">
        <f>IF($W149="","",IF($R$5&lt;&gt;"",$R$5,$R$6))</f>
        <v/>
      </c>
      <c r="Y149" s="22">
        <f>IF($W149="","",INDEX($S$9:$S$2008,$W149))</f>
        <v/>
      </c>
      <c r="Z149" s="22">
        <f>IF($W149="","",IFERROR(TRIM(LEFT(SUBSTITUTE(INDEX($A$9:$A$2008,$W149),CHAR(10)," "),SEARCH("Folio",SUBSTITUTE(INDEX($A$9:$A$2008,$W149),CHAR(10)," "))-1)),TRIM(SUBSTITUTE(INDEX($A$9:$A$2008,$W149),CHAR(10)," "))))</f>
        <v/>
      </c>
      <c r="AA149" s="22">
        <f>IF($W149="","",IFERROR(TRIM(SUBSTITUTE(MID(SUBSTITUTE(INDEX($A$9:$A$2008,$W149),CHAR(10)," "),SEARCH("Folio",SUBSTITUTE(INDEX($A$9:$A$2008,$W149),CHAR(10)," "))+5,200),":","")),""))</f>
        <v/>
      </c>
      <c r="AB149" s="23">
        <f>IF($W149="","",IF(ISNUMBER(INDEX($D$9:$D$2008,$W149)),INDEX($D$9:$D$2008,$W149),IFERROR(DATE(2000+VALUE(RIGHT(INDEX($D$9:$D$2008,$W149),2)),VALUE(MID(INDEX($D$9:$D$2008,$W149),4,2)),VALUE(LEFT(INDEX($D$9:$D$2008,$W149),2))),"")))</f>
        <v/>
      </c>
      <c r="AC149" s="24">
        <f>IF($W149="","",IFERROR(IF(ISNUMBER(INDEX($E$9:$E$2008,$W149)),INDEX($E$9:$E$2008,$W149),VALUE(SUBSTITUTE(INDEX($E$9:$E$2008,$W149),",",""))),""))</f>
        <v/>
      </c>
      <c r="AD149" s="24">
        <f>IF($W149="","",IFERROR(IF(ISNUMBER(INDEX($F$9:$F$2008,$W149)),INDEX($F$9:$F$2008,$W149),VALUE(SUBSTITUTE(INDEX($F$9:$F$2008,$W149),",",""))),""))</f>
        <v/>
      </c>
      <c r="AE149" s="24">
        <f>IF($W149="","",IFERROR(IF(ISNUMBER(INDEX($G$9:$G$2008,$W149)),INDEX($G$9:$G$2008,$W149),VALUE(SUBSTITUTE(INDEX($G$9:$G$2008,$W149),",",""))),""))</f>
        <v/>
      </c>
      <c r="AF149" s="24">
        <f>IF($W149="","",IFERROR(IF(ISNUMBER(INDEX($H$9:$H$2008,$W149)),INDEX($H$9:$H$2008,$W149),VALUE(SUBSTITUTE(INDEX($H$9:$H$2008,$W149),",",""))),""))</f>
        <v/>
      </c>
      <c r="AG149" s="24">
        <f>IF($W149="","",IFERROR(IF(ISNUMBER(INDEX($I$9:$I$2008,$W149)),INDEX($I$9:$I$2008,$W149),VALUE(SUBSTITUTE(INDEX($I$9:$I$2008,$W149),",",""))),""))</f>
        <v/>
      </c>
      <c r="AH149" s="24">
        <f>IF($W149="","",IFERROR(IF(ISNUMBER(INDEX($J$9:$J$2008,$W149)),INDEX($J$9:$J$2008,$W149),VALUE(SUBSTITUTE(INDEX($J$9:$J$2008,$W149),",",""))),""))</f>
        <v/>
      </c>
      <c r="AI149" s="24">
        <f>IF($W149="","",IFERROR(IF(ISNUMBER(INDEX($K$9:$K$2008,$W149)),INDEX($K$9:$K$2008,$W149),VALUE(SUBSTITUTE(INDEX($K$9:$K$2008,$W149),",",""))),""))</f>
        <v/>
      </c>
      <c r="AJ149" s="25">
        <f>IF($W149="","",IFERROR(IF(ISNUMBER(INDEX($L$9:$L$2008,$W149)),INDEX($L$9:$L$2008,$W149),VALUE(SUBSTITUTE(INDEX($L$9:$L$2008,$W149),",",""))),""))</f>
        <v/>
      </c>
      <c r="AK149" s="25">
        <f>IF($W149="","",IFERROR(IF(ISNUMBER(INDEX($M$9:$M$2008,$W149)),INDEX($M$9:$M$2008,$W149),VALUE(SUBSTITUTE(INDEX($M$9:$M$2008,$W149),",",""))),""))</f>
        <v/>
      </c>
      <c r="AL149" s="26">
        <f>IF($W149="","",IFERROR(IF(ISNUMBER(INDEX($P$9:$P$2008,$W149)),INDEX($P$9:$P$2008,$W149),VALUE(SUBSTITUTE(INDEX($P$9:$P$2008,$W149),"%",""))/100),""))</f>
        <v/>
      </c>
    </row>
    <row r="150">
      <c r="S150">
        <f>IF(AND(ISTEXT($A150),ISNUMBER(SEARCH(" - ",$A150)),ISERROR(SEARCH("Folio",$A150)),$D150=""),TRIM($A150),$S149)</f>
        <v/>
      </c>
      <c r="T150">
        <f>IF(AND(ISNUMBER(SEARCH("Folio",$A150)),$D150&lt;&gt;""),1,"")</f>
        <v/>
      </c>
      <c r="U150">
        <f>IF($T150=1,COUNTIF($T$9:$T150,1),"")</f>
        <v/>
      </c>
      <c r="V150">
        <f>IF(AND(ISTEXT($A150),LEFT($A151,3)="Pan"),1,"")</f>
        <v/>
      </c>
      <c r="W150" s="21">
        <f>IFERROR(MATCH(142,$U$9:$U$2008,0),"")</f>
        <v/>
      </c>
      <c r="X150" s="27">
        <f>IF($W150="","",IF($R$5&lt;&gt;"",$R$5,$R$6))</f>
        <v/>
      </c>
      <c r="Y150" s="27">
        <f>IF($W150="","",INDEX($S$9:$S$2008,$W150))</f>
        <v/>
      </c>
      <c r="Z150" s="27">
        <f>IF($W150="","",IFERROR(TRIM(LEFT(SUBSTITUTE(INDEX($A$9:$A$2008,$W150),CHAR(10)," "),SEARCH("Folio",SUBSTITUTE(INDEX($A$9:$A$2008,$W150),CHAR(10)," "))-1)),TRIM(SUBSTITUTE(INDEX($A$9:$A$2008,$W150),CHAR(10)," "))))</f>
        <v/>
      </c>
      <c r="AA150" s="27">
        <f>IF($W150="","",IFERROR(TRIM(SUBSTITUTE(MID(SUBSTITUTE(INDEX($A$9:$A$2008,$W150),CHAR(10)," "),SEARCH("Folio",SUBSTITUTE(INDEX($A$9:$A$2008,$W150),CHAR(10)," "))+5,200),":","")),""))</f>
        <v/>
      </c>
      <c r="AB150" s="28">
        <f>IF($W150="","",IF(ISNUMBER(INDEX($D$9:$D$2008,$W150)),INDEX($D$9:$D$2008,$W150),IFERROR(DATE(2000+VALUE(RIGHT(INDEX($D$9:$D$2008,$W150),2)),VALUE(MID(INDEX($D$9:$D$2008,$W150),4,2)),VALUE(LEFT(INDEX($D$9:$D$2008,$W150),2))),"")))</f>
        <v/>
      </c>
      <c r="AC150" s="29">
        <f>IF($W150="","",IFERROR(IF(ISNUMBER(INDEX($E$9:$E$2008,$W150)),INDEX($E$9:$E$2008,$W150),VALUE(SUBSTITUTE(INDEX($E$9:$E$2008,$W150),",",""))),""))</f>
        <v/>
      </c>
      <c r="AD150" s="29">
        <f>IF($W150="","",IFERROR(IF(ISNUMBER(INDEX($F$9:$F$2008,$W150)),INDEX($F$9:$F$2008,$W150),VALUE(SUBSTITUTE(INDEX($F$9:$F$2008,$W150),",",""))),""))</f>
        <v/>
      </c>
      <c r="AE150" s="29">
        <f>IF($W150="","",IFERROR(IF(ISNUMBER(INDEX($G$9:$G$2008,$W150)),INDEX($G$9:$G$2008,$W150),VALUE(SUBSTITUTE(INDEX($G$9:$G$2008,$W150),",",""))),""))</f>
        <v/>
      </c>
      <c r="AF150" s="29">
        <f>IF($W150="","",IFERROR(IF(ISNUMBER(INDEX($H$9:$H$2008,$W150)),INDEX($H$9:$H$2008,$W150),VALUE(SUBSTITUTE(INDEX($H$9:$H$2008,$W150),",",""))),""))</f>
        <v/>
      </c>
      <c r="AG150" s="29">
        <f>IF($W150="","",IFERROR(IF(ISNUMBER(INDEX($I$9:$I$2008,$W150)),INDEX($I$9:$I$2008,$W150),VALUE(SUBSTITUTE(INDEX($I$9:$I$2008,$W150),",",""))),""))</f>
        <v/>
      </c>
      <c r="AH150" s="29">
        <f>IF($W150="","",IFERROR(IF(ISNUMBER(INDEX($J$9:$J$2008,$W150)),INDEX($J$9:$J$2008,$W150),VALUE(SUBSTITUTE(INDEX($J$9:$J$2008,$W150),",",""))),""))</f>
        <v/>
      </c>
      <c r="AI150" s="29">
        <f>IF($W150="","",IFERROR(IF(ISNUMBER(INDEX($K$9:$K$2008,$W150)),INDEX($K$9:$K$2008,$W150),VALUE(SUBSTITUTE(INDEX($K$9:$K$2008,$W150),",",""))),""))</f>
        <v/>
      </c>
      <c r="AJ150" s="30">
        <f>IF($W150="","",IFERROR(IF(ISNUMBER(INDEX($L$9:$L$2008,$W150)),INDEX($L$9:$L$2008,$W150),VALUE(SUBSTITUTE(INDEX($L$9:$L$2008,$W150),",",""))),""))</f>
        <v/>
      </c>
      <c r="AK150" s="30">
        <f>IF($W150="","",IFERROR(IF(ISNUMBER(INDEX($M$9:$M$2008,$W150)),INDEX($M$9:$M$2008,$W150),VALUE(SUBSTITUTE(INDEX($M$9:$M$2008,$W150),",",""))),""))</f>
        <v/>
      </c>
      <c r="AL150" s="31">
        <f>IF($W150="","",IFERROR(IF(ISNUMBER(INDEX($P$9:$P$2008,$W150)),INDEX($P$9:$P$2008,$W150),VALUE(SUBSTITUTE(INDEX($P$9:$P$2008,$W150),"%",""))/100),""))</f>
        <v/>
      </c>
    </row>
    <row r="151">
      <c r="S151">
        <f>IF(AND(ISTEXT($A151),ISNUMBER(SEARCH(" - ",$A151)),ISERROR(SEARCH("Folio",$A151)),$D151=""),TRIM($A151),$S150)</f>
        <v/>
      </c>
      <c r="T151">
        <f>IF(AND(ISNUMBER(SEARCH("Folio",$A151)),$D151&lt;&gt;""),1,"")</f>
        <v/>
      </c>
      <c r="U151">
        <f>IF($T151=1,COUNTIF($T$9:$T151,1),"")</f>
        <v/>
      </c>
      <c r="V151">
        <f>IF(AND(ISTEXT($A151),LEFT($A152,3)="Pan"),1,"")</f>
        <v/>
      </c>
      <c r="W151" s="21">
        <f>IFERROR(MATCH(143,$U$9:$U$2008,0),"")</f>
        <v/>
      </c>
      <c r="X151" s="22">
        <f>IF($W151="","",IF($R$5&lt;&gt;"",$R$5,$R$6))</f>
        <v/>
      </c>
      <c r="Y151" s="22">
        <f>IF($W151="","",INDEX($S$9:$S$2008,$W151))</f>
        <v/>
      </c>
      <c r="Z151" s="22">
        <f>IF($W151="","",IFERROR(TRIM(LEFT(SUBSTITUTE(INDEX($A$9:$A$2008,$W151),CHAR(10)," "),SEARCH("Folio",SUBSTITUTE(INDEX($A$9:$A$2008,$W151),CHAR(10)," "))-1)),TRIM(SUBSTITUTE(INDEX($A$9:$A$2008,$W151),CHAR(10)," "))))</f>
        <v/>
      </c>
      <c r="AA151" s="22">
        <f>IF($W151="","",IFERROR(TRIM(SUBSTITUTE(MID(SUBSTITUTE(INDEX($A$9:$A$2008,$W151),CHAR(10)," "),SEARCH("Folio",SUBSTITUTE(INDEX($A$9:$A$2008,$W151),CHAR(10)," "))+5,200),":","")),""))</f>
        <v/>
      </c>
      <c r="AB151" s="23">
        <f>IF($W151="","",IF(ISNUMBER(INDEX($D$9:$D$2008,$W151)),INDEX($D$9:$D$2008,$W151),IFERROR(DATE(2000+VALUE(RIGHT(INDEX($D$9:$D$2008,$W151),2)),VALUE(MID(INDEX($D$9:$D$2008,$W151),4,2)),VALUE(LEFT(INDEX($D$9:$D$2008,$W151),2))),"")))</f>
        <v/>
      </c>
      <c r="AC151" s="24">
        <f>IF($W151="","",IFERROR(IF(ISNUMBER(INDEX($E$9:$E$2008,$W151)),INDEX($E$9:$E$2008,$W151),VALUE(SUBSTITUTE(INDEX($E$9:$E$2008,$W151),",",""))),""))</f>
        <v/>
      </c>
      <c r="AD151" s="24">
        <f>IF($W151="","",IFERROR(IF(ISNUMBER(INDEX($F$9:$F$2008,$W151)),INDEX($F$9:$F$2008,$W151),VALUE(SUBSTITUTE(INDEX($F$9:$F$2008,$W151),",",""))),""))</f>
        <v/>
      </c>
      <c r="AE151" s="24">
        <f>IF($W151="","",IFERROR(IF(ISNUMBER(INDEX($G$9:$G$2008,$W151)),INDEX($G$9:$G$2008,$W151),VALUE(SUBSTITUTE(INDEX($G$9:$G$2008,$W151),",",""))),""))</f>
        <v/>
      </c>
      <c r="AF151" s="24">
        <f>IF($W151="","",IFERROR(IF(ISNUMBER(INDEX($H$9:$H$2008,$W151)),INDEX($H$9:$H$2008,$W151),VALUE(SUBSTITUTE(INDEX($H$9:$H$2008,$W151),",",""))),""))</f>
        <v/>
      </c>
      <c r="AG151" s="24">
        <f>IF($W151="","",IFERROR(IF(ISNUMBER(INDEX($I$9:$I$2008,$W151)),INDEX($I$9:$I$2008,$W151),VALUE(SUBSTITUTE(INDEX($I$9:$I$2008,$W151),",",""))),""))</f>
        <v/>
      </c>
      <c r="AH151" s="24">
        <f>IF($W151="","",IFERROR(IF(ISNUMBER(INDEX($J$9:$J$2008,$W151)),INDEX($J$9:$J$2008,$W151),VALUE(SUBSTITUTE(INDEX($J$9:$J$2008,$W151),",",""))),""))</f>
        <v/>
      </c>
      <c r="AI151" s="24">
        <f>IF($W151="","",IFERROR(IF(ISNUMBER(INDEX($K$9:$K$2008,$W151)),INDEX($K$9:$K$2008,$W151),VALUE(SUBSTITUTE(INDEX($K$9:$K$2008,$W151),",",""))),""))</f>
        <v/>
      </c>
      <c r="AJ151" s="25">
        <f>IF($W151="","",IFERROR(IF(ISNUMBER(INDEX($L$9:$L$2008,$W151)),INDEX($L$9:$L$2008,$W151),VALUE(SUBSTITUTE(INDEX($L$9:$L$2008,$W151),",",""))),""))</f>
        <v/>
      </c>
      <c r="AK151" s="25">
        <f>IF($W151="","",IFERROR(IF(ISNUMBER(INDEX($M$9:$M$2008,$W151)),INDEX($M$9:$M$2008,$W151),VALUE(SUBSTITUTE(INDEX($M$9:$M$2008,$W151),",",""))),""))</f>
        <v/>
      </c>
      <c r="AL151" s="26">
        <f>IF($W151="","",IFERROR(IF(ISNUMBER(INDEX($P$9:$P$2008,$W151)),INDEX($P$9:$P$2008,$W151),VALUE(SUBSTITUTE(INDEX($P$9:$P$2008,$W151),"%",""))/100),""))</f>
        <v/>
      </c>
    </row>
    <row r="152">
      <c r="S152">
        <f>IF(AND(ISTEXT($A152),ISNUMBER(SEARCH(" - ",$A152)),ISERROR(SEARCH("Folio",$A152)),$D152=""),TRIM($A152),$S151)</f>
        <v/>
      </c>
      <c r="T152">
        <f>IF(AND(ISNUMBER(SEARCH("Folio",$A152)),$D152&lt;&gt;""),1,"")</f>
        <v/>
      </c>
      <c r="U152">
        <f>IF($T152=1,COUNTIF($T$9:$T152,1),"")</f>
        <v/>
      </c>
      <c r="V152">
        <f>IF(AND(ISTEXT($A152),LEFT($A153,3)="Pan"),1,"")</f>
        <v/>
      </c>
      <c r="W152" s="21">
        <f>IFERROR(MATCH(144,$U$9:$U$2008,0),"")</f>
        <v/>
      </c>
      <c r="X152" s="27">
        <f>IF($W152="","",IF($R$5&lt;&gt;"",$R$5,$R$6))</f>
        <v/>
      </c>
      <c r="Y152" s="27">
        <f>IF($W152="","",INDEX($S$9:$S$2008,$W152))</f>
        <v/>
      </c>
      <c r="Z152" s="27">
        <f>IF($W152="","",IFERROR(TRIM(LEFT(SUBSTITUTE(INDEX($A$9:$A$2008,$W152),CHAR(10)," "),SEARCH("Folio",SUBSTITUTE(INDEX($A$9:$A$2008,$W152),CHAR(10)," "))-1)),TRIM(SUBSTITUTE(INDEX($A$9:$A$2008,$W152),CHAR(10)," "))))</f>
        <v/>
      </c>
      <c r="AA152" s="27">
        <f>IF($W152="","",IFERROR(TRIM(SUBSTITUTE(MID(SUBSTITUTE(INDEX($A$9:$A$2008,$W152),CHAR(10)," "),SEARCH("Folio",SUBSTITUTE(INDEX($A$9:$A$2008,$W152),CHAR(10)," "))+5,200),":","")),""))</f>
        <v/>
      </c>
      <c r="AB152" s="28">
        <f>IF($W152="","",IF(ISNUMBER(INDEX($D$9:$D$2008,$W152)),INDEX($D$9:$D$2008,$W152),IFERROR(DATE(2000+VALUE(RIGHT(INDEX($D$9:$D$2008,$W152),2)),VALUE(MID(INDEX($D$9:$D$2008,$W152),4,2)),VALUE(LEFT(INDEX($D$9:$D$2008,$W152),2))),"")))</f>
        <v/>
      </c>
      <c r="AC152" s="29">
        <f>IF($W152="","",IFERROR(IF(ISNUMBER(INDEX($E$9:$E$2008,$W152)),INDEX($E$9:$E$2008,$W152),VALUE(SUBSTITUTE(INDEX($E$9:$E$2008,$W152),",",""))),""))</f>
        <v/>
      </c>
      <c r="AD152" s="29">
        <f>IF($W152="","",IFERROR(IF(ISNUMBER(INDEX($F$9:$F$2008,$W152)),INDEX($F$9:$F$2008,$W152),VALUE(SUBSTITUTE(INDEX($F$9:$F$2008,$W152),",",""))),""))</f>
        <v/>
      </c>
      <c r="AE152" s="29">
        <f>IF($W152="","",IFERROR(IF(ISNUMBER(INDEX($G$9:$G$2008,$W152)),INDEX($G$9:$G$2008,$W152),VALUE(SUBSTITUTE(INDEX($G$9:$G$2008,$W152),",",""))),""))</f>
        <v/>
      </c>
      <c r="AF152" s="29">
        <f>IF($W152="","",IFERROR(IF(ISNUMBER(INDEX($H$9:$H$2008,$W152)),INDEX($H$9:$H$2008,$W152),VALUE(SUBSTITUTE(INDEX($H$9:$H$2008,$W152),",",""))),""))</f>
        <v/>
      </c>
      <c r="AG152" s="29">
        <f>IF($W152="","",IFERROR(IF(ISNUMBER(INDEX($I$9:$I$2008,$W152)),INDEX($I$9:$I$2008,$W152),VALUE(SUBSTITUTE(INDEX($I$9:$I$2008,$W152),",",""))),""))</f>
        <v/>
      </c>
      <c r="AH152" s="29">
        <f>IF($W152="","",IFERROR(IF(ISNUMBER(INDEX($J$9:$J$2008,$W152)),INDEX($J$9:$J$2008,$W152),VALUE(SUBSTITUTE(INDEX($J$9:$J$2008,$W152),",",""))),""))</f>
        <v/>
      </c>
      <c r="AI152" s="29">
        <f>IF($W152="","",IFERROR(IF(ISNUMBER(INDEX($K$9:$K$2008,$W152)),INDEX($K$9:$K$2008,$W152),VALUE(SUBSTITUTE(INDEX($K$9:$K$2008,$W152),",",""))),""))</f>
        <v/>
      </c>
      <c r="AJ152" s="30">
        <f>IF($W152="","",IFERROR(IF(ISNUMBER(INDEX($L$9:$L$2008,$W152)),INDEX($L$9:$L$2008,$W152),VALUE(SUBSTITUTE(INDEX($L$9:$L$2008,$W152),",",""))),""))</f>
        <v/>
      </c>
      <c r="AK152" s="30">
        <f>IF($W152="","",IFERROR(IF(ISNUMBER(INDEX($M$9:$M$2008,$W152)),INDEX($M$9:$M$2008,$W152),VALUE(SUBSTITUTE(INDEX($M$9:$M$2008,$W152),",",""))),""))</f>
        <v/>
      </c>
      <c r="AL152" s="31">
        <f>IF($W152="","",IFERROR(IF(ISNUMBER(INDEX($P$9:$P$2008,$W152)),INDEX($P$9:$P$2008,$W152),VALUE(SUBSTITUTE(INDEX($P$9:$P$2008,$W152),"%",""))/100),""))</f>
        <v/>
      </c>
    </row>
    <row r="153">
      <c r="S153">
        <f>IF(AND(ISTEXT($A153),ISNUMBER(SEARCH(" - ",$A153)),ISERROR(SEARCH("Folio",$A153)),$D153=""),TRIM($A153),$S152)</f>
        <v/>
      </c>
      <c r="T153">
        <f>IF(AND(ISNUMBER(SEARCH("Folio",$A153)),$D153&lt;&gt;""),1,"")</f>
        <v/>
      </c>
      <c r="U153">
        <f>IF($T153=1,COUNTIF($T$9:$T153,1),"")</f>
        <v/>
      </c>
      <c r="V153">
        <f>IF(AND(ISTEXT($A153),LEFT($A154,3)="Pan"),1,"")</f>
        <v/>
      </c>
      <c r="W153" s="21">
        <f>IFERROR(MATCH(145,$U$9:$U$2008,0),"")</f>
        <v/>
      </c>
      <c r="X153" s="22">
        <f>IF($W153="","",IF($R$5&lt;&gt;"",$R$5,$R$6))</f>
        <v/>
      </c>
      <c r="Y153" s="22">
        <f>IF($W153="","",INDEX($S$9:$S$2008,$W153))</f>
        <v/>
      </c>
      <c r="Z153" s="22">
        <f>IF($W153="","",IFERROR(TRIM(LEFT(SUBSTITUTE(INDEX($A$9:$A$2008,$W153),CHAR(10)," "),SEARCH("Folio",SUBSTITUTE(INDEX($A$9:$A$2008,$W153),CHAR(10)," "))-1)),TRIM(SUBSTITUTE(INDEX($A$9:$A$2008,$W153),CHAR(10)," "))))</f>
        <v/>
      </c>
      <c r="AA153" s="22">
        <f>IF($W153="","",IFERROR(TRIM(SUBSTITUTE(MID(SUBSTITUTE(INDEX($A$9:$A$2008,$W153),CHAR(10)," "),SEARCH("Folio",SUBSTITUTE(INDEX($A$9:$A$2008,$W153),CHAR(10)," "))+5,200),":","")),""))</f>
        <v/>
      </c>
      <c r="AB153" s="23">
        <f>IF($W153="","",IF(ISNUMBER(INDEX($D$9:$D$2008,$W153)),INDEX($D$9:$D$2008,$W153),IFERROR(DATE(2000+VALUE(RIGHT(INDEX($D$9:$D$2008,$W153),2)),VALUE(MID(INDEX($D$9:$D$2008,$W153),4,2)),VALUE(LEFT(INDEX($D$9:$D$2008,$W153),2))),"")))</f>
        <v/>
      </c>
      <c r="AC153" s="24">
        <f>IF($W153="","",IFERROR(IF(ISNUMBER(INDEX($E$9:$E$2008,$W153)),INDEX($E$9:$E$2008,$W153),VALUE(SUBSTITUTE(INDEX($E$9:$E$2008,$W153),",",""))),""))</f>
        <v/>
      </c>
      <c r="AD153" s="24">
        <f>IF($W153="","",IFERROR(IF(ISNUMBER(INDEX($F$9:$F$2008,$W153)),INDEX($F$9:$F$2008,$W153),VALUE(SUBSTITUTE(INDEX($F$9:$F$2008,$W153),",",""))),""))</f>
        <v/>
      </c>
      <c r="AE153" s="24">
        <f>IF($W153="","",IFERROR(IF(ISNUMBER(INDEX($G$9:$G$2008,$W153)),INDEX($G$9:$G$2008,$W153),VALUE(SUBSTITUTE(INDEX($G$9:$G$2008,$W153),",",""))),""))</f>
        <v/>
      </c>
      <c r="AF153" s="24">
        <f>IF($W153="","",IFERROR(IF(ISNUMBER(INDEX($H$9:$H$2008,$W153)),INDEX($H$9:$H$2008,$W153),VALUE(SUBSTITUTE(INDEX($H$9:$H$2008,$W153),",",""))),""))</f>
        <v/>
      </c>
      <c r="AG153" s="24">
        <f>IF($W153="","",IFERROR(IF(ISNUMBER(INDEX($I$9:$I$2008,$W153)),INDEX($I$9:$I$2008,$W153),VALUE(SUBSTITUTE(INDEX($I$9:$I$2008,$W153),",",""))),""))</f>
        <v/>
      </c>
      <c r="AH153" s="24">
        <f>IF($W153="","",IFERROR(IF(ISNUMBER(INDEX($J$9:$J$2008,$W153)),INDEX($J$9:$J$2008,$W153),VALUE(SUBSTITUTE(INDEX($J$9:$J$2008,$W153),",",""))),""))</f>
        <v/>
      </c>
      <c r="AI153" s="24">
        <f>IF($W153="","",IFERROR(IF(ISNUMBER(INDEX($K$9:$K$2008,$W153)),INDEX($K$9:$K$2008,$W153),VALUE(SUBSTITUTE(INDEX($K$9:$K$2008,$W153),",",""))),""))</f>
        <v/>
      </c>
      <c r="AJ153" s="25">
        <f>IF($W153="","",IFERROR(IF(ISNUMBER(INDEX($L$9:$L$2008,$W153)),INDEX($L$9:$L$2008,$W153),VALUE(SUBSTITUTE(INDEX($L$9:$L$2008,$W153),",",""))),""))</f>
        <v/>
      </c>
      <c r="AK153" s="25">
        <f>IF($W153="","",IFERROR(IF(ISNUMBER(INDEX($M$9:$M$2008,$W153)),INDEX($M$9:$M$2008,$W153),VALUE(SUBSTITUTE(INDEX($M$9:$M$2008,$W153),",",""))),""))</f>
        <v/>
      </c>
      <c r="AL153" s="26">
        <f>IF($W153="","",IFERROR(IF(ISNUMBER(INDEX($P$9:$P$2008,$W153)),INDEX($P$9:$P$2008,$W153),VALUE(SUBSTITUTE(INDEX($P$9:$P$2008,$W153),"%",""))/100),""))</f>
        <v/>
      </c>
    </row>
    <row r="154">
      <c r="S154">
        <f>IF(AND(ISTEXT($A154),ISNUMBER(SEARCH(" - ",$A154)),ISERROR(SEARCH("Folio",$A154)),$D154=""),TRIM($A154),$S153)</f>
        <v/>
      </c>
      <c r="T154">
        <f>IF(AND(ISNUMBER(SEARCH("Folio",$A154)),$D154&lt;&gt;""),1,"")</f>
        <v/>
      </c>
      <c r="U154">
        <f>IF($T154=1,COUNTIF($T$9:$T154,1),"")</f>
        <v/>
      </c>
      <c r="V154">
        <f>IF(AND(ISTEXT($A154),LEFT($A155,3)="Pan"),1,"")</f>
        <v/>
      </c>
      <c r="W154" s="21">
        <f>IFERROR(MATCH(146,$U$9:$U$2008,0),"")</f>
        <v/>
      </c>
      <c r="X154" s="27">
        <f>IF($W154="","",IF($R$5&lt;&gt;"",$R$5,$R$6))</f>
        <v/>
      </c>
      <c r="Y154" s="27">
        <f>IF($W154="","",INDEX($S$9:$S$2008,$W154))</f>
        <v/>
      </c>
      <c r="Z154" s="27">
        <f>IF($W154="","",IFERROR(TRIM(LEFT(SUBSTITUTE(INDEX($A$9:$A$2008,$W154),CHAR(10)," "),SEARCH("Folio",SUBSTITUTE(INDEX($A$9:$A$2008,$W154),CHAR(10)," "))-1)),TRIM(SUBSTITUTE(INDEX($A$9:$A$2008,$W154),CHAR(10)," "))))</f>
        <v/>
      </c>
      <c r="AA154" s="27">
        <f>IF($W154="","",IFERROR(TRIM(SUBSTITUTE(MID(SUBSTITUTE(INDEX($A$9:$A$2008,$W154),CHAR(10)," "),SEARCH("Folio",SUBSTITUTE(INDEX($A$9:$A$2008,$W154),CHAR(10)," "))+5,200),":","")),""))</f>
        <v/>
      </c>
      <c r="AB154" s="28">
        <f>IF($W154="","",IF(ISNUMBER(INDEX($D$9:$D$2008,$W154)),INDEX($D$9:$D$2008,$W154),IFERROR(DATE(2000+VALUE(RIGHT(INDEX($D$9:$D$2008,$W154),2)),VALUE(MID(INDEX($D$9:$D$2008,$W154),4,2)),VALUE(LEFT(INDEX($D$9:$D$2008,$W154),2))),"")))</f>
        <v/>
      </c>
      <c r="AC154" s="29">
        <f>IF($W154="","",IFERROR(IF(ISNUMBER(INDEX($E$9:$E$2008,$W154)),INDEX($E$9:$E$2008,$W154),VALUE(SUBSTITUTE(INDEX($E$9:$E$2008,$W154),",",""))),""))</f>
        <v/>
      </c>
      <c r="AD154" s="29">
        <f>IF($W154="","",IFERROR(IF(ISNUMBER(INDEX($F$9:$F$2008,$W154)),INDEX($F$9:$F$2008,$W154),VALUE(SUBSTITUTE(INDEX($F$9:$F$2008,$W154),",",""))),""))</f>
        <v/>
      </c>
      <c r="AE154" s="29">
        <f>IF($W154="","",IFERROR(IF(ISNUMBER(INDEX($G$9:$G$2008,$W154)),INDEX($G$9:$G$2008,$W154),VALUE(SUBSTITUTE(INDEX($G$9:$G$2008,$W154),",",""))),""))</f>
        <v/>
      </c>
      <c r="AF154" s="29">
        <f>IF($W154="","",IFERROR(IF(ISNUMBER(INDEX($H$9:$H$2008,$W154)),INDEX($H$9:$H$2008,$W154),VALUE(SUBSTITUTE(INDEX($H$9:$H$2008,$W154),",",""))),""))</f>
        <v/>
      </c>
      <c r="AG154" s="29">
        <f>IF($W154="","",IFERROR(IF(ISNUMBER(INDEX($I$9:$I$2008,$W154)),INDEX($I$9:$I$2008,$W154),VALUE(SUBSTITUTE(INDEX($I$9:$I$2008,$W154),",",""))),""))</f>
        <v/>
      </c>
      <c r="AH154" s="29">
        <f>IF($W154="","",IFERROR(IF(ISNUMBER(INDEX($J$9:$J$2008,$W154)),INDEX($J$9:$J$2008,$W154),VALUE(SUBSTITUTE(INDEX($J$9:$J$2008,$W154),",",""))),""))</f>
        <v/>
      </c>
      <c r="AI154" s="29">
        <f>IF($W154="","",IFERROR(IF(ISNUMBER(INDEX($K$9:$K$2008,$W154)),INDEX($K$9:$K$2008,$W154),VALUE(SUBSTITUTE(INDEX($K$9:$K$2008,$W154),",",""))),""))</f>
        <v/>
      </c>
      <c r="AJ154" s="30">
        <f>IF($W154="","",IFERROR(IF(ISNUMBER(INDEX($L$9:$L$2008,$W154)),INDEX($L$9:$L$2008,$W154),VALUE(SUBSTITUTE(INDEX($L$9:$L$2008,$W154),",",""))),""))</f>
        <v/>
      </c>
      <c r="AK154" s="30">
        <f>IF($W154="","",IFERROR(IF(ISNUMBER(INDEX($M$9:$M$2008,$W154)),INDEX($M$9:$M$2008,$W154),VALUE(SUBSTITUTE(INDEX($M$9:$M$2008,$W154),",",""))),""))</f>
        <v/>
      </c>
      <c r="AL154" s="31">
        <f>IF($W154="","",IFERROR(IF(ISNUMBER(INDEX($P$9:$P$2008,$W154)),INDEX($P$9:$P$2008,$W154),VALUE(SUBSTITUTE(INDEX($P$9:$P$2008,$W154),"%",""))/100),""))</f>
        <v/>
      </c>
    </row>
    <row r="155">
      <c r="S155">
        <f>IF(AND(ISTEXT($A155),ISNUMBER(SEARCH(" - ",$A155)),ISERROR(SEARCH("Folio",$A155)),$D155=""),TRIM($A155),$S154)</f>
        <v/>
      </c>
      <c r="T155">
        <f>IF(AND(ISNUMBER(SEARCH("Folio",$A155)),$D155&lt;&gt;""),1,"")</f>
        <v/>
      </c>
      <c r="U155">
        <f>IF($T155=1,COUNTIF($T$9:$T155,1),"")</f>
        <v/>
      </c>
      <c r="V155">
        <f>IF(AND(ISTEXT($A155),LEFT($A156,3)="Pan"),1,"")</f>
        <v/>
      </c>
      <c r="W155" s="21">
        <f>IFERROR(MATCH(147,$U$9:$U$2008,0),"")</f>
        <v/>
      </c>
      <c r="X155" s="22">
        <f>IF($W155="","",IF($R$5&lt;&gt;"",$R$5,$R$6))</f>
        <v/>
      </c>
      <c r="Y155" s="22">
        <f>IF($W155="","",INDEX($S$9:$S$2008,$W155))</f>
        <v/>
      </c>
      <c r="Z155" s="22">
        <f>IF($W155="","",IFERROR(TRIM(LEFT(SUBSTITUTE(INDEX($A$9:$A$2008,$W155),CHAR(10)," "),SEARCH("Folio",SUBSTITUTE(INDEX($A$9:$A$2008,$W155),CHAR(10)," "))-1)),TRIM(SUBSTITUTE(INDEX($A$9:$A$2008,$W155),CHAR(10)," "))))</f>
        <v/>
      </c>
      <c r="AA155" s="22">
        <f>IF($W155="","",IFERROR(TRIM(SUBSTITUTE(MID(SUBSTITUTE(INDEX($A$9:$A$2008,$W155),CHAR(10)," "),SEARCH("Folio",SUBSTITUTE(INDEX($A$9:$A$2008,$W155),CHAR(10)," "))+5,200),":","")),""))</f>
        <v/>
      </c>
      <c r="AB155" s="23">
        <f>IF($W155="","",IF(ISNUMBER(INDEX($D$9:$D$2008,$W155)),INDEX($D$9:$D$2008,$W155),IFERROR(DATE(2000+VALUE(RIGHT(INDEX($D$9:$D$2008,$W155),2)),VALUE(MID(INDEX($D$9:$D$2008,$W155),4,2)),VALUE(LEFT(INDEX($D$9:$D$2008,$W155),2))),"")))</f>
        <v/>
      </c>
      <c r="AC155" s="24">
        <f>IF($W155="","",IFERROR(IF(ISNUMBER(INDEX($E$9:$E$2008,$W155)),INDEX($E$9:$E$2008,$W155),VALUE(SUBSTITUTE(INDEX($E$9:$E$2008,$W155),",",""))),""))</f>
        <v/>
      </c>
      <c r="AD155" s="24">
        <f>IF($W155="","",IFERROR(IF(ISNUMBER(INDEX($F$9:$F$2008,$W155)),INDEX($F$9:$F$2008,$W155),VALUE(SUBSTITUTE(INDEX($F$9:$F$2008,$W155),",",""))),""))</f>
        <v/>
      </c>
      <c r="AE155" s="24">
        <f>IF($W155="","",IFERROR(IF(ISNUMBER(INDEX($G$9:$G$2008,$W155)),INDEX($G$9:$G$2008,$W155),VALUE(SUBSTITUTE(INDEX($G$9:$G$2008,$W155),",",""))),""))</f>
        <v/>
      </c>
      <c r="AF155" s="24">
        <f>IF($W155="","",IFERROR(IF(ISNUMBER(INDEX($H$9:$H$2008,$W155)),INDEX($H$9:$H$2008,$W155),VALUE(SUBSTITUTE(INDEX($H$9:$H$2008,$W155),",",""))),""))</f>
        <v/>
      </c>
      <c r="AG155" s="24">
        <f>IF($W155="","",IFERROR(IF(ISNUMBER(INDEX($I$9:$I$2008,$W155)),INDEX($I$9:$I$2008,$W155),VALUE(SUBSTITUTE(INDEX($I$9:$I$2008,$W155),",",""))),""))</f>
        <v/>
      </c>
      <c r="AH155" s="24">
        <f>IF($W155="","",IFERROR(IF(ISNUMBER(INDEX($J$9:$J$2008,$W155)),INDEX($J$9:$J$2008,$W155),VALUE(SUBSTITUTE(INDEX($J$9:$J$2008,$W155),",",""))),""))</f>
        <v/>
      </c>
      <c r="AI155" s="24">
        <f>IF($W155="","",IFERROR(IF(ISNUMBER(INDEX($K$9:$K$2008,$W155)),INDEX($K$9:$K$2008,$W155),VALUE(SUBSTITUTE(INDEX($K$9:$K$2008,$W155),",",""))),""))</f>
        <v/>
      </c>
      <c r="AJ155" s="25">
        <f>IF($W155="","",IFERROR(IF(ISNUMBER(INDEX($L$9:$L$2008,$W155)),INDEX($L$9:$L$2008,$W155),VALUE(SUBSTITUTE(INDEX($L$9:$L$2008,$W155),",",""))),""))</f>
        <v/>
      </c>
      <c r="AK155" s="25">
        <f>IF($W155="","",IFERROR(IF(ISNUMBER(INDEX($M$9:$M$2008,$W155)),INDEX($M$9:$M$2008,$W155),VALUE(SUBSTITUTE(INDEX($M$9:$M$2008,$W155),",",""))),""))</f>
        <v/>
      </c>
      <c r="AL155" s="26">
        <f>IF($W155="","",IFERROR(IF(ISNUMBER(INDEX($P$9:$P$2008,$W155)),INDEX($P$9:$P$2008,$W155),VALUE(SUBSTITUTE(INDEX($P$9:$P$2008,$W155),"%",""))/100),""))</f>
        <v/>
      </c>
    </row>
    <row r="156">
      <c r="S156">
        <f>IF(AND(ISTEXT($A156),ISNUMBER(SEARCH(" - ",$A156)),ISERROR(SEARCH("Folio",$A156)),$D156=""),TRIM($A156),$S155)</f>
        <v/>
      </c>
      <c r="T156">
        <f>IF(AND(ISNUMBER(SEARCH("Folio",$A156)),$D156&lt;&gt;""),1,"")</f>
        <v/>
      </c>
      <c r="U156">
        <f>IF($T156=1,COUNTIF($T$9:$T156,1),"")</f>
        <v/>
      </c>
      <c r="V156">
        <f>IF(AND(ISTEXT($A156),LEFT($A157,3)="Pan"),1,"")</f>
        <v/>
      </c>
      <c r="W156" s="21">
        <f>IFERROR(MATCH(148,$U$9:$U$2008,0),"")</f>
        <v/>
      </c>
      <c r="X156" s="27">
        <f>IF($W156="","",IF($R$5&lt;&gt;"",$R$5,$R$6))</f>
        <v/>
      </c>
      <c r="Y156" s="27">
        <f>IF($W156="","",INDEX($S$9:$S$2008,$W156))</f>
        <v/>
      </c>
      <c r="Z156" s="27">
        <f>IF($W156="","",IFERROR(TRIM(LEFT(SUBSTITUTE(INDEX($A$9:$A$2008,$W156),CHAR(10)," "),SEARCH("Folio",SUBSTITUTE(INDEX($A$9:$A$2008,$W156),CHAR(10)," "))-1)),TRIM(SUBSTITUTE(INDEX($A$9:$A$2008,$W156),CHAR(10)," "))))</f>
        <v/>
      </c>
      <c r="AA156" s="27">
        <f>IF($W156="","",IFERROR(TRIM(SUBSTITUTE(MID(SUBSTITUTE(INDEX($A$9:$A$2008,$W156),CHAR(10)," "),SEARCH("Folio",SUBSTITUTE(INDEX($A$9:$A$2008,$W156),CHAR(10)," "))+5,200),":","")),""))</f>
        <v/>
      </c>
      <c r="AB156" s="28">
        <f>IF($W156="","",IF(ISNUMBER(INDEX($D$9:$D$2008,$W156)),INDEX($D$9:$D$2008,$W156),IFERROR(DATE(2000+VALUE(RIGHT(INDEX($D$9:$D$2008,$W156),2)),VALUE(MID(INDEX($D$9:$D$2008,$W156),4,2)),VALUE(LEFT(INDEX($D$9:$D$2008,$W156),2))),"")))</f>
        <v/>
      </c>
      <c r="AC156" s="29">
        <f>IF($W156="","",IFERROR(IF(ISNUMBER(INDEX($E$9:$E$2008,$W156)),INDEX($E$9:$E$2008,$W156),VALUE(SUBSTITUTE(INDEX($E$9:$E$2008,$W156),",",""))),""))</f>
        <v/>
      </c>
      <c r="AD156" s="29">
        <f>IF($W156="","",IFERROR(IF(ISNUMBER(INDEX($F$9:$F$2008,$W156)),INDEX($F$9:$F$2008,$W156),VALUE(SUBSTITUTE(INDEX($F$9:$F$2008,$W156),",",""))),""))</f>
        <v/>
      </c>
      <c r="AE156" s="29">
        <f>IF($W156="","",IFERROR(IF(ISNUMBER(INDEX($G$9:$G$2008,$W156)),INDEX($G$9:$G$2008,$W156),VALUE(SUBSTITUTE(INDEX($G$9:$G$2008,$W156),",",""))),""))</f>
        <v/>
      </c>
      <c r="AF156" s="29">
        <f>IF($W156="","",IFERROR(IF(ISNUMBER(INDEX($H$9:$H$2008,$W156)),INDEX($H$9:$H$2008,$W156),VALUE(SUBSTITUTE(INDEX($H$9:$H$2008,$W156),",",""))),""))</f>
        <v/>
      </c>
      <c r="AG156" s="29">
        <f>IF($W156="","",IFERROR(IF(ISNUMBER(INDEX($I$9:$I$2008,$W156)),INDEX($I$9:$I$2008,$W156),VALUE(SUBSTITUTE(INDEX($I$9:$I$2008,$W156),",",""))),""))</f>
        <v/>
      </c>
      <c r="AH156" s="29">
        <f>IF($W156="","",IFERROR(IF(ISNUMBER(INDEX($J$9:$J$2008,$W156)),INDEX($J$9:$J$2008,$W156),VALUE(SUBSTITUTE(INDEX($J$9:$J$2008,$W156),",",""))),""))</f>
        <v/>
      </c>
      <c r="AI156" s="29">
        <f>IF($W156="","",IFERROR(IF(ISNUMBER(INDEX($K$9:$K$2008,$W156)),INDEX($K$9:$K$2008,$W156),VALUE(SUBSTITUTE(INDEX($K$9:$K$2008,$W156),",",""))),""))</f>
        <v/>
      </c>
      <c r="AJ156" s="30">
        <f>IF($W156="","",IFERROR(IF(ISNUMBER(INDEX($L$9:$L$2008,$W156)),INDEX($L$9:$L$2008,$W156),VALUE(SUBSTITUTE(INDEX($L$9:$L$2008,$W156),",",""))),""))</f>
        <v/>
      </c>
      <c r="AK156" s="30">
        <f>IF($W156="","",IFERROR(IF(ISNUMBER(INDEX($M$9:$M$2008,$W156)),INDEX($M$9:$M$2008,$W156),VALUE(SUBSTITUTE(INDEX($M$9:$M$2008,$W156),",",""))),""))</f>
        <v/>
      </c>
      <c r="AL156" s="31">
        <f>IF($W156="","",IFERROR(IF(ISNUMBER(INDEX($P$9:$P$2008,$W156)),INDEX($P$9:$P$2008,$W156),VALUE(SUBSTITUTE(INDEX($P$9:$P$2008,$W156),"%",""))/100),""))</f>
        <v/>
      </c>
    </row>
    <row r="157">
      <c r="S157">
        <f>IF(AND(ISTEXT($A157),ISNUMBER(SEARCH(" - ",$A157)),ISERROR(SEARCH("Folio",$A157)),$D157=""),TRIM($A157),$S156)</f>
        <v/>
      </c>
      <c r="T157">
        <f>IF(AND(ISNUMBER(SEARCH("Folio",$A157)),$D157&lt;&gt;""),1,"")</f>
        <v/>
      </c>
      <c r="U157">
        <f>IF($T157=1,COUNTIF($T$9:$T157,1),"")</f>
        <v/>
      </c>
      <c r="V157">
        <f>IF(AND(ISTEXT($A157),LEFT($A158,3)="Pan"),1,"")</f>
        <v/>
      </c>
      <c r="W157" s="21">
        <f>IFERROR(MATCH(149,$U$9:$U$2008,0),"")</f>
        <v/>
      </c>
      <c r="X157" s="22">
        <f>IF($W157="","",IF($R$5&lt;&gt;"",$R$5,$R$6))</f>
        <v/>
      </c>
      <c r="Y157" s="22">
        <f>IF($W157="","",INDEX($S$9:$S$2008,$W157))</f>
        <v/>
      </c>
      <c r="Z157" s="22">
        <f>IF($W157="","",IFERROR(TRIM(LEFT(SUBSTITUTE(INDEX($A$9:$A$2008,$W157),CHAR(10)," "),SEARCH("Folio",SUBSTITUTE(INDEX($A$9:$A$2008,$W157),CHAR(10)," "))-1)),TRIM(SUBSTITUTE(INDEX($A$9:$A$2008,$W157),CHAR(10)," "))))</f>
        <v/>
      </c>
      <c r="AA157" s="22">
        <f>IF($W157="","",IFERROR(TRIM(SUBSTITUTE(MID(SUBSTITUTE(INDEX($A$9:$A$2008,$W157),CHAR(10)," "),SEARCH("Folio",SUBSTITUTE(INDEX($A$9:$A$2008,$W157),CHAR(10)," "))+5,200),":","")),""))</f>
        <v/>
      </c>
      <c r="AB157" s="23">
        <f>IF($W157="","",IF(ISNUMBER(INDEX($D$9:$D$2008,$W157)),INDEX($D$9:$D$2008,$W157),IFERROR(DATE(2000+VALUE(RIGHT(INDEX($D$9:$D$2008,$W157),2)),VALUE(MID(INDEX($D$9:$D$2008,$W157),4,2)),VALUE(LEFT(INDEX($D$9:$D$2008,$W157),2))),"")))</f>
        <v/>
      </c>
      <c r="AC157" s="24">
        <f>IF($W157="","",IFERROR(IF(ISNUMBER(INDEX($E$9:$E$2008,$W157)),INDEX($E$9:$E$2008,$W157),VALUE(SUBSTITUTE(INDEX($E$9:$E$2008,$W157),",",""))),""))</f>
        <v/>
      </c>
      <c r="AD157" s="24">
        <f>IF($W157="","",IFERROR(IF(ISNUMBER(INDEX($F$9:$F$2008,$W157)),INDEX($F$9:$F$2008,$W157),VALUE(SUBSTITUTE(INDEX($F$9:$F$2008,$W157),",",""))),""))</f>
        <v/>
      </c>
      <c r="AE157" s="24">
        <f>IF($W157="","",IFERROR(IF(ISNUMBER(INDEX($G$9:$G$2008,$W157)),INDEX($G$9:$G$2008,$W157),VALUE(SUBSTITUTE(INDEX($G$9:$G$2008,$W157),",",""))),""))</f>
        <v/>
      </c>
      <c r="AF157" s="24">
        <f>IF($W157="","",IFERROR(IF(ISNUMBER(INDEX($H$9:$H$2008,$W157)),INDEX($H$9:$H$2008,$W157),VALUE(SUBSTITUTE(INDEX($H$9:$H$2008,$W157),",",""))),""))</f>
        <v/>
      </c>
      <c r="AG157" s="24">
        <f>IF($W157="","",IFERROR(IF(ISNUMBER(INDEX($I$9:$I$2008,$W157)),INDEX($I$9:$I$2008,$W157),VALUE(SUBSTITUTE(INDEX($I$9:$I$2008,$W157),",",""))),""))</f>
        <v/>
      </c>
      <c r="AH157" s="24">
        <f>IF($W157="","",IFERROR(IF(ISNUMBER(INDEX($J$9:$J$2008,$W157)),INDEX($J$9:$J$2008,$W157),VALUE(SUBSTITUTE(INDEX($J$9:$J$2008,$W157),",",""))),""))</f>
        <v/>
      </c>
      <c r="AI157" s="24">
        <f>IF($W157="","",IFERROR(IF(ISNUMBER(INDEX($K$9:$K$2008,$W157)),INDEX($K$9:$K$2008,$W157),VALUE(SUBSTITUTE(INDEX($K$9:$K$2008,$W157),",",""))),""))</f>
        <v/>
      </c>
      <c r="AJ157" s="25">
        <f>IF($W157="","",IFERROR(IF(ISNUMBER(INDEX($L$9:$L$2008,$W157)),INDEX($L$9:$L$2008,$W157),VALUE(SUBSTITUTE(INDEX($L$9:$L$2008,$W157),",",""))),""))</f>
        <v/>
      </c>
      <c r="AK157" s="25">
        <f>IF($W157="","",IFERROR(IF(ISNUMBER(INDEX($M$9:$M$2008,$W157)),INDEX($M$9:$M$2008,$W157),VALUE(SUBSTITUTE(INDEX($M$9:$M$2008,$W157),",",""))),""))</f>
        <v/>
      </c>
      <c r="AL157" s="26">
        <f>IF($W157="","",IFERROR(IF(ISNUMBER(INDEX($P$9:$P$2008,$W157)),INDEX($P$9:$P$2008,$W157),VALUE(SUBSTITUTE(INDEX($P$9:$P$2008,$W157),"%",""))/100),""))</f>
        <v/>
      </c>
    </row>
    <row r="158">
      <c r="S158">
        <f>IF(AND(ISTEXT($A158),ISNUMBER(SEARCH(" - ",$A158)),ISERROR(SEARCH("Folio",$A158)),$D158=""),TRIM($A158),$S157)</f>
        <v/>
      </c>
      <c r="T158">
        <f>IF(AND(ISNUMBER(SEARCH("Folio",$A158)),$D158&lt;&gt;""),1,"")</f>
        <v/>
      </c>
      <c r="U158">
        <f>IF($T158=1,COUNTIF($T$9:$T158,1),"")</f>
        <v/>
      </c>
      <c r="V158">
        <f>IF(AND(ISTEXT($A158),LEFT($A159,3)="Pan"),1,"")</f>
        <v/>
      </c>
      <c r="W158" s="21">
        <f>IFERROR(MATCH(150,$U$9:$U$2008,0),"")</f>
        <v/>
      </c>
      <c r="X158" s="27">
        <f>IF($W158="","",IF($R$5&lt;&gt;"",$R$5,$R$6))</f>
        <v/>
      </c>
      <c r="Y158" s="27">
        <f>IF($W158="","",INDEX($S$9:$S$2008,$W158))</f>
        <v/>
      </c>
      <c r="Z158" s="27">
        <f>IF($W158="","",IFERROR(TRIM(LEFT(SUBSTITUTE(INDEX($A$9:$A$2008,$W158),CHAR(10)," "),SEARCH("Folio",SUBSTITUTE(INDEX($A$9:$A$2008,$W158),CHAR(10)," "))-1)),TRIM(SUBSTITUTE(INDEX($A$9:$A$2008,$W158),CHAR(10)," "))))</f>
        <v/>
      </c>
      <c r="AA158" s="27">
        <f>IF($W158="","",IFERROR(TRIM(SUBSTITUTE(MID(SUBSTITUTE(INDEX($A$9:$A$2008,$W158),CHAR(10)," "),SEARCH("Folio",SUBSTITUTE(INDEX($A$9:$A$2008,$W158),CHAR(10)," "))+5,200),":","")),""))</f>
        <v/>
      </c>
      <c r="AB158" s="28">
        <f>IF($W158="","",IF(ISNUMBER(INDEX($D$9:$D$2008,$W158)),INDEX($D$9:$D$2008,$W158),IFERROR(DATE(2000+VALUE(RIGHT(INDEX($D$9:$D$2008,$W158),2)),VALUE(MID(INDEX($D$9:$D$2008,$W158),4,2)),VALUE(LEFT(INDEX($D$9:$D$2008,$W158),2))),"")))</f>
        <v/>
      </c>
      <c r="AC158" s="29">
        <f>IF($W158="","",IFERROR(IF(ISNUMBER(INDEX($E$9:$E$2008,$W158)),INDEX($E$9:$E$2008,$W158),VALUE(SUBSTITUTE(INDEX($E$9:$E$2008,$W158),",",""))),""))</f>
        <v/>
      </c>
      <c r="AD158" s="29">
        <f>IF($W158="","",IFERROR(IF(ISNUMBER(INDEX($F$9:$F$2008,$W158)),INDEX($F$9:$F$2008,$W158),VALUE(SUBSTITUTE(INDEX($F$9:$F$2008,$W158),",",""))),""))</f>
        <v/>
      </c>
      <c r="AE158" s="29">
        <f>IF($W158="","",IFERROR(IF(ISNUMBER(INDEX($G$9:$G$2008,$W158)),INDEX($G$9:$G$2008,$W158),VALUE(SUBSTITUTE(INDEX($G$9:$G$2008,$W158),",",""))),""))</f>
        <v/>
      </c>
      <c r="AF158" s="29">
        <f>IF($W158="","",IFERROR(IF(ISNUMBER(INDEX($H$9:$H$2008,$W158)),INDEX($H$9:$H$2008,$W158),VALUE(SUBSTITUTE(INDEX($H$9:$H$2008,$W158),",",""))),""))</f>
        <v/>
      </c>
      <c r="AG158" s="29">
        <f>IF($W158="","",IFERROR(IF(ISNUMBER(INDEX($I$9:$I$2008,$W158)),INDEX($I$9:$I$2008,$W158),VALUE(SUBSTITUTE(INDEX($I$9:$I$2008,$W158),",",""))),""))</f>
        <v/>
      </c>
      <c r="AH158" s="29">
        <f>IF($W158="","",IFERROR(IF(ISNUMBER(INDEX($J$9:$J$2008,$W158)),INDEX($J$9:$J$2008,$W158),VALUE(SUBSTITUTE(INDEX($J$9:$J$2008,$W158),",",""))),""))</f>
        <v/>
      </c>
      <c r="AI158" s="29">
        <f>IF($W158="","",IFERROR(IF(ISNUMBER(INDEX($K$9:$K$2008,$W158)),INDEX($K$9:$K$2008,$W158),VALUE(SUBSTITUTE(INDEX($K$9:$K$2008,$W158),",",""))),""))</f>
        <v/>
      </c>
      <c r="AJ158" s="30">
        <f>IF($W158="","",IFERROR(IF(ISNUMBER(INDEX($L$9:$L$2008,$W158)),INDEX($L$9:$L$2008,$W158),VALUE(SUBSTITUTE(INDEX($L$9:$L$2008,$W158),",",""))),""))</f>
        <v/>
      </c>
      <c r="AK158" s="30">
        <f>IF($W158="","",IFERROR(IF(ISNUMBER(INDEX($M$9:$M$2008,$W158)),INDEX($M$9:$M$2008,$W158),VALUE(SUBSTITUTE(INDEX($M$9:$M$2008,$W158),",",""))),""))</f>
        <v/>
      </c>
      <c r="AL158" s="31">
        <f>IF($W158="","",IFERROR(IF(ISNUMBER(INDEX($P$9:$P$2008,$W158)),INDEX($P$9:$P$2008,$W158),VALUE(SUBSTITUTE(INDEX($P$9:$P$2008,$W158),"%",""))/100),""))</f>
        <v/>
      </c>
    </row>
    <row r="159">
      <c r="S159">
        <f>IF(AND(ISTEXT($A159),ISNUMBER(SEARCH(" - ",$A159)),ISERROR(SEARCH("Folio",$A159)),$D159=""),TRIM($A159),$S158)</f>
        <v/>
      </c>
      <c r="T159">
        <f>IF(AND(ISNUMBER(SEARCH("Folio",$A159)),$D159&lt;&gt;""),1,"")</f>
        <v/>
      </c>
      <c r="U159">
        <f>IF($T159=1,COUNTIF($T$9:$T159,1),"")</f>
        <v/>
      </c>
      <c r="V159">
        <f>IF(AND(ISTEXT($A159),LEFT($A160,3)="Pan"),1,"")</f>
        <v/>
      </c>
      <c r="W159" s="21">
        <f>IFERROR(MATCH(151,$U$9:$U$2008,0),"")</f>
        <v/>
      </c>
      <c r="X159" s="22">
        <f>IF($W159="","",IF($R$5&lt;&gt;"",$R$5,$R$6))</f>
        <v/>
      </c>
      <c r="Y159" s="22">
        <f>IF($W159="","",INDEX($S$9:$S$2008,$W159))</f>
        <v/>
      </c>
      <c r="Z159" s="22">
        <f>IF($W159="","",IFERROR(TRIM(LEFT(SUBSTITUTE(INDEX($A$9:$A$2008,$W159),CHAR(10)," "),SEARCH("Folio",SUBSTITUTE(INDEX($A$9:$A$2008,$W159),CHAR(10)," "))-1)),TRIM(SUBSTITUTE(INDEX($A$9:$A$2008,$W159),CHAR(10)," "))))</f>
        <v/>
      </c>
      <c r="AA159" s="22">
        <f>IF($W159="","",IFERROR(TRIM(SUBSTITUTE(MID(SUBSTITUTE(INDEX($A$9:$A$2008,$W159),CHAR(10)," "),SEARCH("Folio",SUBSTITUTE(INDEX($A$9:$A$2008,$W159),CHAR(10)," "))+5,200),":","")),""))</f>
        <v/>
      </c>
      <c r="AB159" s="23">
        <f>IF($W159="","",IF(ISNUMBER(INDEX($D$9:$D$2008,$W159)),INDEX($D$9:$D$2008,$W159),IFERROR(DATE(2000+VALUE(RIGHT(INDEX($D$9:$D$2008,$W159),2)),VALUE(MID(INDEX($D$9:$D$2008,$W159),4,2)),VALUE(LEFT(INDEX($D$9:$D$2008,$W159),2))),"")))</f>
        <v/>
      </c>
      <c r="AC159" s="24">
        <f>IF($W159="","",IFERROR(IF(ISNUMBER(INDEX($E$9:$E$2008,$W159)),INDEX($E$9:$E$2008,$W159),VALUE(SUBSTITUTE(INDEX($E$9:$E$2008,$W159),",",""))),""))</f>
        <v/>
      </c>
      <c r="AD159" s="24">
        <f>IF($W159="","",IFERROR(IF(ISNUMBER(INDEX($F$9:$F$2008,$W159)),INDEX($F$9:$F$2008,$W159),VALUE(SUBSTITUTE(INDEX($F$9:$F$2008,$W159),",",""))),""))</f>
        <v/>
      </c>
      <c r="AE159" s="24">
        <f>IF($W159="","",IFERROR(IF(ISNUMBER(INDEX($G$9:$G$2008,$W159)),INDEX($G$9:$G$2008,$W159),VALUE(SUBSTITUTE(INDEX($G$9:$G$2008,$W159),",",""))),""))</f>
        <v/>
      </c>
      <c r="AF159" s="24">
        <f>IF($W159="","",IFERROR(IF(ISNUMBER(INDEX($H$9:$H$2008,$W159)),INDEX($H$9:$H$2008,$W159),VALUE(SUBSTITUTE(INDEX($H$9:$H$2008,$W159),",",""))),""))</f>
        <v/>
      </c>
      <c r="AG159" s="24">
        <f>IF($W159="","",IFERROR(IF(ISNUMBER(INDEX($I$9:$I$2008,$W159)),INDEX($I$9:$I$2008,$W159),VALUE(SUBSTITUTE(INDEX($I$9:$I$2008,$W159),",",""))),""))</f>
        <v/>
      </c>
      <c r="AH159" s="24">
        <f>IF($W159="","",IFERROR(IF(ISNUMBER(INDEX($J$9:$J$2008,$W159)),INDEX($J$9:$J$2008,$W159),VALUE(SUBSTITUTE(INDEX($J$9:$J$2008,$W159),",",""))),""))</f>
        <v/>
      </c>
      <c r="AI159" s="24">
        <f>IF($W159="","",IFERROR(IF(ISNUMBER(INDEX($K$9:$K$2008,$W159)),INDEX($K$9:$K$2008,$W159),VALUE(SUBSTITUTE(INDEX($K$9:$K$2008,$W159),",",""))),""))</f>
        <v/>
      </c>
      <c r="AJ159" s="25">
        <f>IF($W159="","",IFERROR(IF(ISNUMBER(INDEX($L$9:$L$2008,$W159)),INDEX($L$9:$L$2008,$W159),VALUE(SUBSTITUTE(INDEX($L$9:$L$2008,$W159),",",""))),""))</f>
        <v/>
      </c>
      <c r="AK159" s="25">
        <f>IF($W159="","",IFERROR(IF(ISNUMBER(INDEX($M$9:$M$2008,$W159)),INDEX($M$9:$M$2008,$W159),VALUE(SUBSTITUTE(INDEX($M$9:$M$2008,$W159),",",""))),""))</f>
        <v/>
      </c>
      <c r="AL159" s="26">
        <f>IF($W159="","",IFERROR(IF(ISNUMBER(INDEX($P$9:$P$2008,$W159)),INDEX($P$9:$P$2008,$W159),VALUE(SUBSTITUTE(INDEX($P$9:$P$2008,$W159),"%",""))/100),""))</f>
        <v/>
      </c>
    </row>
    <row r="160">
      <c r="S160">
        <f>IF(AND(ISTEXT($A160),ISNUMBER(SEARCH(" - ",$A160)),ISERROR(SEARCH("Folio",$A160)),$D160=""),TRIM($A160),$S159)</f>
        <v/>
      </c>
      <c r="T160">
        <f>IF(AND(ISNUMBER(SEARCH("Folio",$A160)),$D160&lt;&gt;""),1,"")</f>
        <v/>
      </c>
      <c r="U160">
        <f>IF($T160=1,COUNTIF($T$9:$T160,1),"")</f>
        <v/>
      </c>
      <c r="V160">
        <f>IF(AND(ISTEXT($A160),LEFT($A161,3)="Pan"),1,"")</f>
        <v/>
      </c>
      <c r="W160" s="21">
        <f>IFERROR(MATCH(152,$U$9:$U$2008,0),"")</f>
        <v/>
      </c>
      <c r="X160" s="27">
        <f>IF($W160="","",IF($R$5&lt;&gt;"",$R$5,$R$6))</f>
        <v/>
      </c>
      <c r="Y160" s="27">
        <f>IF($W160="","",INDEX($S$9:$S$2008,$W160))</f>
        <v/>
      </c>
      <c r="Z160" s="27">
        <f>IF($W160="","",IFERROR(TRIM(LEFT(SUBSTITUTE(INDEX($A$9:$A$2008,$W160),CHAR(10)," "),SEARCH("Folio",SUBSTITUTE(INDEX($A$9:$A$2008,$W160),CHAR(10)," "))-1)),TRIM(SUBSTITUTE(INDEX($A$9:$A$2008,$W160),CHAR(10)," "))))</f>
        <v/>
      </c>
      <c r="AA160" s="27">
        <f>IF($W160="","",IFERROR(TRIM(SUBSTITUTE(MID(SUBSTITUTE(INDEX($A$9:$A$2008,$W160),CHAR(10)," "),SEARCH("Folio",SUBSTITUTE(INDEX($A$9:$A$2008,$W160),CHAR(10)," "))+5,200),":","")),""))</f>
        <v/>
      </c>
      <c r="AB160" s="28">
        <f>IF($W160="","",IF(ISNUMBER(INDEX($D$9:$D$2008,$W160)),INDEX($D$9:$D$2008,$W160),IFERROR(DATE(2000+VALUE(RIGHT(INDEX($D$9:$D$2008,$W160),2)),VALUE(MID(INDEX($D$9:$D$2008,$W160),4,2)),VALUE(LEFT(INDEX($D$9:$D$2008,$W160),2))),"")))</f>
        <v/>
      </c>
      <c r="AC160" s="29">
        <f>IF($W160="","",IFERROR(IF(ISNUMBER(INDEX($E$9:$E$2008,$W160)),INDEX($E$9:$E$2008,$W160),VALUE(SUBSTITUTE(INDEX($E$9:$E$2008,$W160),",",""))),""))</f>
        <v/>
      </c>
      <c r="AD160" s="29">
        <f>IF($W160="","",IFERROR(IF(ISNUMBER(INDEX($F$9:$F$2008,$W160)),INDEX($F$9:$F$2008,$W160),VALUE(SUBSTITUTE(INDEX($F$9:$F$2008,$W160),",",""))),""))</f>
        <v/>
      </c>
      <c r="AE160" s="29">
        <f>IF($W160="","",IFERROR(IF(ISNUMBER(INDEX($G$9:$G$2008,$W160)),INDEX($G$9:$G$2008,$W160),VALUE(SUBSTITUTE(INDEX($G$9:$G$2008,$W160),",",""))),""))</f>
        <v/>
      </c>
      <c r="AF160" s="29">
        <f>IF($W160="","",IFERROR(IF(ISNUMBER(INDEX($H$9:$H$2008,$W160)),INDEX($H$9:$H$2008,$W160),VALUE(SUBSTITUTE(INDEX($H$9:$H$2008,$W160),",",""))),""))</f>
        <v/>
      </c>
      <c r="AG160" s="29">
        <f>IF($W160="","",IFERROR(IF(ISNUMBER(INDEX($I$9:$I$2008,$W160)),INDEX($I$9:$I$2008,$W160),VALUE(SUBSTITUTE(INDEX($I$9:$I$2008,$W160),",",""))),""))</f>
        <v/>
      </c>
      <c r="AH160" s="29">
        <f>IF($W160="","",IFERROR(IF(ISNUMBER(INDEX($J$9:$J$2008,$W160)),INDEX($J$9:$J$2008,$W160),VALUE(SUBSTITUTE(INDEX($J$9:$J$2008,$W160),",",""))),""))</f>
        <v/>
      </c>
      <c r="AI160" s="29">
        <f>IF($W160="","",IFERROR(IF(ISNUMBER(INDEX($K$9:$K$2008,$W160)),INDEX($K$9:$K$2008,$W160),VALUE(SUBSTITUTE(INDEX($K$9:$K$2008,$W160),",",""))),""))</f>
        <v/>
      </c>
      <c r="AJ160" s="30">
        <f>IF($W160="","",IFERROR(IF(ISNUMBER(INDEX($L$9:$L$2008,$W160)),INDEX($L$9:$L$2008,$W160),VALUE(SUBSTITUTE(INDEX($L$9:$L$2008,$W160),",",""))),""))</f>
        <v/>
      </c>
      <c r="AK160" s="30">
        <f>IF($W160="","",IFERROR(IF(ISNUMBER(INDEX($M$9:$M$2008,$W160)),INDEX($M$9:$M$2008,$W160),VALUE(SUBSTITUTE(INDEX($M$9:$M$2008,$W160),",",""))),""))</f>
        <v/>
      </c>
      <c r="AL160" s="31">
        <f>IF($W160="","",IFERROR(IF(ISNUMBER(INDEX($P$9:$P$2008,$W160)),INDEX($P$9:$P$2008,$W160),VALUE(SUBSTITUTE(INDEX($P$9:$P$2008,$W160),"%",""))/100),""))</f>
        <v/>
      </c>
    </row>
    <row r="161">
      <c r="S161">
        <f>IF(AND(ISTEXT($A161),ISNUMBER(SEARCH(" - ",$A161)),ISERROR(SEARCH("Folio",$A161)),$D161=""),TRIM($A161),$S160)</f>
        <v/>
      </c>
      <c r="T161">
        <f>IF(AND(ISNUMBER(SEARCH("Folio",$A161)),$D161&lt;&gt;""),1,"")</f>
        <v/>
      </c>
      <c r="U161">
        <f>IF($T161=1,COUNTIF($T$9:$T161,1),"")</f>
        <v/>
      </c>
      <c r="V161">
        <f>IF(AND(ISTEXT($A161),LEFT($A162,3)="Pan"),1,"")</f>
        <v/>
      </c>
      <c r="W161" s="21">
        <f>IFERROR(MATCH(153,$U$9:$U$2008,0),"")</f>
        <v/>
      </c>
      <c r="X161" s="22">
        <f>IF($W161="","",IF($R$5&lt;&gt;"",$R$5,$R$6))</f>
        <v/>
      </c>
      <c r="Y161" s="22">
        <f>IF($W161="","",INDEX($S$9:$S$2008,$W161))</f>
        <v/>
      </c>
      <c r="Z161" s="22">
        <f>IF($W161="","",IFERROR(TRIM(LEFT(SUBSTITUTE(INDEX($A$9:$A$2008,$W161),CHAR(10)," "),SEARCH("Folio",SUBSTITUTE(INDEX($A$9:$A$2008,$W161),CHAR(10)," "))-1)),TRIM(SUBSTITUTE(INDEX($A$9:$A$2008,$W161),CHAR(10)," "))))</f>
        <v/>
      </c>
      <c r="AA161" s="22">
        <f>IF($W161="","",IFERROR(TRIM(SUBSTITUTE(MID(SUBSTITUTE(INDEX($A$9:$A$2008,$W161),CHAR(10)," "),SEARCH("Folio",SUBSTITUTE(INDEX($A$9:$A$2008,$W161),CHAR(10)," "))+5,200),":","")),""))</f>
        <v/>
      </c>
      <c r="AB161" s="23">
        <f>IF($W161="","",IF(ISNUMBER(INDEX($D$9:$D$2008,$W161)),INDEX($D$9:$D$2008,$W161),IFERROR(DATE(2000+VALUE(RIGHT(INDEX($D$9:$D$2008,$W161),2)),VALUE(MID(INDEX($D$9:$D$2008,$W161),4,2)),VALUE(LEFT(INDEX($D$9:$D$2008,$W161),2))),"")))</f>
        <v/>
      </c>
      <c r="AC161" s="24">
        <f>IF($W161="","",IFERROR(IF(ISNUMBER(INDEX($E$9:$E$2008,$W161)),INDEX($E$9:$E$2008,$W161),VALUE(SUBSTITUTE(INDEX($E$9:$E$2008,$W161),",",""))),""))</f>
        <v/>
      </c>
      <c r="AD161" s="24">
        <f>IF($W161="","",IFERROR(IF(ISNUMBER(INDEX($F$9:$F$2008,$W161)),INDEX($F$9:$F$2008,$W161),VALUE(SUBSTITUTE(INDEX($F$9:$F$2008,$W161),",",""))),""))</f>
        <v/>
      </c>
      <c r="AE161" s="24">
        <f>IF($W161="","",IFERROR(IF(ISNUMBER(INDEX($G$9:$G$2008,$W161)),INDEX($G$9:$G$2008,$W161),VALUE(SUBSTITUTE(INDEX($G$9:$G$2008,$W161),",",""))),""))</f>
        <v/>
      </c>
      <c r="AF161" s="24">
        <f>IF($W161="","",IFERROR(IF(ISNUMBER(INDEX($H$9:$H$2008,$W161)),INDEX($H$9:$H$2008,$W161),VALUE(SUBSTITUTE(INDEX($H$9:$H$2008,$W161),",",""))),""))</f>
        <v/>
      </c>
      <c r="AG161" s="24">
        <f>IF($W161="","",IFERROR(IF(ISNUMBER(INDEX($I$9:$I$2008,$W161)),INDEX($I$9:$I$2008,$W161),VALUE(SUBSTITUTE(INDEX($I$9:$I$2008,$W161),",",""))),""))</f>
        <v/>
      </c>
      <c r="AH161" s="24">
        <f>IF($W161="","",IFERROR(IF(ISNUMBER(INDEX($J$9:$J$2008,$W161)),INDEX($J$9:$J$2008,$W161),VALUE(SUBSTITUTE(INDEX($J$9:$J$2008,$W161),",",""))),""))</f>
        <v/>
      </c>
      <c r="AI161" s="24">
        <f>IF($W161="","",IFERROR(IF(ISNUMBER(INDEX($K$9:$K$2008,$W161)),INDEX($K$9:$K$2008,$W161),VALUE(SUBSTITUTE(INDEX($K$9:$K$2008,$W161),",",""))),""))</f>
        <v/>
      </c>
      <c r="AJ161" s="25">
        <f>IF($W161="","",IFERROR(IF(ISNUMBER(INDEX($L$9:$L$2008,$W161)),INDEX($L$9:$L$2008,$W161),VALUE(SUBSTITUTE(INDEX($L$9:$L$2008,$W161),",",""))),""))</f>
        <v/>
      </c>
      <c r="AK161" s="25">
        <f>IF($W161="","",IFERROR(IF(ISNUMBER(INDEX($M$9:$M$2008,$W161)),INDEX($M$9:$M$2008,$W161),VALUE(SUBSTITUTE(INDEX($M$9:$M$2008,$W161),",",""))),""))</f>
        <v/>
      </c>
      <c r="AL161" s="26">
        <f>IF($W161="","",IFERROR(IF(ISNUMBER(INDEX($P$9:$P$2008,$W161)),INDEX($P$9:$P$2008,$W161),VALUE(SUBSTITUTE(INDEX($P$9:$P$2008,$W161),"%",""))/100),""))</f>
        <v/>
      </c>
    </row>
    <row r="162">
      <c r="S162">
        <f>IF(AND(ISTEXT($A162),ISNUMBER(SEARCH(" - ",$A162)),ISERROR(SEARCH("Folio",$A162)),$D162=""),TRIM($A162),$S161)</f>
        <v/>
      </c>
      <c r="T162">
        <f>IF(AND(ISNUMBER(SEARCH("Folio",$A162)),$D162&lt;&gt;""),1,"")</f>
        <v/>
      </c>
      <c r="U162">
        <f>IF($T162=1,COUNTIF($T$9:$T162,1),"")</f>
        <v/>
      </c>
      <c r="V162">
        <f>IF(AND(ISTEXT($A162),LEFT($A163,3)="Pan"),1,"")</f>
        <v/>
      </c>
      <c r="W162" s="21">
        <f>IFERROR(MATCH(154,$U$9:$U$2008,0),"")</f>
        <v/>
      </c>
      <c r="X162" s="27">
        <f>IF($W162="","",IF($R$5&lt;&gt;"",$R$5,$R$6))</f>
        <v/>
      </c>
      <c r="Y162" s="27">
        <f>IF($W162="","",INDEX($S$9:$S$2008,$W162))</f>
        <v/>
      </c>
      <c r="Z162" s="27">
        <f>IF($W162="","",IFERROR(TRIM(LEFT(SUBSTITUTE(INDEX($A$9:$A$2008,$W162),CHAR(10)," "),SEARCH("Folio",SUBSTITUTE(INDEX($A$9:$A$2008,$W162),CHAR(10)," "))-1)),TRIM(SUBSTITUTE(INDEX($A$9:$A$2008,$W162),CHAR(10)," "))))</f>
        <v/>
      </c>
      <c r="AA162" s="27">
        <f>IF($W162="","",IFERROR(TRIM(SUBSTITUTE(MID(SUBSTITUTE(INDEX($A$9:$A$2008,$W162),CHAR(10)," "),SEARCH("Folio",SUBSTITUTE(INDEX($A$9:$A$2008,$W162),CHAR(10)," "))+5,200),":","")),""))</f>
        <v/>
      </c>
      <c r="AB162" s="28">
        <f>IF($W162="","",IF(ISNUMBER(INDEX($D$9:$D$2008,$W162)),INDEX($D$9:$D$2008,$W162),IFERROR(DATE(2000+VALUE(RIGHT(INDEX($D$9:$D$2008,$W162),2)),VALUE(MID(INDEX($D$9:$D$2008,$W162),4,2)),VALUE(LEFT(INDEX($D$9:$D$2008,$W162),2))),"")))</f>
        <v/>
      </c>
      <c r="AC162" s="29">
        <f>IF($W162="","",IFERROR(IF(ISNUMBER(INDEX($E$9:$E$2008,$W162)),INDEX($E$9:$E$2008,$W162),VALUE(SUBSTITUTE(INDEX($E$9:$E$2008,$W162),",",""))),""))</f>
        <v/>
      </c>
      <c r="AD162" s="29">
        <f>IF($W162="","",IFERROR(IF(ISNUMBER(INDEX($F$9:$F$2008,$W162)),INDEX($F$9:$F$2008,$W162),VALUE(SUBSTITUTE(INDEX($F$9:$F$2008,$W162),",",""))),""))</f>
        <v/>
      </c>
      <c r="AE162" s="29">
        <f>IF($W162="","",IFERROR(IF(ISNUMBER(INDEX($G$9:$G$2008,$W162)),INDEX($G$9:$G$2008,$W162),VALUE(SUBSTITUTE(INDEX($G$9:$G$2008,$W162),",",""))),""))</f>
        <v/>
      </c>
      <c r="AF162" s="29">
        <f>IF($W162="","",IFERROR(IF(ISNUMBER(INDEX($H$9:$H$2008,$W162)),INDEX($H$9:$H$2008,$W162),VALUE(SUBSTITUTE(INDEX($H$9:$H$2008,$W162),",",""))),""))</f>
        <v/>
      </c>
      <c r="AG162" s="29">
        <f>IF($W162="","",IFERROR(IF(ISNUMBER(INDEX($I$9:$I$2008,$W162)),INDEX($I$9:$I$2008,$W162),VALUE(SUBSTITUTE(INDEX($I$9:$I$2008,$W162),",",""))),""))</f>
        <v/>
      </c>
      <c r="AH162" s="29">
        <f>IF($W162="","",IFERROR(IF(ISNUMBER(INDEX($J$9:$J$2008,$W162)),INDEX($J$9:$J$2008,$W162),VALUE(SUBSTITUTE(INDEX($J$9:$J$2008,$W162),",",""))),""))</f>
        <v/>
      </c>
      <c r="AI162" s="29">
        <f>IF($W162="","",IFERROR(IF(ISNUMBER(INDEX($K$9:$K$2008,$W162)),INDEX($K$9:$K$2008,$W162),VALUE(SUBSTITUTE(INDEX($K$9:$K$2008,$W162),",",""))),""))</f>
        <v/>
      </c>
      <c r="AJ162" s="30">
        <f>IF($W162="","",IFERROR(IF(ISNUMBER(INDEX($L$9:$L$2008,$W162)),INDEX($L$9:$L$2008,$W162),VALUE(SUBSTITUTE(INDEX($L$9:$L$2008,$W162),",",""))),""))</f>
        <v/>
      </c>
      <c r="AK162" s="30">
        <f>IF($W162="","",IFERROR(IF(ISNUMBER(INDEX($M$9:$M$2008,$W162)),INDEX($M$9:$M$2008,$W162),VALUE(SUBSTITUTE(INDEX($M$9:$M$2008,$W162),",",""))),""))</f>
        <v/>
      </c>
      <c r="AL162" s="31">
        <f>IF($W162="","",IFERROR(IF(ISNUMBER(INDEX($P$9:$P$2008,$W162)),INDEX($P$9:$P$2008,$W162),VALUE(SUBSTITUTE(INDEX($P$9:$P$2008,$W162),"%",""))/100),""))</f>
        <v/>
      </c>
    </row>
    <row r="163">
      <c r="S163">
        <f>IF(AND(ISTEXT($A163),ISNUMBER(SEARCH(" - ",$A163)),ISERROR(SEARCH("Folio",$A163)),$D163=""),TRIM($A163),$S162)</f>
        <v/>
      </c>
      <c r="T163">
        <f>IF(AND(ISNUMBER(SEARCH("Folio",$A163)),$D163&lt;&gt;""),1,"")</f>
        <v/>
      </c>
      <c r="U163">
        <f>IF($T163=1,COUNTIF($T$9:$T163,1),"")</f>
        <v/>
      </c>
      <c r="V163">
        <f>IF(AND(ISTEXT($A163),LEFT($A164,3)="Pan"),1,"")</f>
        <v/>
      </c>
      <c r="W163" s="21">
        <f>IFERROR(MATCH(155,$U$9:$U$2008,0),"")</f>
        <v/>
      </c>
      <c r="X163" s="22">
        <f>IF($W163="","",IF($R$5&lt;&gt;"",$R$5,$R$6))</f>
        <v/>
      </c>
      <c r="Y163" s="22">
        <f>IF($W163="","",INDEX($S$9:$S$2008,$W163))</f>
        <v/>
      </c>
      <c r="Z163" s="22">
        <f>IF($W163="","",IFERROR(TRIM(LEFT(SUBSTITUTE(INDEX($A$9:$A$2008,$W163),CHAR(10)," "),SEARCH("Folio",SUBSTITUTE(INDEX($A$9:$A$2008,$W163),CHAR(10)," "))-1)),TRIM(SUBSTITUTE(INDEX($A$9:$A$2008,$W163),CHAR(10)," "))))</f>
        <v/>
      </c>
      <c r="AA163" s="22">
        <f>IF($W163="","",IFERROR(TRIM(SUBSTITUTE(MID(SUBSTITUTE(INDEX($A$9:$A$2008,$W163),CHAR(10)," "),SEARCH("Folio",SUBSTITUTE(INDEX($A$9:$A$2008,$W163),CHAR(10)," "))+5,200),":","")),""))</f>
        <v/>
      </c>
      <c r="AB163" s="23">
        <f>IF($W163="","",IF(ISNUMBER(INDEX($D$9:$D$2008,$W163)),INDEX($D$9:$D$2008,$W163),IFERROR(DATE(2000+VALUE(RIGHT(INDEX($D$9:$D$2008,$W163),2)),VALUE(MID(INDEX($D$9:$D$2008,$W163),4,2)),VALUE(LEFT(INDEX($D$9:$D$2008,$W163),2))),"")))</f>
        <v/>
      </c>
      <c r="AC163" s="24">
        <f>IF($W163="","",IFERROR(IF(ISNUMBER(INDEX($E$9:$E$2008,$W163)),INDEX($E$9:$E$2008,$W163),VALUE(SUBSTITUTE(INDEX($E$9:$E$2008,$W163),",",""))),""))</f>
        <v/>
      </c>
      <c r="AD163" s="24">
        <f>IF($W163="","",IFERROR(IF(ISNUMBER(INDEX($F$9:$F$2008,$W163)),INDEX($F$9:$F$2008,$W163),VALUE(SUBSTITUTE(INDEX($F$9:$F$2008,$W163),",",""))),""))</f>
        <v/>
      </c>
      <c r="AE163" s="24">
        <f>IF($W163="","",IFERROR(IF(ISNUMBER(INDEX($G$9:$G$2008,$W163)),INDEX($G$9:$G$2008,$W163),VALUE(SUBSTITUTE(INDEX($G$9:$G$2008,$W163),",",""))),""))</f>
        <v/>
      </c>
      <c r="AF163" s="24">
        <f>IF($W163="","",IFERROR(IF(ISNUMBER(INDEX($H$9:$H$2008,$W163)),INDEX($H$9:$H$2008,$W163),VALUE(SUBSTITUTE(INDEX($H$9:$H$2008,$W163),",",""))),""))</f>
        <v/>
      </c>
      <c r="AG163" s="24">
        <f>IF($W163="","",IFERROR(IF(ISNUMBER(INDEX($I$9:$I$2008,$W163)),INDEX($I$9:$I$2008,$W163),VALUE(SUBSTITUTE(INDEX($I$9:$I$2008,$W163),",",""))),""))</f>
        <v/>
      </c>
      <c r="AH163" s="24">
        <f>IF($W163="","",IFERROR(IF(ISNUMBER(INDEX($J$9:$J$2008,$W163)),INDEX($J$9:$J$2008,$W163),VALUE(SUBSTITUTE(INDEX($J$9:$J$2008,$W163),",",""))),""))</f>
        <v/>
      </c>
      <c r="AI163" s="24">
        <f>IF($W163="","",IFERROR(IF(ISNUMBER(INDEX($K$9:$K$2008,$W163)),INDEX($K$9:$K$2008,$W163),VALUE(SUBSTITUTE(INDEX($K$9:$K$2008,$W163),",",""))),""))</f>
        <v/>
      </c>
      <c r="AJ163" s="25">
        <f>IF($W163="","",IFERROR(IF(ISNUMBER(INDEX($L$9:$L$2008,$W163)),INDEX($L$9:$L$2008,$W163),VALUE(SUBSTITUTE(INDEX($L$9:$L$2008,$W163),",",""))),""))</f>
        <v/>
      </c>
      <c r="AK163" s="25">
        <f>IF($W163="","",IFERROR(IF(ISNUMBER(INDEX($M$9:$M$2008,$W163)),INDEX($M$9:$M$2008,$W163),VALUE(SUBSTITUTE(INDEX($M$9:$M$2008,$W163),",",""))),""))</f>
        <v/>
      </c>
      <c r="AL163" s="26">
        <f>IF($W163="","",IFERROR(IF(ISNUMBER(INDEX($P$9:$P$2008,$W163)),INDEX($P$9:$P$2008,$W163),VALUE(SUBSTITUTE(INDEX($P$9:$P$2008,$W163),"%",""))/100),""))</f>
        <v/>
      </c>
    </row>
    <row r="164">
      <c r="S164">
        <f>IF(AND(ISTEXT($A164),ISNUMBER(SEARCH(" - ",$A164)),ISERROR(SEARCH("Folio",$A164)),$D164=""),TRIM($A164),$S163)</f>
        <v/>
      </c>
      <c r="T164">
        <f>IF(AND(ISNUMBER(SEARCH("Folio",$A164)),$D164&lt;&gt;""),1,"")</f>
        <v/>
      </c>
      <c r="U164">
        <f>IF($T164=1,COUNTIF($T$9:$T164,1),"")</f>
        <v/>
      </c>
      <c r="V164">
        <f>IF(AND(ISTEXT($A164),LEFT($A165,3)="Pan"),1,"")</f>
        <v/>
      </c>
      <c r="W164" s="21">
        <f>IFERROR(MATCH(156,$U$9:$U$2008,0),"")</f>
        <v/>
      </c>
      <c r="X164" s="27">
        <f>IF($W164="","",IF($R$5&lt;&gt;"",$R$5,$R$6))</f>
        <v/>
      </c>
      <c r="Y164" s="27">
        <f>IF($W164="","",INDEX($S$9:$S$2008,$W164))</f>
        <v/>
      </c>
      <c r="Z164" s="27">
        <f>IF($W164="","",IFERROR(TRIM(LEFT(SUBSTITUTE(INDEX($A$9:$A$2008,$W164),CHAR(10)," "),SEARCH("Folio",SUBSTITUTE(INDEX($A$9:$A$2008,$W164),CHAR(10)," "))-1)),TRIM(SUBSTITUTE(INDEX($A$9:$A$2008,$W164),CHAR(10)," "))))</f>
        <v/>
      </c>
      <c r="AA164" s="27">
        <f>IF($W164="","",IFERROR(TRIM(SUBSTITUTE(MID(SUBSTITUTE(INDEX($A$9:$A$2008,$W164),CHAR(10)," "),SEARCH("Folio",SUBSTITUTE(INDEX($A$9:$A$2008,$W164),CHAR(10)," "))+5,200),":","")),""))</f>
        <v/>
      </c>
      <c r="AB164" s="28">
        <f>IF($W164="","",IF(ISNUMBER(INDEX($D$9:$D$2008,$W164)),INDEX($D$9:$D$2008,$W164),IFERROR(DATE(2000+VALUE(RIGHT(INDEX($D$9:$D$2008,$W164),2)),VALUE(MID(INDEX($D$9:$D$2008,$W164),4,2)),VALUE(LEFT(INDEX($D$9:$D$2008,$W164),2))),"")))</f>
        <v/>
      </c>
      <c r="AC164" s="29">
        <f>IF($W164="","",IFERROR(IF(ISNUMBER(INDEX($E$9:$E$2008,$W164)),INDEX($E$9:$E$2008,$W164),VALUE(SUBSTITUTE(INDEX($E$9:$E$2008,$W164),",",""))),""))</f>
        <v/>
      </c>
      <c r="AD164" s="29">
        <f>IF($W164="","",IFERROR(IF(ISNUMBER(INDEX($F$9:$F$2008,$W164)),INDEX($F$9:$F$2008,$W164),VALUE(SUBSTITUTE(INDEX($F$9:$F$2008,$W164),",",""))),""))</f>
        <v/>
      </c>
      <c r="AE164" s="29">
        <f>IF($W164="","",IFERROR(IF(ISNUMBER(INDEX($G$9:$G$2008,$W164)),INDEX($G$9:$G$2008,$W164),VALUE(SUBSTITUTE(INDEX($G$9:$G$2008,$W164),",",""))),""))</f>
        <v/>
      </c>
      <c r="AF164" s="29">
        <f>IF($W164="","",IFERROR(IF(ISNUMBER(INDEX($H$9:$H$2008,$W164)),INDEX($H$9:$H$2008,$W164),VALUE(SUBSTITUTE(INDEX($H$9:$H$2008,$W164),",",""))),""))</f>
        <v/>
      </c>
      <c r="AG164" s="29">
        <f>IF($W164="","",IFERROR(IF(ISNUMBER(INDEX($I$9:$I$2008,$W164)),INDEX($I$9:$I$2008,$W164),VALUE(SUBSTITUTE(INDEX($I$9:$I$2008,$W164),",",""))),""))</f>
        <v/>
      </c>
      <c r="AH164" s="29">
        <f>IF($W164="","",IFERROR(IF(ISNUMBER(INDEX($J$9:$J$2008,$W164)),INDEX($J$9:$J$2008,$W164),VALUE(SUBSTITUTE(INDEX($J$9:$J$2008,$W164),",",""))),""))</f>
        <v/>
      </c>
      <c r="AI164" s="29">
        <f>IF($W164="","",IFERROR(IF(ISNUMBER(INDEX($K$9:$K$2008,$W164)),INDEX($K$9:$K$2008,$W164),VALUE(SUBSTITUTE(INDEX($K$9:$K$2008,$W164),",",""))),""))</f>
        <v/>
      </c>
      <c r="AJ164" s="30">
        <f>IF($W164="","",IFERROR(IF(ISNUMBER(INDEX($L$9:$L$2008,$W164)),INDEX($L$9:$L$2008,$W164),VALUE(SUBSTITUTE(INDEX($L$9:$L$2008,$W164),",",""))),""))</f>
        <v/>
      </c>
      <c r="AK164" s="30">
        <f>IF($W164="","",IFERROR(IF(ISNUMBER(INDEX($M$9:$M$2008,$W164)),INDEX($M$9:$M$2008,$W164),VALUE(SUBSTITUTE(INDEX($M$9:$M$2008,$W164),",",""))),""))</f>
        <v/>
      </c>
      <c r="AL164" s="31">
        <f>IF($W164="","",IFERROR(IF(ISNUMBER(INDEX($P$9:$P$2008,$W164)),INDEX($P$9:$P$2008,$W164),VALUE(SUBSTITUTE(INDEX($P$9:$P$2008,$W164),"%",""))/100),""))</f>
        <v/>
      </c>
    </row>
    <row r="165">
      <c r="S165">
        <f>IF(AND(ISTEXT($A165),ISNUMBER(SEARCH(" - ",$A165)),ISERROR(SEARCH("Folio",$A165)),$D165=""),TRIM($A165),$S164)</f>
        <v/>
      </c>
      <c r="T165">
        <f>IF(AND(ISNUMBER(SEARCH("Folio",$A165)),$D165&lt;&gt;""),1,"")</f>
        <v/>
      </c>
      <c r="U165">
        <f>IF($T165=1,COUNTIF($T$9:$T165,1),"")</f>
        <v/>
      </c>
      <c r="V165">
        <f>IF(AND(ISTEXT($A165),LEFT($A166,3)="Pan"),1,"")</f>
        <v/>
      </c>
      <c r="W165" s="21">
        <f>IFERROR(MATCH(157,$U$9:$U$2008,0),"")</f>
        <v/>
      </c>
      <c r="X165" s="22">
        <f>IF($W165="","",IF($R$5&lt;&gt;"",$R$5,$R$6))</f>
        <v/>
      </c>
      <c r="Y165" s="22">
        <f>IF($W165="","",INDEX($S$9:$S$2008,$W165))</f>
        <v/>
      </c>
      <c r="Z165" s="22">
        <f>IF($W165="","",IFERROR(TRIM(LEFT(SUBSTITUTE(INDEX($A$9:$A$2008,$W165),CHAR(10)," "),SEARCH("Folio",SUBSTITUTE(INDEX($A$9:$A$2008,$W165),CHAR(10)," "))-1)),TRIM(SUBSTITUTE(INDEX($A$9:$A$2008,$W165),CHAR(10)," "))))</f>
        <v/>
      </c>
      <c r="AA165" s="22">
        <f>IF($W165="","",IFERROR(TRIM(SUBSTITUTE(MID(SUBSTITUTE(INDEX($A$9:$A$2008,$W165),CHAR(10)," "),SEARCH("Folio",SUBSTITUTE(INDEX($A$9:$A$2008,$W165),CHAR(10)," "))+5,200),":","")),""))</f>
        <v/>
      </c>
      <c r="AB165" s="23">
        <f>IF($W165="","",IF(ISNUMBER(INDEX($D$9:$D$2008,$W165)),INDEX($D$9:$D$2008,$W165),IFERROR(DATE(2000+VALUE(RIGHT(INDEX($D$9:$D$2008,$W165),2)),VALUE(MID(INDEX($D$9:$D$2008,$W165),4,2)),VALUE(LEFT(INDEX($D$9:$D$2008,$W165),2))),"")))</f>
        <v/>
      </c>
      <c r="AC165" s="24">
        <f>IF($W165="","",IFERROR(IF(ISNUMBER(INDEX($E$9:$E$2008,$W165)),INDEX($E$9:$E$2008,$W165),VALUE(SUBSTITUTE(INDEX($E$9:$E$2008,$W165),",",""))),""))</f>
        <v/>
      </c>
      <c r="AD165" s="24">
        <f>IF($W165="","",IFERROR(IF(ISNUMBER(INDEX($F$9:$F$2008,$W165)),INDEX($F$9:$F$2008,$W165),VALUE(SUBSTITUTE(INDEX($F$9:$F$2008,$W165),",",""))),""))</f>
        <v/>
      </c>
      <c r="AE165" s="24">
        <f>IF($W165="","",IFERROR(IF(ISNUMBER(INDEX($G$9:$G$2008,$W165)),INDEX($G$9:$G$2008,$W165),VALUE(SUBSTITUTE(INDEX($G$9:$G$2008,$W165),",",""))),""))</f>
        <v/>
      </c>
      <c r="AF165" s="24">
        <f>IF($W165="","",IFERROR(IF(ISNUMBER(INDEX($H$9:$H$2008,$W165)),INDEX($H$9:$H$2008,$W165),VALUE(SUBSTITUTE(INDEX($H$9:$H$2008,$W165),",",""))),""))</f>
        <v/>
      </c>
      <c r="AG165" s="24">
        <f>IF($W165="","",IFERROR(IF(ISNUMBER(INDEX($I$9:$I$2008,$W165)),INDEX($I$9:$I$2008,$W165),VALUE(SUBSTITUTE(INDEX($I$9:$I$2008,$W165),",",""))),""))</f>
        <v/>
      </c>
      <c r="AH165" s="24">
        <f>IF($W165="","",IFERROR(IF(ISNUMBER(INDEX($J$9:$J$2008,$W165)),INDEX($J$9:$J$2008,$W165),VALUE(SUBSTITUTE(INDEX($J$9:$J$2008,$W165),",",""))),""))</f>
        <v/>
      </c>
      <c r="AI165" s="24">
        <f>IF($W165="","",IFERROR(IF(ISNUMBER(INDEX($K$9:$K$2008,$W165)),INDEX($K$9:$K$2008,$W165),VALUE(SUBSTITUTE(INDEX($K$9:$K$2008,$W165),",",""))),""))</f>
        <v/>
      </c>
      <c r="AJ165" s="25">
        <f>IF($W165="","",IFERROR(IF(ISNUMBER(INDEX($L$9:$L$2008,$W165)),INDEX($L$9:$L$2008,$W165),VALUE(SUBSTITUTE(INDEX($L$9:$L$2008,$W165),",",""))),""))</f>
        <v/>
      </c>
      <c r="AK165" s="25">
        <f>IF($W165="","",IFERROR(IF(ISNUMBER(INDEX($M$9:$M$2008,$W165)),INDEX($M$9:$M$2008,$W165),VALUE(SUBSTITUTE(INDEX($M$9:$M$2008,$W165),",",""))),""))</f>
        <v/>
      </c>
      <c r="AL165" s="26">
        <f>IF($W165="","",IFERROR(IF(ISNUMBER(INDEX($P$9:$P$2008,$W165)),INDEX($P$9:$P$2008,$W165),VALUE(SUBSTITUTE(INDEX($P$9:$P$2008,$W165),"%",""))/100),""))</f>
        <v/>
      </c>
    </row>
    <row r="166">
      <c r="S166">
        <f>IF(AND(ISTEXT($A166),ISNUMBER(SEARCH(" - ",$A166)),ISERROR(SEARCH("Folio",$A166)),$D166=""),TRIM($A166),$S165)</f>
        <v/>
      </c>
      <c r="T166">
        <f>IF(AND(ISNUMBER(SEARCH("Folio",$A166)),$D166&lt;&gt;""),1,"")</f>
        <v/>
      </c>
      <c r="U166">
        <f>IF($T166=1,COUNTIF($T$9:$T166,1),"")</f>
        <v/>
      </c>
      <c r="V166">
        <f>IF(AND(ISTEXT($A166),LEFT($A167,3)="Pan"),1,"")</f>
        <v/>
      </c>
      <c r="W166" s="21">
        <f>IFERROR(MATCH(158,$U$9:$U$2008,0),"")</f>
        <v/>
      </c>
      <c r="X166" s="27">
        <f>IF($W166="","",IF($R$5&lt;&gt;"",$R$5,$R$6))</f>
        <v/>
      </c>
      <c r="Y166" s="27">
        <f>IF($W166="","",INDEX($S$9:$S$2008,$W166))</f>
        <v/>
      </c>
      <c r="Z166" s="27">
        <f>IF($W166="","",IFERROR(TRIM(LEFT(SUBSTITUTE(INDEX($A$9:$A$2008,$W166),CHAR(10)," "),SEARCH("Folio",SUBSTITUTE(INDEX($A$9:$A$2008,$W166),CHAR(10)," "))-1)),TRIM(SUBSTITUTE(INDEX($A$9:$A$2008,$W166),CHAR(10)," "))))</f>
        <v/>
      </c>
      <c r="AA166" s="27">
        <f>IF($W166="","",IFERROR(TRIM(SUBSTITUTE(MID(SUBSTITUTE(INDEX($A$9:$A$2008,$W166),CHAR(10)," "),SEARCH("Folio",SUBSTITUTE(INDEX($A$9:$A$2008,$W166),CHAR(10)," "))+5,200),":","")),""))</f>
        <v/>
      </c>
      <c r="AB166" s="28">
        <f>IF($W166="","",IF(ISNUMBER(INDEX($D$9:$D$2008,$W166)),INDEX($D$9:$D$2008,$W166),IFERROR(DATE(2000+VALUE(RIGHT(INDEX($D$9:$D$2008,$W166),2)),VALUE(MID(INDEX($D$9:$D$2008,$W166),4,2)),VALUE(LEFT(INDEX($D$9:$D$2008,$W166),2))),"")))</f>
        <v/>
      </c>
      <c r="AC166" s="29">
        <f>IF($W166="","",IFERROR(IF(ISNUMBER(INDEX($E$9:$E$2008,$W166)),INDEX($E$9:$E$2008,$W166),VALUE(SUBSTITUTE(INDEX($E$9:$E$2008,$W166),",",""))),""))</f>
        <v/>
      </c>
      <c r="AD166" s="29">
        <f>IF($W166="","",IFERROR(IF(ISNUMBER(INDEX($F$9:$F$2008,$W166)),INDEX($F$9:$F$2008,$W166),VALUE(SUBSTITUTE(INDEX($F$9:$F$2008,$W166),",",""))),""))</f>
        <v/>
      </c>
      <c r="AE166" s="29">
        <f>IF($W166="","",IFERROR(IF(ISNUMBER(INDEX($G$9:$G$2008,$W166)),INDEX($G$9:$G$2008,$W166),VALUE(SUBSTITUTE(INDEX($G$9:$G$2008,$W166),",",""))),""))</f>
        <v/>
      </c>
      <c r="AF166" s="29">
        <f>IF($W166="","",IFERROR(IF(ISNUMBER(INDEX($H$9:$H$2008,$W166)),INDEX($H$9:$H$2008,$W166),VALUE(SUBSTITUTE(INDEX($H$9:$H$2008,$W166),",",""))),""))</f>
        <v/>
      </c>
      <c r="AG166" s="29">
        <f>IF($W166="","",IFERROR(IF(ISNUMBER(INDEX($I$9:$I$2008,$W166)),INDEX($I$9:$I$2008,$W166),VALUE(SUBSTITUTE(INDEX($I$9:$I$2008,$W166),",",""))),""))</f>
        <v/>
      </c>
      <c r="AH166" s="29">
        <f>IF($W166="","",IFERROR(IF(ISNUMBER(INDEX($J$9:$J$2008,$W166)),INDEX($J$9:$J$2008,$W166),VALUE(SUBSTITUTE(INDEX($J$9:$J$2008,$W166),",",""))),""))</f>
        <v/>
      </c>
      <c r="AI166" s="29">
        <f>IF($W166="","",IFERROR(IF(ISNUMBER(INDEX($K$9:$K$2008,$W166)),INDEX($K$9:$K$2008,$W166),VALUE(SUBSTITUTE(INDEX($K$9:$K$2008,$W166),",",""))),""))</f>
        <v/>
      </c>
      <c r="AJ166" s="30">
        <f>IF($W166="","",IFERROR(IF(ISNUMBER(INDEX($L$9:$L$2008,$W166)),INDEX($L$9:$L$2008,$W166),VALUE(SUBSTITUTE(INDEX($L$9:$L$2008,$W166),",",""))),""))</f>
        <v/>
      </c>
      <c r="AK166" s="30">
        <f>IF($W166="","",IFERROR(IF(ISNUMBER(INDEX($M$9:$M$2008,$W166)),INDEX($M$9:$M$2008,$W166),VALUE(SUBSTITUTE(INDEX($M$9:$M$2008,$W166),",",""))),""))</f>
        <v/>
      </c>
      <c r="AL166" s="31">
        <f>IF($W166="","",IFERROR(IF(ISNUMBER(INDEX($P$9:$P$2008,$W166)),INDEX($P$9:$P$2008,$W166),VALUE(SUBSTITUTE(INDEX($P$9:$P$2008,$W166),"%",""))/100),""))</f>
        <v/>
      </c>
    </row>
    <row r="167">
      <c r="S167">
        <f>IF(AND(ISTEXT($A167),ISNUMBER(SEARCH(" - ",$A167)),ISERROR(SEARCH("Folio",$A167)),$D167=""),TRIM($A167),$S166)</f>
        <v/>
      </c>
      <c r="T167">
        <f>IF(AND(ISNUMBER(SEARCH("Folio",$A167)),$D167&lt;&gt;""),1,"")</f>
        <v/>
      </c>
      <c r="U167">
        <f>IF($T167=1,COUNTIF($T$9:$T167,1),"")</f>
        <v/>
      </c>
      <c r="V167">
        <f>IF(AND(ISTEXT($A167),LEFT($A168,3)="Pan"),1,"")</f>
        <v/>
      </c>
      <c r="W167" s="21">
        <f>IFERROR(MATCH(159,$U$9:$U$2008,0),"")</f>
        <v/>
      </c>
      <c r="X167" s="22">
        <f>IF($W167="","",IF($R$5&lt;&gt;"",$R$5,$R$6))</f>
        <v/>
      </c>
      <c r="Y167" s="22">
        <f>IF($W167="","",INDEX($S$9:$S$2008,$W167))</f>
        <v/>
      </c>
      <c r="Z167" s="22">
        <f>IF($W167="","",IFERROR(TRIM(LEFT(SUBSTITUTE(INDEX($A$9:$A$2008,$W167),CHAR(10)," "),SEARCH("Folio",SUBSTITUTE(INDEX($A$9:$A$2008,$W167),CHAR(10)," "))-1)),TRIM(SUBSTITUTE(INDEX($A$9:$A$2008,$W167),CHAR(10)," "))))</f>
        <v/>
      </c>
      <c r="AA167" s="22">
        <f>IF($W167="","",IFERROR(TRIM(SUBSTITUTE(MID(SUBSTITUTE(INDEX($A$9:$A$2008,$W167),CHAR(10)," "),SEARCH("Folio",SUBSTITUTE(INDEX($A$9:$A$2008,$W167),CHAR(10)," "))+5,200),":","")),""))</f>
        <v/>
      </c>
      <c r="AB167" s="23">
        <f>IF($W167="","",IF(ISNUMBER(INDEX($D$9:$D$2008,$W167)),INDEX($D$9:$D$2008,$W167),IFERROR(DATE(2000+VALUE(RIGHT(INDEX($D$9:$D$2008,$W167),2)),VALUE(MID(INDEX($D$9:$D$2008,$W167),4,2)),VALUE(LEFT(INDEX($D$9:$D$2008,$W167),2))),"")))</f>
        <v/>
      </c>
      <c r="AC167" s="24">
        <f>IF($W167="","",IFERROR(IF(ISNUMBER(INDEX($E$9:$E$2008,$W167)),INDEX($E$9:$E$2008,$W167),VALUE(SUBSTITUTE(INDEX($E$9:$E$2008,$W167),",",""))),""))</f>
        <v/>
      </c>
      <c r="AD167" s="24">
        <f>IF($W167="","",IFERROR(IF(ISNUMBER(INDEX($F$9:$F$2008,$W167)),INDEX($F$9:$F$2008,$W167),VALUE(SUBSTITUTE(INDEX($F$9:$F$2008,$W167),",",""))),""))</f>
        <v/>
      </c>
      <c r="AE167" s="24">
        <f>IF($W167="","",IFERROR(IF(ISNUMBER(INDEX($G$9:$G$2008,$W167)),INDEX($G$9:$G$2008,$W167),VALUE(SUBSTITUTE(INDEX($G$9:$G$2008,$W167),",",""))),""))</f>
        <v/>
      </c>
      <c r="AF167" s="24">
        <f>IF($W167="","",IFERROR(IF(ISNUMBER(INDEX($H$9:$H$2008,$W167)),INDEX($H$9:$H$2008,$W167),VALUE(SUBSTITUTE(INDEX($H$9:$H$2008,$W167),",",""))),""))</f>
        <v/>
      </c>
      <c r="AG167" s="24">
        <f>IF($W167="","",IFERROR(IF(ISNUMBER(INDEX($I$9:$I$2008,$W167)),INDEX($I$9:$I$2008,$W167),VALUE(SUBSTITUTE(INDEX($I$9:$I$2008,$W167),",",""))),""))</f>
        <v/>
      </c>
      <c r="AH167" s="24">
        <f>IF($W167="","",IFERROR(IF(ISNUMBER(INDEX($J$9:$J$2008,$W167)),INDEX($J$9:$J$2008,$W167),VALUE(SUBSTITUTE(INDEX($J$9:$J$2008,$W167),",",""))),""))</f>
        <v/>
      </c>
      <c r="AI167" s="24">
        <f>IF($W167="","",IFERROR(IF(ISNUMBER(INDEX($K$9:$K$2008,$W167)),INDEX($K$9:$K$2008,$W167),VALUE(SUBSTITUTE(INDEX($K$9:$K$2008,$W167),",",""))),""))</f>
        <v/>
      </c>
      <c r="AJ167" s="25">
        <f>IF($W167="","",IFERROR(IF(ISNUMBER(INDEX($L$9:$L$2008,$W167)),INDEX($L$9:$L$2008,$W167),VALUE(SUBSTITUTE(INDEX($L$9:$L$2008,$W167),",",""))),""))</f>
        <v/>
      </c>
      <c r="AK167" s="25">
        <f>IF($W167="","",IFERROR(IF(ISNUMBER(INDEX($M$9:$M$2008,$W167)),INDEX($M$9:$M$2008,$W167),VALUE(SUBSTITUTE(INDEX($M$9:$M$2008,$W167),",",""))),""))</f>
        <v/>
      </c>
      <c r="AL167" s="26">
        <f>IF($W167="","",IFERROR(IF(ISNUMBER(INDEX($P$9:$P$2008,$W167)),INDEX($P$9:$P$2008,$W167),VALUE(SUBSTITUTE(INDEX($P$9:$P$2008,$W167),"%",""))/100),""))</f>
        <v/>
      </c>
    </row>
    <row r="168">
      <c r="S168">
        <f>IF(AND(ISTEXT($A168),ISNUMBER(SEARCH(" - ",$A168)),ISERROR(SEARCH("Folio",$A168)),$D168=""),TRIM($A168),$S167)</f>
        <v/>
      </c>
      <c r="T168">
        <f>IF(AND(ISNUMBER(SEARCH("Folio",$A168)),$D168&lt;&gt;""),1,"")</f>
        <v/>
      </c>
      <c r="U168">
        <f>IF($T168=1,COUNTIF($T$9:$T168,1),"")</f>
        <v/>
      </c>
      <c r="V168">
        <f>IF(AND(ISTEXT($A168),LEFT($A169,3)="Pan"),1,"")</f>
        <v/>
      </c>
      <c r="W168" s="21">
        <f>IFERROR(MATCH(160,$U$9:$U$2008,0),"")</f>
        <v/>
      </c>
      <c r="X168" s="27">
        <f>IF($W168="","",IF($R$5&lt;&gt;"",$R$5,$R$6))</f>
        <v/>
      </c>
      <c r="Y168" s="27">
        <f>IF($W168="","",INDEX($S$9:$S$2008,$W168))</f>
        <v/>
      </c>
      <c r="Z168" s="27">
        <f>IF($W168="","",IFERROR(TRIM(LEFT(SUBSTITUTE(INDEX($A$9:$A$2008,$W168),CHAR(10)," "),SEARCH("Folio",SUBSTITUTE(INDEX($A$9:$A$2008,$W168),CHAR(10)," "))-1)),TRIM(SUBSTITUTE(INDEX($A$9:$A$2008,$W168),CHAR(10)," "))))</f>
        <v/>
      </c>
      <c r="AA168" s="27">
        <f>IF($W168="","",IFERROR(TRIM(SUBSTITUTE(MID(SUBSTITUTE(INDEX($A$9:$A$2008,$W168),CHAR(10)," "),SEARCH("Folio",SUBSTITUTE(INDEX($A$9:$A$2008,$W168),CHAR(10)," "))+5,200),":","")),""))</f>
        <v/>
      </c>
      <c r="AB168" s="28">
        <f>IF($W168="","",IF(ISNUMBER(INDEX($D$9:$D$2008,$W168)),INDEX($D$9:$D$2008,$W168),IFERROR(DATE(2000+VALUE(RIGHT(INDEX($D$9:$D$2008,$W168),2)),VALUE(MID(INDEX($D$9:$D$2008,$W168),4,2)),VALUE(LEFT(INDEX($D$9:$D$2008,$W168),2))),"")))</f>
        <v/>
      </c>
      <c r="AC168" s="29">
        <f>IF($W168="","",IFERROR(IF(ISNUMBER(INDEX($E$9:$E$2008,$W168)),INDEX($E$9:$E$2008,$W168),VALUE(SUBSTITUTE(INDEX($E$9:$E$2008,$W168),",",""))),""))</f>
        <v/>
      </c>
      <c r="AD168" s="29">
        <f>IF($W168="","",IFERROR(IF(ISNUMBER(INDEX($F$9:$F$2008,$W168)),INDEX($F$9:$F$2008,$W168),VALUE(SUBSTITUTE(INDEX($F$9:$F$2008,$W168),",",""))),""))</f>
        <v/>
      </c>
      <c r="AE168" s="29">
        <f>IF($W168="","",IFERROR(IF(ISNUMBER(INDEX($G$9:$G$2008,$W168)),INDEX($G$9:$G$2008,$W168),VALUE(SUBSTITUTE(INDEX($G$9:$G$2008,$W168),",",""))),""))</f>
        <v/>
      </c>
      <c r="AF168" s="29">
        <f>IF($W168="","",IFERROR(IF(ISNUMBER(INDEX($H$9:$H$2008,$W168)),INDEX($H$9:$H$2008,$W168),VALUE(SUBSTITUTE(INDEX($H$9:$H$2008,$W168),",",""))),""))</f>
        <v/>
      </c>
      <c r="AG168" s="29">
        <f>IF($W168="","",IFERROR(IF(ISNUMBER(INDEX($I$9:$I$2008,$W168)),INDEX($I$9:$I$2008,$W168),VALUE(SUBSTITUTE(INDEX($I$9:$I$2008,$W168),",",""))),""))</f>
        <v/>
      </c>
      <c r="AH168" s="29">
        <f>IF($W168="","",IFERROR(IF(ISNUMBER(INDEX($J$9:$J$2008,$W168)),INDEX($J$9:$J$2008,$W168),VALUE(SUBSTITUTE(INDEX($J$9:$J$2008,$W168),",",""))),""))</f>
        <v/>
      </c>
      <c r="AI168" s="29">
        <f>IF($W168="","",IFERROR(IF(ISNUMBER(INDEX($K$9:$K$2008,$W168)),INDEX($K$9:$K$2008,$W168),VALUE(SUBSTITUTE(INDEX($K$9:$K$2008,$W168),",",""))),""))</f>
        <v/>
      </c>
      <c r="AJ168" s="30">
        <f>IF($W168="","",IFERROR(IF(ISNUMBER(INDEX($L$9:$L$2008,$W168)),INDEX($L$9:$L$2008,$W168),VALUE(SUBSTITUTE(INDEX($L$9:$L$2008,$W168),",",""))),""))</f>
        <v/>
      </c>
      <c r="AK168" s="30">
        <f>IF($W168="","",IFERROR(IF(ISNUMBER(INDEX($M$9:$M$2008,$W168)),INDEX($M$9:$M$2008,$W168),VALUE(SUBSTITUTE(INDEX($M$9:$M$2008,$W168),",",""))),""))</f>
        <v/>
      </c>
      <c r="AL168" s="31">
        <f>IF($W168="","",IFERROR(IF(ISNUMBER(INDEX($P$9:$P$2008,$W168)),INDEX($P$9:$P$2008,$W168),VALUE(SUBSTITUTE(INDEX($P$9:$P$2008,$W168),"%",""))/100),""))</f>
        <v/>
      </c>
    </row>
    <row r="169">
      <c r="S169">
        <f>IF(AND(ISTEXT($A169),ISNUMBER(SEARCH(" - ",$A169)),ISERROR(SEARCH("Folio",$A169)),$D169=""),TRIM($A169),$S168)</f>
        <v/>
      </c>
      <c r="T169">
        <f>IF(AND(ISNUMBER(SEARCH("Folio",$A169)),$D169&lt;&gt;""),1,"")</f>
        <v/>
      </c>
      <c r="U169">
        <f>IF($T169=1,COUNTIF($T$9:$T169,1),"")</f>
        <v/>
      </c>
      <c r="V169">
        <f>IF(AND(ISTEXT($A169),LEFT($A170,3)="Pan"),1,"")</f>
        <v/>
      </c>
      <c r="W169" s="21">
        <f>IFERROR(MATCH(161,$U$9:$U$2008,0),"")</f>
        <v/>
      </c>
      <c r="X169" s="22">
        <f>IF($W169="","",IF($R$5&lt;&gt;"",$R$5,$R$6))</f>
        <v/>
      </c>
      <c r="Y169" s="22">
        <f>IF($W169="","",INDEX($S$9:$S$2008,$W169))</f>
        <v/>
      </c>
      <c r="Z169" s="22">
        <f>IF($W169="","",IFERROR(TRIM(LEFT(SUBSTITUTE(INDEX($A$9:$A$2008,$W169),CHAR(10)," "),SEARCH("Folio",SUBSTITUTE(INDEX($A$9:$A$2008,$W169),CHAR(10)," "))-1)),TRIM(SUBSTITUTE(INDEX($A$9:$A$2008,$W169),CHAR(10)," "))))</f>
        <v/>
      </c>
      <c r="AA169" s="22">
        <f>IF($W169="","",IFERROR(TRIM(SUBSTITUTE(MID(SUBSTITUTE(INDEX($A$9:$A$2008,$W169),CHAR(10)," "),SEARCH("Folio",SUBSTITUTE(INDEX($A$9:$A$2008,$W169),CHAR(10)," "))+5,200),":","")),""))</f>
        <v/>
      </c>
      <c r="AB169" s="23">
        <f>IF($W169="","",IF(ISNUMBER(INDEX($D$9:$D$2008,$W169)),INDEX($D$9:$D$2008,$W169),IFERROR(DATE(2000+VALUE(RIGHT(INDEX($D$9:$D$2008,$W169),2)),VALUE(MID(INDEX($D$9:$D$2008,$W169),4,2)),VALUE(LEFT(INDEX($D$9:$D$2008,$W169),2))),"")))</f>
        <v/>
      </c>
      <c r="AC169" s="24">
        <f>IF($W169="","",IFERROR(IF(ISNUMBER(INDEX($E$9:$E$2008,$W169)),INDEX($E$9:$E$2008,$W169),VALUE(SUBSTITUTE(INDEX($E$9:$E$2008,$W169),",",""))),""))</f>
        <v/>
      </c>
      <c r="AD169" s="24">
        <f>IF($W169="","",IFERROR(IF(ISNUMBER(INDEX($F$9:$F$2008,$W169)),INDEX($F$9:$F$2008,$W169),VALUE(SUBSTITUTE(INDEX($F$9:$F$2008,$W169),",",""))),""))</f>
        <v/>
      </c>
      <c r="AE169" s="24">
        <f>IF($W169="","",IFERROR(IF(ISNUMBER(INDEX($G$9:$G$2008,$W169)),INDEX($G$9:$G$2008,$W169),VALUE(SUBSTITUTE(INDEX($G$9:$G$2008,$W169),",",""))),""))</f>
        <v/>
      </c>
      <c r="AF169" s="24">
        <f>IF($W169="","",IFERROR(IF(ISNUMBER(INDEX($H$9:$H$2008,$W169)),INDEX($H$9:$H$2008,$W169),VALUE(SUBSTITUTE(INDEX($H$9:$H$2008,$W169),",",""))),""))</f>
        <v/>
      </c>
      <c r="AG169" s="24">
        <f>IF($W169="","",IFERROR(IF(ISNUMBER(INDEX($I$9:$I$2008,$W169)),INDEX($I$9:$I$2008,$W169),VALUE(SUBSTITUTE(INDEX($I$9:$I$2008,$W169),",",""))),""))</f>
        <v/>
      </c>
      <c r="AH169" s="24">
        <f>IF($W169="","",IFERROR(IF(ISNUMBER(INDEX($J$9:$J$2008,$W169)),INDEX($J$9:$J$2008,$W169),VALUE(SUBSTITUTE(INDEX($J$9:$J$2008,$W169),",",""))),""))</f>
        <v/>
      </c>
      <c r="AI169" s="24">
        <f>IF($W169="","",IFERROR(IF(ISNUMBER(INDEX($K$9:$K$2008,$W169)),INDEX($K$9:$K$2008,$W169),VALUE(SUBSTITUTE(INDEX($K$9:$K$2008,$W169),",",""))),""))</f>
        <v/>
      </c>
      <c r="AJ169" s="25">
        <f>IF($W169="","",IFERROR(IF(ISNUMBER(INDEX($L$9:$L$2008,$W169)),INDEX($L$9:$L$2008,$W169),VALUE(SUBSTITUTE(INDEX($L$9:$L$2008,$W169),",",""))),""))</f>
        <v/>
      </c>
      <c r="AK169" s="25">
        <f>IF($W169="","",IFERROR(IF(ISNUMBER(INDEX($M$9:$M$2008,$W169)),INDEX($M$9:$M$2008,$W169),VALUE(SUBSTITUTE(INDEX($M$9:$M$2008,$W169),",",""))),""))</f>
        <v/>
      </c>
      <c r="AL169" s="26">
        <f>IF($W169="","",IFERROR(IF(ISNUMBER(INDEX($P$9:$P$2008,$W169)),INDEX($P$9:$P$2008,$W169),VALUE(SUBSTITUTE(INDEX($P$9:$P$2008,$W169),"%",""))/100),""))</f>
        <v/>
      </c>
    </row>
    <row r="170">
      <c r="S170">
        <f>IF(AND(ISTEXT($A170),ISNUMBER(SEARCH(" - ",$A170)),ISERROR(SEARCH("Folio",$A170)),$D170=""),TRIM($A170),$S169)</f>
        <v/>
      </c>
      <c r="T170">
        <f>IF(AND(ISNUMBER(SEARCH("Folio",$A170)),$D170&lt;&gt;""),1,"")</f>
        <v/>
      </c>
      <c r="U170">
        <f>IF($T170=1,COUNTIF($T$9:$T170,1),"")</f>
        <v/>
      </c>
      <c r="V170">
        <f>IF(AND(ISTEXT($A170),LEFT($A171,3)="Pan"),1,"")</f>
        <v/>
      </c>
      <c r="W170" s="21">
        <f>IFERROR(MATCH(162,$U$9:$U$2008,0),"")</f>
        <v/>
      </c>
      <c r="X170" s="27">
        <f>IF($W170="","",IF($R$5&lt;&gt;"",$R$5,$R$6))</f>
        <v/>
      </c>
      <c r="Y170" s="27">
        <f>IF($W170="","",INDEX($S$9:$S$2008,$W170))</f>
        <v/>
      </c>
      <c r="Z170" s="27">
        <f>IF($W170="","",IFERROR(TRIM(LEFT(SUBSTITUTE(INDEX($A$9:$A$2008,$W170),CHAR(10)," "),SEARCH("Folio",SUBSTITUTE(INDEX($A$9:$A$2008,$W170),CHAR(10)," "))-1)),TRIM(SUBSTITUTE(INDEX($A$9:$A$2008,$W170),CHAR(10)," "))))</f>
        <v/>
      </c>
      <c r="AA170" s="27">
        <f>IF($W170="","",IFERROR(TRIM(SUBSTITUTE(MID(SUBSTITUTE(INDEX($A$9:$A$2008,$W170),CHAR(10)," "),SEARCH("Folio",SUBSTITUTE(INDEX($A$9:$A$2008,$W170),CHAR(10)," "))+5,200),":","")),""))</f>
        <v/>
      </c>
      <c r="AB170" s="28">
        <f>IF($W170="","",IF(ISNUMBER(INDEX($D$9:$D$2008,$W170)),INDEX($D$9:$D$2008,$W170),IFERROR(DATE(2000+VALUE(RIGHT(INDEX($D$9:$D$2008,$W170),2)),VALUE(MID(INDEX($D$9:$D$2008,$W170),4,2)),VALUE(LEFT(INDEX($D$9:$D$2008,$W170),2))),"")))</f>
        <v/>
      </c>
      <c r="AC170" s="29">
        <f>IF($W170="","",IFERROR(IF(ISNUMBER(INDEX($E$9:$E$2008,$W170)),INDEX($E$9:$E$2008,$W170),VALUE(SUBSTITUTE(INDEX($E$9:$E$2008,$W170),",",""))),""))</f>
        <v/>
      </c>
      <c r="AD170" s="29">
        <f>IF($W170="","",IFERROR(IF(ISNUMBER(INDEX($F$9:$F$2008,$W170)),INDEX($F$9:$F$2008,$W170),VALUE(SUBSTITUTE(INDEX($F$9:$F$2008,$W170),",",""))),""))</f>
        <v/>
      </c>
      <c r="AE170" s="29">
        <f>IF($W170="","",IFERROR(IF(ISNUMBER(INDEX($G$9:$G$2008,$W170)),INDEX($G$9:$G$2008,$W170),VALUE(SUBSTITUTE(INDEX($G$9:$G$2008,$W170),",",""))),""))</f>
        <v/>
      </c>
      <c r="AF170" s="29">
        <f>IF($W170="","",IFERROR(IF(ISNUMBER(INDEX($H$9:$H$2008,$W170)),INDEX($H$9:$H$2008,$W170),VALUE(SUBSTITUTE(INDEX($H$9:$H$2008,$W170),",",""))),""))</f>
        <v/>
      </c>
      <c r="AG170" s="29">
        <f>IF($W170="","",IFERROR(IF(ISNUMBER(INDEX($I$9:$I$2008,$W170)),INDEX($I$9:$I$2008,$W170),VALUE(SUBSTITUTE(INDEX($I$9:$I$2008,$W170),",",""))),""))</f>
        <v/>
      </c>
      <c r="AH170" s="29">
        <f>IF($W170="","",IFERROR(IF(ISNUMBER(INDEX($J$9:$J$2008,$W170)),INDEX($J$9:$J$2008,$W170),VALUE(SUBSTITUTE(INDEX($J$9:$J$2008,$W170),",",""))),""))</f>
        <v/>
      </c>
      <c r="AI170" s="29">
        <f>IF($W170="","",IFERROR(IF(ISNUMBER(INDEX($K$9:$K$2008,$W170)),INDEX($K$9:$K$2008,$W170),VALUE(SUBSTITUTE(INDEX($K$9:$K$2008,$W170),",",""))),""))</f>
        <v/>
      </c>
      <c r="AJ170" s="30">
        <f>IF($W170="","",IFERROR(IF(ISNUMBER(INDEX($L$9:$L$2008,$W170)),INDEX($L$9:$L$2008,$W170),VALUE(SUBSTITUTE(INDEX($L$9:$L$2008,$W170),",",""))),""))</f>
        <v/>
      </c>
      <c r="AK170" s="30">
        <f>IF($W170="","",IFERROR(IF(ISNUMBER(INDEX($M$9:$M$2008,$W170)),INDEX($M$9:$M$2008,$W170),VALUE(SUBSTITUTE(INDEX($M$9:$M$2008,$W170),",",""))),""))</f>
        <v/>
      </c>
      <c r="AL170" s="31">
        <f>IF($W170="","",IFERROR(IF(ISNUMBER(INDEX($P$9:$P$2008,$W170)),INDEX($P$9:$P$2008,$W170),VALUE(SUBSTITUTE(INDEX($P$9:$P$2008,$W170),"%",""))/100),""))</f>
        <v/>
      </c>
    </row>
    <row r="171">
      <c r="S171">
        <f>IF(AND(ISTEXT($A171),ISNUMBER(SEARCH(" - ",$A171)),ISERROR(SEARCH("Folio",$A171)),$D171=""),TRIM($A171),$S170)</f>
        <v/>
      </c>
      <c r="T171">
        <f>IF(AND(ISNUMBER(SEARCH("Folio",$A171)),$D171&lt;&gt;""),1,"")</f>
        <v/>
      </c>
      <c r="U171">
        <f>IF($T171=1,COUNTIF($T$9:$T171,1),"")</f>
        <v/>
      </c>
      <c r="V171">
        <f>IF(AND(ISTEXT($A171),LEFT($A172,3)="Pan"),1,"")</f>
        <v/>
      </c>
      <c r="W171" s="21">
        <f>IFERROR(MATCH(163,$U$9:$U$2008,0),"")</f>
        <v/>
      </c>
      <c r="X171" s="22">
        <f>IF($W171="","",IF($R$5&lt;&gt;"",$R$5,$R$6))</f>
        <v/>
      </c>
      <c r="Y171" s="22">
        <f>IF($W171="","",INDEX($S$9:$S$2008,$W171))</f>
        <v/>
      </c>
      <c r="Z171" s="22">
        <f>IF($W171="","",IFERROR(TRIM(LEFT(SUBSTITUTE(INDEX($A$9:$A$2008,$W171),CHAR(10)," "),SEARCH("Folio",SUBSTITUTE(INDEX($A$9:$A$2008,$W171),CHAR(10)," "))-1)),TRIM(SUBSTITUTE(INDEX($A$9:$A$2008,$W171),CHAR(10)," "))))</f>
        <v/>
      </c>
      <c r="AA171" s="22">
        <f>IF($W171="","",IFERROR(TRIM(SUBSTITUTE(MID(SUBSTITUTE(INDEX($A$9:$A$2008,$W171),CHAR(10)," "),SEARCH("Folio",SUBSTITUTE(INDEX($A$9:$A$2008,$W171),CHAR(10)," "))+5,200),":","")),""))</f>
        <v/>
      </c>
      <c r="AB171" s="23">
        <f>IF($W171="","",IF(ISNUMBER(INDEX($D$9:$D$2008,$W171)),INDEX($D$9:$D$2008,$W171),IFERROR(DATE(2000+VALUE(RIGHT(INDEX($D$9:$D$2008,$W171),2)),VALUE(MID(INDEX($D$9:$D$2008,$W171),4,2)),VALUE(LEFT(INDEX($D$9:$D$2008,$W171),2))),"")))</f>
        <v/>
      </c>
      <c r="AC171" s="24">
        <f>IF($W171="","",IFERROR(IF(ISNUMBER(INDEX($E$9:$E$2008,$W171)),INDEX($E$9:$E$2008,$W171),VALUE(SUBSTITUTE(INDEX($E$9:$E$2008,$W171),",",""))),""))</f>
        <v/>
      </c>
      <c r="AD171" s="24">
        <f>IF($W171="","",IFERROR(IF(ISNUMBER(INDEX($F$9:$F$2008,$W171)),INDEX($F$9:$F$2008,$W171),VALUE(SUBSTITUTE(INDEX($F$9:$F$2008,$W171),",",""))),""))</f>
        <v/>
      </c>
      <c r="AE171" s="24">
        <f>IF($W171="","",IFERROR(IF(ISNUMBER(INDEX($G$9:$G$2008,$W171)),INDEX($G$9:$G$2008,$W171),VALUE(SUBSTITUTE(INDEX($G$9:$G$2008,$W171),",",""))),""))</f>
        <v/>
      </c>
      <c r="AF171" s="24">
        <f>IF($W171="","",IFERROR(IF(ISNUMBER(INDEX($H$9:$H$2008,$W171)),INDEX($H$9:$H$2008,$W171),VALUE(SUBSTITUTE(INDEX($H$9:$H$2008,$W171),",",""))),""))</f>
        <v/>
      </c>
      <c r="AG171" s="24">
        <f>IF($W171="","",IFERROR(IF(ISNUMBER(INDEX($I$9:$I$2008,$W171)),INDEX($I$9:$I$2008,$W171),VALUE(SUBSTITUTE(INDEX($I$9:$I$2008,$W171),",",""))),""))</f>
        <v/>
      </c>
      <c r="AH171" s="24">
        <f>IF($W171="","",IFERROR(IF(ISNUMBER(INDEX($J$9:$J$2008,$W171)),INDEX($J$9:$J$2008,$W171),VALUE(SUBSTITUTE(INDEX($J$9:$J$2008,$W171),",",""))),""))</f>
        <v/>
      </c>
      <c r="AI171" s="24">
        <f>IF($W171="","",IFERROR(IF(ISNUMBER(INDEX($K$9:$K$2008,$W171)),INDEX($K$9:$K$2008,$W171),VALUE(SUBSTITUTE(INDEX($K$9:$K$2008,$W171),",",""))),""))</f>
        <v/>
      </c>
      <c r="AJ171" s="25">
        <f>IF($W171="","",IFERROR(IF(ISNUMBER(INDEX($L$9:$L$2008,$W171)),INDEX($L$9:$L$2008,$W171),VALUE(SUBSTITUTE(INDEX($L$9:$L$2008,$W171),",",""))),""))</f>
        <v/>
      </c>
      <c r="AK171" s="25">
        <f>IF($W171="","",IFERROR(IF(ISNUMBER(INDEX($M$9:$M$2008,$W171)),INDEX($M$9:$M$2008,$W171),VALUE(SUBSTITUTE(INDEX($M$9:$M$2008,$W171),",",""))),""))</f>
        <v/>
      </c>
      <c r="AL171" s="26">
        <f>IF($W171="","",IFERROR(IF(ISNUMBER(INDEX($P$9:$P$2008,$W171)),INDEX($P$9:$P$2008,$W171),VALUE(SUBSTITUTE(INDEX($P$9:$P$2008,$W171),"%",""))/100),""))</f>
        <v/>
      </c>
    </row>
    <row r="172">
      <c r="S172">
        <f>IF(AND(ISTEXT($A172),ISNUMBER(SEARCH(" - ",$A172)),ISERROR(SEARCH("Folio",$A172)),$D172=""),TRIM($A172),$S171)</f>
        <v/>
      </c>
      <c r="T172">
        <f>IF(AND(ISNUMBER(SEARCH("Folio",$A172)),$D172&lt;&gt;""),1,"")</f>
        <v/>
      </c>
      <c r="U172">
        <f>IF($T172=1,COUNTIF($T$9:$T172,1),"")</f>
        <v/>
      </c>
      <c r="V172">
        <f>IF(AND(ISTEXT($A172),LEFT($A173,3)="Pan"),1,"")</f>
        <v/>
      </c>
      <c r="W172" s="21">
        <f>IFERROR(MATCH(164,$U$9:$U$2008,0),"")</f>
        <v/>
      </c>
      <c r="X172" s="27">
        <f>IF($W172="","",IF($R$5&lt;&gt;"",$R$5,$R$6))</f>
        <v/>
      </c>
      <c r="Y172" s="27">
        <f>IF($W172="","",INDEX($S$9:$S$2008,$W172))</f>
        <v/>
      </c>
      <c r="Z172" s="27">
        <f>IF($W172="","",IFERROR(TRIM(LEFT(SUBSTITUTE(INDEX($A$9:$A$2008,$W172),CHAR(10)," "),SEARCH("Folio",SUBSTITUTE(INDEX($A$9:$A$2008,$W172),CHAR(10)," "))-1)),TRIM(SUBSTITUTE(INDEX($A$9:$A$2008,$W172),CHAR(10)," "))))</f>
        <v/>
      </c>
      <c r="AA172" s="27">
        <f>IF($W172="","",IFERROR(TRIM(SUBSTITUTE(MID(SUBSTITUTE(INDEX($A$9:$A$2008,$W172),CHAR(10)," "),SEARCH("Folio",SUBSTITUTE(INDEX($A$9:$A$2008,$W172),CHAR(10)," "))+5,200),":","")),""))</f>
        <v/>
      </c>
      <c r="AB172" s="28">
        <f>IF($W172="","",IF(ISNUMBER(INDEX($D$9:$D$2008,$W172)),INDEX($D$9:$D$2008,$W172),IFERROR(DATE(2000+VALUE(RIGHT(INDEX($D$9:$D$2008,$W172),2)),VALUE(MID(INDEX($D$9:$D$2008,$W172),4,2)),VALUE(LEFT(INDEX($D$9:$D$2008,$W172),2))),"")))</f>
        <v/>
      </c>
      <c r="AC172" s="29">
        <f>IF($W172="","",IFERROR(IF(ISNUMBER(INDEX($E$9:$E$2008,$W172)),INDEX($E$9:$E$2008,$W172),VALUE(SUBSTITUTE(INDEX($E$9:$E$2008,$W172),",",""))),""))</f>
        <v/>
      </c>
      <c r="AD172" s="29">
        <f>IF($W172="","",IFERROR(IF(ISNUMBER(INDEX($F$9:$F$2008,$W172)),INDEX($F$9:$F$2008,$W172),VALUE(SUBSTITUTE(INDEX($F$9:$F$2008,$W172),",",""))),""))</f>
        <v/>
      </c>
      <c r="AE172" s="29">
        <f>IF($W172="","",IFERROR(IF(ISNUMBER(INDEX($G$9:$G$2008,$W172)),INDEX($G$9:$G$2008,$W172),VALUE(SUBSTITUTE(INDEX($G$9:$G$2008,$W172),",",""))),""))</f>
        <v/>
      </c>
      <c r="AF172" s="29">
        <f>IF($W172="","",IFERROR(IF(ISNUMBER(INDEX($H$9:$H$2008,$W172)),INDEX($H$9:$H$2008,$W172),VALUE(SUBSTITUTE(INDEX($H$9:$H$2008,$W172),",",""))),""))</f>
        <v/>
      </c>
      <c r="AG172" s="29">
        <f>IF($W172="","",IFERROR(IF(ISNUMBER(INDEX($I$9:$I$2008,$W172)),INDEX($I$9:$I$2008,$W172),VALUE(SUBSTITUTE(INDEX($I$9:$I$2008,$W172),",",""))),""))</f>
        <v/>
      </c>
      <c r="AH172" s="29">
        <f>IF($W172="","",IFERROR(IF(ISNUMBER(INDEX($J$9:$J$2008,$W172)),INDEX($J$9:$J$2008,$W172),VALUE(SUBSTITUTE(INDEX($J$9:$J$2008,$W172),",",""))),""))</f>
        <v/>
      </c>
      <c r="AI172" s="29">
        <f>IF($W172="","",IFERROR(IF(ISNUMBER(INDEX($K$9:$K$2008,$W172)),INDEX($K$9:$K$2008,$W172),VALUE(SUBSTITUTE(INDEX($K$9:$K$2008,$W172),",",""))),""))</f>
        <v/>
      </c>
      <c r="AJ172" s="30">
        <f>IF($W172="","",IFERROR(IF(ISNUMBER(INDEX($L$9:$L$2008,$W172)),INDEX($L$9:$L$2008,$W172),VALUE(SUBSTITUTE(INDEX($L$9:$L$2008,$W172),",",""))),""))</f>
        <v/>
      </c>
      <c r="AK172" s="30">
        <f>IF($W172="","",IFERROR(IF(ISNUMBER(INDEX($M$9:$M$2008,$W172)),INDEX($M$9:$M$2008,$W172),VALUE(SUBSTITUTE(INDEX($M$9:$M$2008,$W172),",",""))),""))</f>
        <v/>
      </c>
      <c r="AL172" s="31">
        <f>IF($W172="","",IFERROR(IF(ISNUMBER(INDEX($P$9:$P$2008,$W172)),INDEX($P$9:$P$2008,$W172),VALUE(SUBSTITUTE(INDEX($P$9:$P$2008,$W172),"%",""))/100),""))</f>
        <v/>
      </c>
    </row>
    <row r="173">
      <c r="S173">
        <f>IF(AND(ISTEXT($A173),ISNUMBER(SEARCH(" - ",$A173)),ISERROR(SEARCH("Folio",$A173)),$D173=""),TRIM($A173),$S172)</f>
        <v/>
      </c>
      <c r="T173">
        <f>IF(AND(ISNUMBER(SEARCH("Folio",$A173)),$D173&lt;&gt;""),1,"")</f>
        <v/>
      </c>
      <c r="U173">
        <f>IF($T173=1,COUNTIF($T$9:$T173,1),"")</f>
        <v/>
      </c>
      <c r="V173">
        <f>IF(AND(ISTEXT($A173),LEFT($A174,3)="Pan"),1,"")</f>
        <v/>
      </c>
      <c r="W173" s="21">
        <f>IFERROR(MATCH(165,$U$9:$U$2008,0),"")</f>
        <v/>
      </c>
      <c r="X173" s="22">
        <f>IF($W173="","",IF($R$5&lt;&gt;"",$R$5,$R$6))</f>
        <v/>
      </c>
      <c r="Y173" s="22">
        <f>IF($W173="","",INDEX($S$9:$S$2008,$W173))</f>
        <v/>
      </c>
      <c r="Z173" s="22">
        <f>IF($W173="","",IFERROR(TRIM(LEFT(SUBSTITUTE(INDEX($A$9:$A$2008,$W173),CHAR(10)," "),SEARCH("Folio",SUBSTITUTE(INDEX($A$9:$A$2008,$W173),CHAR(10)," "))-1)),TRIM(SUBSTITUTE(INDEX($A$9:$A$2008,$W173),CHAR(10)," "))))</f>
        <v/>
      </c>
      <c r="AA173" s="22">
        <f>IF($W173="","",IFERROR(TRIM(SUBSTITUTE(MID(SUBSTITUTE(INDEX($A$9:$A$2008,$W173),CHAR(10)," "),SEARCH("Folio",SUBSTITUTE(INDEX($A$9:$A$2008,$W173),CHAR(10)," "))+5,200),":","")),""))</f>
        <v/>
      </c>
      <c r="AB173" s="23">
        <f>IF($W173="","",IF(ISNUMBER(INDEX($D$9:$D$2008,$W173)),INDEX($D$9:$D$2008,$W173),IFERROR(DATE(2000+VALUE(RIGHT(INDEX($D$9:$D$2008,$W173),2)),VALUE(MID(INDEX($D$9:$D$2008,$W173),4,2)),VALUE(LEFT(INDEX($D$9:$D$2008,$W173),2))),"")))</f>
        <v/>
      </c>
      <c r="AC173" s="24">
        <f>IF($W173="","",IFERROR(IF(ISNUMBER(INDEX($E$9:$E$2008,$W173)),INDEX($E$9:$E$2008,$W173),VALUE(SUBSTITUTE(INDEX($E$9:$E$2008,$W173),",",""))),""))</f>
        <v/>
      </c>
      <c r="AD173" s="24">
        <f>IF($W173="","",IFERROR(IF(ISNUMBER(INDEX($F$9:$F$2008,$W173)),INDEX($F$9:$F$2008,$W173),VALUE(SUBSTITUTE(INDEX($F$9:$F$2008,$W173),",",""))),""))</f>
        <v/>
      </c>
      <c r="AE173" s="24">
        <f>IF($W173="","",IFERROR(IF(ISNUMBER(INDEX($G$9:$G$2008,$W173)),INDEX($G$9:$G$2008,$W173),VALUE(SUBSTITUTE(INDEX($G$9:$G$2008,$W173),",",""))),""))</f>
        <v/>
      </c>
      <c r="AF173" s="24">
        <f>IF($W173="","",IFERROR(IF(ISNUMBER(INDEX($H$9:$H$2008,$W173)),INDEX($H$9:$H$2008,$W173),VALUE(SUBSTITUTE(INDEX($H$9:$H$2008,$W173),",",""))),""))</f>
        <v/>
      </c>
      <c r="AG173" s="24">
        <f>IF($W173="","",IFERROR(IF(ISNUMBER(INDEX($I$9:$I$2008,$W173)),INDEX($I$9:$I$2008,$W173),VALUE(SUBSTITUTE(INDEX($I$9:$I$2008,$W173),",",""))),""))</f>
        <v/>
      </c>
      <c r="AH173" s="24">
        <f>IF($W173="","",IFERROR(IF(ISNUMBER(INDEX($J$9:$J$2008,$W173)),INDEX($J$9:$J$2008,$W173),VALUE(SUBSTITUTE(INDEX($J$9:$J$2008,$W173),",",""))),""))</f>
        <v/>
      </c>
      <c r="AI173" s="24">
        <f>IF($W173="","",IFERROR(IF(ISNUMBER(INDEX($K$9:$K$2008,$W173)),INDEX($K$9:$K$2008,$W173),VALUE(SUBSTITUTE(INDEX($K$9:$K$2008,$W173),",",""))),""))</f>
        <v/>
      </c>
      <c r="AJ173" s="25">
        <f>IF($W173="","",IFERROR(IF(ISNUMBER(INDEX($L$9:$L$2008,$W173)),INDEX($L$9:$L$2008,$W173),VALUE(SUBSTITUTE(INDEX($L$9:$L$2008,$W173),",",""))),""))</f>
        <v/>
      </c>
      <c r="AK173" s="25">
        <f>IF($W173="","",IFERROR(IF(ISNUMBER(INDEX($M$9:$M$2008,$W173)),INDEX($M$9:$M$2008,$W173),VALUE(SUBSTITUTE(INDEX($M$9:$M$2008,$W173),",",""))),""))</f>
        <v/>
      </c>
      <c r="AL173" s="26">
        <f>IF($W173="","",IFERROR(IF(ISNUMBER(INDEX($P$9:$P$2008,$W173)),INDEX($P$9:$P$2008,$W173),VALUE(SUBSTITUTE(INDEX($P$9:$P$2008,$W173),"%",""))/100),""))</f>
        <v/>
      </c>
    </row>
    <row r="174">
      <c r="S174">
        <f>IF(AND(ISTEXT($A174),ISNUMBER(SEARCH(" - ",$A174)),ISERROR(SEARCH("Folio",$A174)),$D174=""),TRIM($A174),$S173)</f>
        <v/>
      </c>
      <c r="T174">
        <f>IF(AND(ISNUMBER(SEARCH("Folio",$A174)),$D174&lt;&gt;""),1,"")</f>
        <v/>
      </c>
      <c r="U174">
        <f>IF($T174=1,COUNTIF($T$9:$T174,1),"")</f>
        <v/>
      </c>
      <c r="V174">
        <f>IF(AND(ISTEXT($A174),LEFT($A175,3)="Pan"),1,"")</f>
        <v/>
      </c>
      <c r="W174" s="21">
        <f>IFERROR(MATCH(166,$U$9:$U$2008,0),"")</f>
        <v/>
      </c>
      <c r="X174" s="27">
        <f>IF($W174="","",IF($R$5&lt;&gt;"",$R$5,$R$6))</f>
        <v/>
      </c>
      <c r="Y174" s="27">
        <f>IF($W174="","",INDEX($S$9:$S$2008,$W174))</f>
        <v/>
      </c>
      <c r="Z174" s="27">
        <f>IF($W174="","",IFERROR(TRIM(LEFT(SUBSTITUTE(INDEX($A$9:$A$2008,$W174),CHAR(10)," "),SEARCH("Folio",SUBSTITUTE(INDEX($A$9:$A$2008,$W174),CHAR(10)," "))-1)),TRIM(SUBSTITUTE(INDEX($A$9:$A$2008,$W174),CHAR(10)," "))))</f>
        <v/>
      </c>
      <c r="AA174" s="27">
        <f>IF($W174="","",IFERROR(TRIM(SUBSTITUTE(MID(SUBSTITUTE(INDEX($A$9:$A$2008,$W174),CHAR(10)," "),SEARCH("Folio",SUBSTITUTE(INDEX($A$9:$A$2008,$W174),CHAR(10)," "))+5,200),":","")),""))</f>
        <v/>
      </c>
      <c r="AB174" s="28">
        <f>IF($W174="","",IF(ISNUMBER(INDEX($D$9:$D$2008,$W174)),INDEX($D$9:$D$2008,$W174),IFERROR(DATE(2000+VALUE(RIGHT(INDEX($D$9:$D$2008,$W174),2)),VALUE(MID(INDEX($D$9:$D$2008,$W174),4,2)),VALUE(LEFT(INDEX($D$9:$D$2008,$W174),2))),"")))</f>
        <v/>
      </c>
      <c r="AC174" s="29">
        <f>IF($W174="","",IFERROR(IF(ISNUMBER(INDEX($E$9:$E$2008,$W174)),INDEX($E$9:$E$2008,$W174),VALUE(SUBSTITUTE(INDEX($E$9:$E$2008,$W174),",",""))),""))</f>
        <v/>
      </c>
      <c r="AD174" s="29">
        <f>IF($W174="","",IFERROR(IF(ISNUMBER(INDEX($F$9:$F$2008,$W174)),INDEX($F$9:$F$2008,$W174),VALUE(SUBSTITUTE(INDEX($F$9:$F$2008,$W174),",",""))),""))</f>
        <v/>
      </c>
      <c r="AE174" s="29">
        <f>IF($W174="","",IFERROR(IF(ISNUMBER(INDEX($G$9:$G$2008,$W174)),INDEX($G$9:$G$2008,$W174),VALUE(SUBSTITUTE(INDEX($G$9:$G$2008,$W174),",",""))),""))</f>
        <v/>
      </c>
      <c r="AF174" s="29">
        <f>IF($W174="","",IFERROR(IF(ISNUMBER(INDEX($H$9:$H$2008,$W174)),INDEX($H$9:$H$2008,$W174),VALUE(SUBSTITUTE(INDEX($H$9:$H$2008,$W174),",",""))),""))</f>
        <v/>
      </c>
      <c r="AG174" s="29">
        <f>IF($W174="","",IFERROR(IF(ISNUMBER(INDEX($I$9:$I$2008,$W174)),INDEX($I$9:$I$2008,$W174),VALUE(SUBSTITUTE(INDEX($I$9:$I$2008,$W174),",",""))),""))</f>
        <v/>
      </c>
      <c r="AH174" s="29">
        <f>IF($W174="","",IFERROR(IF(ISNUMBER(INDEX($J$9:$J$2008,$W174)),INDEX($J$9:$J$2008,$W174),VALUE(SUBSTITUTE(INDEX($J$9:$J$2008,$W174),",",""))),""))</f>
        <v/>
      </c>
      <c r="AI174" s="29">
        <f>IF($W174="","",IFERROR(IF(ISNUMBER(INDEX($K$9:$K$2008,$W174)),INDEX($K$9:$K$2008,$W174),VALUE(SUBSTITUTE(INDEX($K$9:$K$2008,$W174),",",""))),""))</f>
        <v/>
      </c>
      <c r="AJ174" s="30">
        <f>IF($W174="","",IFERROR(IF(ISNUMBER(INDEX($L$9:$L$2008,$W174)),INDEX($L$9:$L$2008,$W174),VALUE(SUBSTITUTE(INDEX($L$9:$L$2008,$W174),",",""))),""))</f>
        <v/>
      </c>
      <c r="AK174" s="30">
        <f>IF($W174="","",IFERROR(IF(ISNUMBER(INDEX($M$9:$M$2008,$W174)),INDEX($M$9:$M$2008,$W174),VALUE(SUBSTITUTE(INDEX($M$9:$M$2008,$W174),",",""))),""))</f>
        <v/>
      </c>
      <c r="AL174" s="31">
        <f>IF($W174="","",IFERROR(IF(ISNUMBER(INDEX($P$9:$P$2008,$W174)),INDEX($P$9:$P$2008,$W174),VALUE(SUBSTITUTE(INDEX($P$9:$P$2008,$W174),"%",""))/100),""))</f>
        <v/>
      </c>
    </row>
    <row r="175">
      <c r="S175">
        <f>IF(AND(ISTEXT($A175),ISNUMBER(SEARCH(" - ",$A175)),ISERROR(SEARCH("Folio",$A175)),$D175=""),TRIM($A175),$S174)</f>
        <v/>
      </c>
      <c r="T175">
        <f>IF(AND(ISNUMBER(SEARCH("Folio",$A175)),$D175&lt;&gt;""),1,"")</f>
        <v/>
      </c>
      <c r="U175">
        <f>IF($T175=1,COUNTIF($T$9:$T175,1),"")</f>
        <v/>
      </c>
      <c r="V175">
        <f>IF(AND(ISTEXT($A175),LEFT($A176,3)="Pan"),1,"")</f>
        <v/>
      </c>
      <c r="W175" s="21">
        <f>IFERROR(MATCH(167,$U$9:$U$2008,0),"")</f>
        <v/>
      </c>
      <c r="X175" s="22">
        <f>IF($W175="","",IF($R$5&lt;&gt;"",$R$5,$R$6))</f>
        <v/>
      </c>
      <c r="Y175" s="22">
        <f>IF($W175="","",INDEX($S$9:$S$2008,$W175))</f>
        <v/>
      </c>
      <c r="Z175" s="22">
        <f>IF($W175="","",IFERROR(TRIM(LEFT(SUBSTITUTE(INDEX($A$9:$A$2008,$W175),CHAR(10)," "),SEARCH("Folio",SUBSTITUTE(INDEX($A$9:$A$2008,$W175),CHAR(10)," "))-1)),TRIM(SUBSTITUTE(INDEX($A$9:$A$2008,$W175),CHAR(10)," "))))</f>
        <v/>
      </c>
      <c r="AA175" s="22">
        <f>IF($W175="","",IFERROR(TRIM(SUBSTITUTE(MID(SUBSTITUTE(INDEX($A$9:$A$2008,$W175),CHAR(10)," "),SEARCH("Folio",SUBSTITUTE(INDEX($A$9:$A$2008,$W175),CHAR(10)," "))+5,200),":","")),""))</f>
        <v/>
      </c>
      <c r="AB175" s="23">
        <f>IF($W175="","",IF(ISNUMBER(INDEX($D$9:$D$2008,$W175)),INDEX($D$9:$D$2008,$W175),IFERROR(DATE(2000+VALUE(RIGHT(INDEX($D$9:$D$2008,$W175),2)),VALUE(MID(INDEX($D$9:$D$2008,$W175),4,2)),VALUE(LEFT(INDEX($D$9:$D$2008,$W175),2))),"")))</f>
        <v/>
      </c>
      <c r="AC175" s="24">
        <f>IF($W175="","",IFERROR(IF(ISNUMBER(INDEX($E$9:$E$2008,$W175)),INDEX($E$9:$E$2008,$W175),VALUE(SUBSTITUTE(INDEX($E$9:$E$2008,$W175),",",""))),""))</f>
        <v/>
      </c>
      <c r="AD175" s="24">
        <f>IF($W175="","",IFERROR(IF(ISNUMBER(INDEX($F$9:$F$2008,$W175)),INDEX($F$9:$F$2008,$W175),VALUE(SUBSTITUTE(INDEX($F$9:$F$2008,$W175),",",""))),""))</f>
        <v/>
      </c>
      <c r="AE175" s="24">
        <f>IF($W175="","",IFERROR(IF(ISNUMBER(INDEX($G$9:$G$2008,$W175)),INDEX($G$9:$G$2008,$W175),VALUE(SUBSTITUTE(INDEX($G$9:$G$2008,$W175),",",""))),""))</f>
        <v/>
      </c>
      <c r="AF175" s="24">
        <f>IF($W175="","",IFERROR(IF(ISNUMBER(INDEX($H$9:$H$2008,$W175)),INDEX($H$9:$H$2008,$W175),VALUE(SUBSTITUTE(INDEX($H$9:$H$2008,$W175),",",""))),""))</f>
        <v/>
      </c>
      <c r="AG175" s="24">
        <f>IF($W175="","",IFERROR(IF(ISNUMBER(INDEX($I$9:$I$2008,$W175)),INDEX($I$9:$I$2008,$W175),VALUE(SUBSTITUTE(INDEX($I$9:$I$2008,$W175),",",""))),""))</f>
        <v/>
      </c>
      <c r="AH175" s="24">
        <f>IF($W175="","",IFERROR(IF(ISNUMBER(INDEX($J$9:$J$2008,$W175)),INDEX($J$9:$J$2008,$W175),VALUE(SUBSTITUTE(INDEX($J$9:$J$2008,$W175),",",""))),""))</f>
        <v/>
      </c>
      <c r="AI175" s="24">
        <f>IF($W175="","",IFERROR(IF(ISNUMBER(INDEX($K$9:$K$2008,$W175)),INDEX($K$9:$K$2008,$W175),VALUE(SUBSTITUTE(INDEX($K$9:$K$2008,$W175),",",""))),""))</f>
        <v/>
      </c>
      <c r="AJ175" s="25">
        <f>IF($W175="","",IFERROR(IF(ISNUMBER(INDEX($L$9:$L$2008,$W175)),INDEX($L$9:$L$2008,$W175),VALUE(SUBSTITUTE(INDEX($L$9:$L$2008,$W175),",",""))),""))</f>
        <v/>
      </c>
      <c r="AK175" s="25">
        <f>IF($W175="","",IFERROR(IF(ISNUMBER(INDEX($M$9:$M$2008,$W175)),INDEX($M$9:$M$2008,$W175),VALUE(SUBSTITUTE(INDEX($M$9:$M$2008,$W175),",",""))),""))</f>
        <v/>
      </c>
      <c r="AL175" s="26">
        <f>IF($W175="","",IFERROR(IF(ISNUMBER(INDEX($P$9:$P$2008,$W175)),INDEX($P$9:$P$2008,$W175),VALUE(SUBSTITUTE(INDEX($P$9:$P$2008,$W175),"%",""))/100),""))</f>
        <v/>
      </c>
    </row>
    <row r="176">
      <c r="S176">
        <f>IF(AND(ISTEXT($A176),ISNUMBER(SEARCH(" - ",$A176)),ISERROR(SEARCH("Folio",$A176)),$D176=""),TRIM($A176),$S175)</f>
        <v/>
      </c>
      <c r="T176">
        <f>IF(AND(ISNUMBER(SEARCH("Folio",$A176)),$D176&lt;&gt;""),1,"")</f>
        <v/>
      </c>
      <c r="U176">
        <f>IF($T176=1,COUNTIF($T$9:$T176,1),"")</f>
        <v/>
      </c>
      <c r="V176">
        <f>IF(AND(ISTEXT($A176),LEFT($A177,3)="Pan"),1,"")</f>
        <v/>
      </c>
      <c r="W176" s="21">
        <f>IFERROR(MATCH(168,$U$9:$U$2008,0),"")</f>
        <v/>
      </c>
      <c r="X176" s="27">
        <f>IF($W176="","",IF($R$5&lt;&gt;"",$R$5,$R$6))</f>
        <v/>
      </c>
      <c r="Y176" s="27">
        <f>IF($W176="","",INDEX($S$9:$S$2008,$W176))</f>
        <v/>
      </c>
      <c r="Z176" s="27">
        <f>IF($W176="","",IFERROR(TRIM(LEFT(SUBSTITUTE(INDEX($A$9:$A$2008,$W176),CHAR(10)," "),SEARCH("Folio",SUBSTITUTE(INDEX($A$9:$A$2008,$W176),CHAR(10)," "))-1)),TRIM(SUBSTITUTE(INDEX($A$9:$A$2008,$W176),CHAR(10)," "))))</f>
        <v/>
      </c>
      <c r="AA176" s="27">
        <f>IF($W176="","",IFERROR(TRIM(SUBSTITUTE(MID(SUBSTITUTE(INDEX($A$9:$A$2008,$W176),CHAR(10)," "),SEARCH("Folio",SUBSTITUTE(INDEX($A$9:$A$2008,$W176),CHAR(10)," "))+5,200),":","")),""))</f>
        <v/>
      </c>
      <c r="AB176" s="28">
        <f>IF($W176="","",IF(ISNUMBER(INDEX($D$9:$D$2008,$W176)),INDEX($D$9:$D$2008,$W176),IFERROR(DATE(2000+VALUE(RIGHT(INDEX($D$9:$D$2008,$W176),2)),VALUE(MID(INDEX($D$9:$D$2008,$W176),4,2)),VALUE(LEFT(INDEX($D$9:$D$2008,$W176),2))),"")))</f>
        <v/>
      </c>
      <c r="AC176" s="29">
        <f>IF($W176="","",IFERROR(IF(ISNUMBER(INDEX($E$9:$E$2008,$W176)),INDEX($E$9:$E$2008,$W176),VALUE(SUBSTITUTE(INDEX($E$9:$E$2008,$W176),",",""))),""))</f>
        <v/>
      </c>
      <c r="AD176" s="29">
        <f>IF($W176="","",IFERROR(IF(ISNUMBER(INDEX($F$9:$F$2008,$W176)),INDEX($F$9:$F$2008,$W176),VALUE(SUBSTITUTE(INDEX($F$9:$F$2008,$W176),",",""))),""))</f>
        <v/>
      </c>
      <c r="AE176" s="29">
        <f>IF($W176="","",IFERROR(IF(ISNUMBER(INDEX($G$9:$G$2008,$W176)),INDEX($G$9:$G$2008,$W176),VALUE(SUBSTITUTE(INDEX($G$9:$G$2008,$W176),",",""))),""))</f>
        <v/>
      </c>
      <c r="AF176" s="29">
        <f>IF($W176="","",IFERROR(IF(ISNUMBER(INDEX($H$9:$H$2008,$W176)),INDEX($H$9:$H$2008,$W176),VALUE(SUBSTITUTE(INDEX($H$9:$H$2008,$W176),",",""))),""))</f>
        <v/>
      </c>
      <c r="AG176" s="29">
        <f>IF($W176="","",IFERROR(IF(ISNUMBER(INDEX($I$9:$I$2008,$W176)),INDEX($I$9:$I$2008,$W176),VALUE(SUBSTITUTE(INDEX($I$9:$I$2008,$W176),",",""))),""))</f>
        <v/>
      </c>
      <c r="AH176" s="29">
        <f>IF($W176="","",IFERROR(IF(ISNUMBER(INDEX($J$9:$J$2008,$W176)),INDEX($J$9:$J$2008,$W176),VALUE(SUBSTITUTE(INDEX($J$9:$J$2008,$W176),",",""))),""))</f>
        <v/>
      </c>
      <c r="AI176" s="29">
        <f>IF($W176="","",IFERROR(IF(ISNUMBER(INDEX($K$9:$K$2008,$W176)),INDEX($K$9:$K$2008,$W176),VALUE(SUBSTITUTE(INDEX($K$9:$K$2008,$W176),",",""))),""))</f>
        <v/>
      </c>
      <c r="AJ176" s="30">
        <f>IF($W176="","",IFERROR(IF(ISNUMBER(INDEX($L$9:$L$2008,$W176)),INDEX($L$9:$L$2008,$W176),VALUE(SUBSTITUTE(INDEX($L$9:$L$2008,$W176),",",""))),""))</f>
        <v/>
      </c>
      <c r="AK176" s="30">
        <f>IF($W176="","",IFERROR(IF(ISNUMBER(INDEX($M$9:$M$2008,$W176)),INDEX($M$9:$M$2008,$W176),VALUE(SUBSTITUTE(INDEX($M$9:$M$2008,$W176),",",""))),""))</f>
        <v/>
      </c>
      <c r="AL176" s="31">
        <f>IF($W176="","",IFERROR(IF(ISNUMBER(INDEX($P$9:$P$2008,$W176)),INDEX($P$9:$P$2008,$W176),VALUE(SUBSTITUTE(INDEX($P$9:$P$2008,$W176),"%",""))/100),""))</f>
        <v/>
      </c>
    </row>
    <row r="177">
      <c r="S177">
        <f>IF(AND(ISTEXT($A177),ISNUMBER(SEARCH(" - ",$A177)),ISERROR(SEARCH("Folio",$A177)),$D177=""),TRIM($A177),$S176)</f>
        <v/>
      </c>
      <c r="T177">
        <f>IF(AND(ISNUMBER(SEARCH("Folio",$A177)),$D177&lt;&gt;""),1,"")</f>
        <v/>
      </c>
      <c r="U177">
        <f>IF($T177=1,COUNTIF($T$9:$T177,1),"")</f>
        <v/>
      </c>
      <c r="V177">
        <f>IF(AND(ISTEXT($A177),LEFT($A178,3)="Pan"),1,"")</f>
        <v/>
      </c>
      <c r="W177" s="21">
        <f>IFERROR(MATCH(169,$U$9:$U$2008,0),"")</f>
        <v/>
      </c>
      <c r="X177" s="22">
        <f>IF($W177="","",IF($R$5&lt;&gt;"",$R$5,$R$6))</f>
        <v/>
      </c>
      <c r="Y177" s="22">
        <f>IF($W177="","",INDEX($S$9:$S$2008,$W177))</f>
        <v/>
      </c>
      <c r="Z177" s="22">
        <f>IF($W177="","",IFERROR(TRIM(LEFT(SUBSTITUTE(INDEX($A$9:$A$2008,$W177),CHAR(10)," "),SEARCH("Folio",SUBSTITUTE(INDEX($A$9:$A$2008,$W177),CHAR(10)," "))-1)),TRIM(SUBSTITUTE(INDEX($A$9:$A$2008,$W177),CHAR(10)," "))))</f>
        <v/>
      </c>
      <c r="AA177" s="22">
        <f>IF($W177="","",IFERROR(TRIM(SUBSTITUTE(MID(SUBSTITUTE(INDEX($A$9:$A$2008,$W177),CHAR(10)," "),SEARCH("Folio",SUBSTITUTE(INDEX($A$9:$A$2008,$W177),CHAR(10)," "))+5,200),":","")),""))</f>
        <v/>
      </c>
      <c r="AB177" s="23">
        <f>IF($W177="","",IF(ISNUMBER(INDEX($D$9:$D$2008,$W177)),INDEX($D$9:$D$2008,$W177),IFERROR(DATE(2000+VALUE(RIGHT(INDEX($D$9:$D$2008,$W177),2)),VALUE(MID(INDEX($D$9:$D$2008,$W177),4,2)),VALUE(LEFT(INDEX($D$9:$D$2008,$W177),2))),"")))</f>
        <v/>
      </c>
      <c r="AC177" s="24">
        <f>IF($W177="","",IFERROR(IF(ISNUMBER(INDEX($E$9:$E$2008,$W177)),INDEX($E$9:$E$2008,$W177),VALUE(SUBSTITUTE(INDEX($E$9:$E$2008,$W177),",",""))),""))</f>
        <v/>
      </c>
      <c r="AD177" s="24">
        <f>IF($W177="","",IFERROR(IF(ISNUMBER(INDEX($F$9:$F$2008,$W177)),INDEX($F$9:$F$2008,$W177),VALUE(SUBSTITUTE(INDEX($F$9:$F$2008,$W177),",",""))),""))</f>
        <v/>
      </c>
      <c r="AE177" s="24">
        <f>IF($W177="","",IFERROR(IF(ISNUMBER(INDEX($G$9:$G$2008,$W177)),INDEX($G$9:$G$2008,$W177),VALUE(SUBSTITUTE(INDEX($G$9:$G$2008,$W177),",",""))),""))</f>
        <v/>
      </c>
      <c r="AF177" s="24">
        <f>IF($W177="","",IFERROR(IF(ISNUMBER(INDEX($H$9:$H$2008,$W177)),INDEX($H$9:$H$2008,$W177),VALUE(SUBSTITUTE(INDEX($H$9:$H$2008,$W177),",",""))),""))</f>
        <v/>
      </c>
      <c r="AG177" s="24">
        <f>IF($W177="","",IFERROR(IF(ISNUMBER(INDEX($I$9:$I$2008,$W177)),INDEX($I$9:$I$2008,$W177),VALUE(SUBSTITUTE(INDEX($I$9:$I$2008,$W177),",",""))),""))</f>
        <v/>
      </c>
      <c r="AH177" s="24">
        <f>IF($W177="","",IFERROR(IF(ISNUMBER(INDEX($J$9:$J$2008,$W177)),INDEX($J$9:$J$2008,$W177),VALUE(SUBSTITUTE(INDEX($J$9:$J$2008,$W177),",",""))),""))</f>
        <v/>
      </c>
      <c r="AI177" s="24">
        <f>IF($W177="","",IFERROR(IF(ISNUMBER(INDEX($K$9:$K$2008,$W177)),INDEX($K$9:$K$2008,$W177),VALUE(SUBSTITUTE(INDEX($K$9:$K$2008,$W177),",",""))),""))</f>
        <v/>
      </c>
      <c r="AJ177" s="25">
        <f>IF($W177="","",IFERROR(IF(ISNUMBER(INDEX($L$9:$L$2008,$W177)),INDEX($L$9:$L$2008,$W177),VALUE(SUBSTITUTE(INDEX($L$9:$L$2008,$W177),",",""))),""))</f>
        <v/>
      </c>
      <c r="AK177" s="25">
        <f>IF($W177="","",IFERROR(IF(ISNUMBER(INDEX($M$9:$M$2008,$W177)),INDEX($M$9:$M$2008,$W177),VALUE(SUBSTITUTE(INDEX($M$9:$M$2008,$W177),",",""))),""))</f>
        <v/>
      </c>
      <c r="AL177" s="26">
        <f>IF($W177="","",IFERROR(IF(ISNUMBER(INDEX($P$9:$P$2008,$W177)),INDEX($P$9:$P$2008,$W177),VALUE(SUBSTITUTE(INDEX($P$9:$P$2008,$W177),"%",""))/100),""))</f>
        <v/>
      </c>
    </row>
    <row r="178">
      <c r="S178">
        <f>IF(AND(ISTEXT($A178),ISNUMBER(SEARCH(" - ",$A178)),ISERROR(SEARCH("Folio",$A178)),$D178=""),TRIM($A178),$S177)</f>
        <v/>
      </c>
      <c r="T178">
        <f>IF(AND(ISNUMBER(SEARCH("Folio",$A178)),$D178&lt;&gt;""),1,"")</f>
        <v/>
      </c>
      <c r="U178">
        <f>IF($T178=1,COUNTIF($T$9:$T178,1),"")</f>
        <v/>
      </c>
      <c r="V178">
        <f>IF(AND(ISTEXT($A178),LEFT($A179,3)="Pan"),1,"")</f>
        <v/>
      </c>
      <c r="W178" s="21">
        <f>IFERROR(MATCH(170,$U$9:$U$2008,0),"")</f>
        <v/>
      </c>
      <c r="X178" s="27">
        <f>IF($W178="","",IF($R$5&lt;&gt;"",$R$5,$R$6))</f>
        <v/>
      </c>
      <c r="Y178" s="27">
        <f>IF($W178="","",INDEX($S$9:$S$2008,$W178))</f>
        <v/>
      </c>
      <c r="Z178" s="27">
        <f>IF($W178="","",IFERROR(TRIM(LEFT(SUBSTITUTE(INDEX($A$9:$A$2008,$W178),CHAR(10)," "),SEARCH("Folio",SUBSTITUTE(INDEX($A$9:$A$2008,$W178),CHAR(10)," "))-1)),TRIM(SUBSTITUTE(INDEX($A$9:$A$2008,$W178),CHAR(10)," "))))</f>
        <v/>
      </c>
      <c r="AA178" s="27">
        <f>IF($W178="","",IFERROR(TRIM(SUBSTITUTE(MID(SUBSTITUTE(INDEX($A$9:$A$2008,$W178),CHAR(10)," "),SEARCH("Folio",SUBSTITUTE(INDEX($A$9:$A$2008,$W178),CHAR(10)," "))+5,200),":","")),""))</f>
        <v/>
      </c>
      <c r="AB178" s="28">
        <f>IF($W178="","",IF(ISNUMBER(INDEX($D$9:$D$2008,$W178)),INDEX($D$9:$D$2008,$W178),IFERROR(DATE(2000+VALUE(RIGHT(INDEX($D$9:$D$2008,$W178),2)),VALUE(MID(INDEX($D$9:$D$2008,$W178),4,2)),VALUE(LEFT(INDEX($D$9:$D$2008,$W178),2))),"")))</f>
        <v/>
      </c>
      <c r="AC178" s="29">
        <f>IF($W178="","",IFERROR(IF(ISNUMBER(INDEX($E$9:$E$2008,$W178)),INDEX($E$9:$E$2008,$W178),VALUE(SUBSTITUTE(INDEX($E$9:$E$2008,$W178),",",""))),""))</f>
        <v/>
      </c>
      <c r="AD178" s="29">
        <f>IF($W178="","",IFERROR(IF(ISNUMBER(INDEX($F$9:$F$2008,$W178)),INDEX($F$9:$F$2008,$W178),VALUE(SUBSTITUTE(INDEX($F$9:$F$2008,$W178),",",""))),""))</f>
        <v/>
      </c>
      <c r="AE178" s="29">
        <f>IF($W178="","",IFERROR(IF(ISNUMBER(INDEX($G$9:$G$2008,$W178)),INDEX($G$9:$G$2008,$W178),VALUE(SUBSTITUTE(INDEX($G$9:$G$2008,$W178),",",""))),""))</f>
        <v/>
      </c>
      <c r="AF178" s="29">
        <f>IF($W178="","",IFERROR(IF(ISNUMBER(INDEX($H$9:$H$2008,$W178)),INDEX($H$9:$H$2008,$W178),VALUE(SUBSTITUTE(INDEX($H$9:$H$2008,$W178),",",""))),""))</f>
        <v/>
      </c>
      <c r="AG178" s="29">
        <f>IF($W178="","",IFERROR(IF(ISNUMBER(INDEX($I$9:$I$2008,$W178)),INDEX($I$9:$I$2008,$W178),VALUE(SUBSTITUTE(INDEX($I$9:$I$2008,$W178),",",""))),""))</f>
        <v/>
      </c>
      <c r="AH178" s="29">
        <f>IF($W178="","",IFERROR(IF(ISNUMBER(INDEX($J$9:$J$2008,$W178)),INDEX($J$9:$J$2008,$W178),VALUE(SUBSTITUTE(INDEX($J$9:$J$2008,$W178),",",""))),""))</f>
        <v/>
      </c>
      <c r="AI178" s="29">
        <f>IF($W178="","",IFERROR(IF(ISNUMBER(INDEX($K$9:$K$2008,$W178)),INDEX($K$9:$K$2008,$W178),VALUE(SUBSTITUTE(INDEX($K$9:$K$2008,$W178),",",""))),""))</f>
        <v/>
      </c>
      <c r="AJ178" s="30">
        <f>IF($W178="","",IFERROR(IF(ISNUMBER(INDEX($L$9:$L$2008,$W178)),INDEX($L$9:$L$2008,$W178),VALUE(SUBSTITUTE(INDEX($L$9:$L$2008,$W178),",",""))),""))</f>
        <v/>
      </c>
      <c r="AK178" s="30">
        <f>IF($W178="","",IFERROR(IF(ISNUMBER(INDEX($M$9:$M$2008,$W178)),INDEX($M$9:$M$2008,$W178),VALUE(SUBSTITUTE(INDEX($M$9:$M$2008,$W178),",",""))),""))</f>
        <v/>
      </c>
      <c r="AL178" s="31">
        <f>IF($W178="","",IFERROR(IF(ISNUMBER(INDEX($P$9:$P$2008,$W178)),INDEX($P$9:$P$2008,$W178),VALUE(SUBSTITUTE(INDEX($P$9:$P$2008,$W178),"%",""))/100),""))</f>
        <v/>
      </c>
    </row>
    <row r="179">
      <c r="S179">
        <f>IF(AND(ISTEXT($A179),ISNUMBER(SEARCH(" - ",$A179)),ISERROR(SEARCH("Folio",$A179)),$D179=""),TRIM($A179),$S178)</f>
        <v/>
      </c>
      <c r="T179">
        <f>IF(AND(ISNUMBER(SEARCH("Folio",$A179)),$D179&lt;&gt;""),1,"")</f>
        <v/>
      </c>
      <c r="U179">
        <f>IF($T179=1,COUNTIF($T$9:$T179,1),"")</f>
        <v/>
      </c>
      <c r="V179">
        <f>IF(AND(ISTEXT($A179),LEFT($A180,3)="Pan"),1,"")</f>
        <v/>
      </c>
      <c r="W179" s="21">
        <f>IFERROR(MATCH(171,$U$9:$U$2008,0),"")</f>
        <v/>
      </c>
      <c r="X179" s="22">
        <f>IF($W179="","",IF($R$5&lt;&gt;"",$R$5,$R$6))</f>
        <v/>
      </c>
      <c r="Y179" s="22">
        <f>IF($W179="","",INDEX($S$9:$S$2008,$W179))</f>
        <v/>
      </c>
      <c r="Z179" s="22">
        <f>IF($W179="","",IFERROR(TRIM(LEFT(SUBSTITUTE(INDEX($A$9:$A$2008,$W179),CHAR(10)," "),SEARCH("Folio",SUBSTITUTE(INDEX($A$9:$A$2008,$W179),CHAR(10)," "))-1)),TRIM(SUBSTITUTE(INDEX($A$9:$A$2008,$W179),CHAR(10)," "))))</f>
        <v/>
      </c>
      <c r="AA179" s="22">
        <f>IF($W179="","",IFERROR(TRIM(SUBSTITUTE(MID(SUBSTITUTE(INDEX($A$9:$A$2008,$W179),CHAR(10)," "),SEARCH("Folio",SUBSTITUTE(INDEX($A$9:$A$2008,$W179),CHAR(10)," "))+5,200),":","")),""))</f>
        <v/>
      </c>
      <c r="AB179" s="23">
        <f>IF($W179="","",IF(ISNUMBER(INDEX($D$9:$D$2008,$W179)),INDEX($D$9:$D$2008,$W179),IFERROR(DATE(2000+VALUE(RIGHT(INDEX($D$9:$D$2008,$W179),2)),VALUE(MID(INDEX($D$9:$D$2008,$W179),4,2)),VALUE(LEFT(INDEX($D$9:$D$2008,$W179),2))),"")))</f>
        <v/>
      </c>
      <c r="AC179" s="24">
        <f>IF($W179="","",IFERROR(IF(ISNUMBER(INDEX($E$9:$E$2008,$W179)),INDEX($E$9:$E$2008,$W179),VALUE(SUBSTITUTE(INDEX($E$9:$E$2008,$W179),",",""))),""))</f>
        <v/>
      </c>
      <c r="AD179" s="24">
        <f>IF($W179="","",IFERROR(IF(ISNUMBER(INDEX($F$9:$F$2008,$W179)),INDEX($F$9:$F$2008,$W179),VALUE(SUBSTITUTE(INDEX($F$9:$F$2008,$W179),",",""))),""))</f>
        <v/>
      </c>
      <c r="AE179" s="24">
        <f>IF($W179="","",IFERROR(IF(ISNUMBER(INDEX($G$9:$G$2008,$W179)),INDEX($G$9:$G$2008,$W179),VALUE(SUBSTITUTE(INDEX($G$9:$G$2008,$W179),",",""))),""))</f>
        <v/>
      </c>
      <c r="AF179" s="24">
        <f>IF($W179="","",IFERROR(IF(ISNUMBER(INDEX($H$9:$H$2008,$W179)),INDEX($H$9:$H$2008,$W179),VALUE(SUBSTITUTE(INDEX($H$9:$H$2008,$W179),",",""))),""))</f>
        <v/>
      </c>
      <c r="AG179" s="24">
        <f>IF($W179="","",IFERROR(IF(ISNUMBER(INDEX($I$9:$I$2008,$W179)),INDEX($I$9:$I$2008,$W179),VALUE(SUBSTITUTE(INDEX($I$9:$I$2008,$W179),",",""))),""))</f>
        <v/>
      </c>
      <c r="AH179" s="24">
        <f>IF($W179="","",IFERROR(IF(ISNUMBER(INDEX($J$9:$J$2008,$W179)),INDEX($J$9:$J$2008,$W179),VALUE(SUBSTITUTE(INDEX($J$9:$J$2008,$W179),",",""))),""))</f>
        <v/>
      </c>
      <c r="AI179" s="24">
        <f>IF($W179="","",IFERROR(IF(ISNUMBER(INDEX($K$9:$K$2008,$W179)),INDEX($K$9:$K$2008,$W179),VALUE(SUBSTITUTE(INDEX($K$9:$K$2008,$W179),",",""))),""))</f>
        <v/>
      </c>
      <c r="AJ179" s="25">
        <f>IF($W179="","",IFERROR(IF(ISNUMBER(INDEX($L$9:$L$2008,$W179)),INDEX($L$9:$L$2008,$W179),VALUE(SUBSTITUTE(INDEX($L$9:$L$2008,$W179),",",""))),""))</f>
        <v/>
      </c>
      <c r="AK179" s="25">
        <f>IF($W179="","",IFERROR(IF(ISNUMBER(INDEX($M$9:$M$2008,$W179)),INDEX($M$9:$M$2008,$W179),VALUE(SUBSTITUTE(INDEX($M$9:$M$2008,$W179),",",""))),""))</f>
        <v/>
      </c>
      <c r="AL179" s="26">
        <f>IF($W179="","",IFERROR(IF(ISNUMBER(INDEX($P$9:$P$2008,$W179)),INDEX($P$9:$P$2008,$W179),VALUE(SUBSTITUTE(INDEX($P$9:$P$2008,$W179),"%",""))/100),""))</f>
        <v/>
      </c>
    </row>
    <row r="180">
      <c r="S180">
        <f>IF(AND(ISTEXT($A180),ISNUMBER(SEARCH(" - ",$A180)),ISERROR(SEARCH("Folio",$A180)),$D180=""),TRIM($A180),$S179)</f>
        <v/>
      </c>
      <c r="T180">
        <f>IF(AND(ISNUMBER(SEARCH("Folio",$A180)),$D180&lt;&gt;""),1,"")</f>
        <v/>
      </c>
      <c r="U180">
        <f>IF($T180=1,COUNTIF($T$9:$T180,1),"")</f>
        <v/>
      </c>
      <c r="V180">
        <f>IF(AND(ISTEXT($A180),LEFT($A181,3)="Pan"),1,"")</f>
        <v/>
      </c>
      <c r="W180" s="21">
        <f>IFERROR(MATCH(172,$U$9:$U$2008,0),"")</f>
        <v/>
      </c>
      <c r="X180" s="27">
        <f>IF($W180="","",IF($R$5&lt;&gt;"",$R$5,$R$6))</f>
        <v/>
      </c>
      <c r="Y180" s="27">
        <f>IF($W180="","",INDEX($S$9:$S$2008,$W180))</f>
        <v/>
      </c>
      <c r="Z180" s="27">
        <f>IF($W180="","",IFERROR(TRIM(LEFT(SUBSTITUTE(INDEX($A$9:$A$2008,$W180),CHAR(10)," "),SEARCH("Folio",SUBSTITUTE(INDEX($A$9:$A$2008,$W180),CHAR(10)," "))-1)),TRIM(SUBSTITUTE(INDEX($A$9:$A$2008,$W180),CHAR(10)," "))))</f>
        <v/>
      </c>
      <c r="AA180" s="27">
        <f>IF($W180="","",IFERROR(TRIM(SUBSTITUTE(MID(SUBSTITUTE(INDEX($A$9:$A$2008,$W180),CHAR(10)," "),SEARCH("Folio",SUBSTITUTE(INDEX($A$9:$A$2008,$W180),CHAR(10)," "))+5,200),":","")),""))</f>
        <v/>
      </c>
      <c r="AB180" s="28">
        <f>IF($W180="","",IF(ISNUMBER(INDEX($D$9:$D$2008,$W180)),INDEX($D$9:$D$2008,$W180),IFERROR(DATE(2000+VALUE(RIGHT(INDEX($D$9:$D$2008,$W180),2)),VALUE(MID(INDEX($D$9:$D$2008,$W180),4,2)),VALUE(LEFT(INDEX($D$9:$D$2008,$W180),2))),"")))</f>
        <v/>
      </c>
      <c r="AC180" s="29">
        <f>IF($W180="","",IFERROR(IF(ISNUMBER(INDEX($E$9:$E$2008,$W180)),INDEX($E$9:$E$2008,$W180),VALUE(SUBSTITUTE(INDEX($E$9:$E$2008,$W180),",",""))),""))</f>
        <v/>
      </c>
      <c r="AD180" s="29">
        <f>IF($W180="","",IFERROR(IF(ISNUMBER(INDEX($F$9:$F$2008,$W180)),INDEX($F$9:$F$2008,$W180),VALUE(SUBSTITUTE(INDEX($F$9:$F$2008,$W180),",",""))),""))</f>
        <v/>
      </c>
      <c r="AE180" s="29">
        <f>IF($W180="","",IFERROR(IF(ISNUMBER(INDEX($G$9:$G$2008,$W180)),INDEX($G$9:$G$2008,$W180),VALUE(SUBSTITUTE(INDEX($G$9:$G$2008,$W180),",",""))),""))</f>
        <v/>
      </c>
      <c r="AF180" s="29">
        <f>IF($W180="","",IFERROR(IF(ISNUMBER(INDEX($H$9:$H$2008,$W180)),INDEX($H$9:$H$2008,$W180),VALUE(SUBSTITUTE(INDEX($H$9:$H$2008,$W180),",",""))),""))</f>
        <v/>
      </c>
      <c r="AG180" s="29">
        <f>IF($W180="","",IFERROR(IF(ISNUMBER(INDEX($I$9:$I$2008,$W180)),INDEX($I$9:$I$2008,$W180),VALUE(SUBSTITUTE(INDEX($I$9:$I$2008,$W180),",",""))),""))</f>
        <v/>
      </c>
      <c r="AH180" s="29">
        <f>IF($W180="","",IFERROR(IF(ISNUMBER(INDEX($J$9:$J$2008,$W180)),INDEX($J$9:$J$2008,$W180),VALUE(SUBSTITUTE(INDEX($J$9:$J$2008,$W180),",",""))),""))</f>
        <v/>
      </c>
      <c r="AI180" s="29">
        <f>IF($W180="","",IFERROR(IF(ISNUMBER(INDEX($K$9:$K$2008,$W180)),INDEX($K$9:$K$2008,$W180),VALUE(SUBSTITUTE(INDEX($K$9:$K$2008,$W180),",",""))),""))</f>
        <v/>
      </c>
      <c r="AJ180" s="30">
        <f>IF($W180="","",IFERROR(IF(ISNUMBER(INDEX($L$9:$L$2008,$W180)),INDEX($L$9:$L$2008,$W180),VALUE(SUBSTITUTE(INDEX($L$9:$L$2008,$W180),",",""))),""))</f>
        <v/>
      </c>
      <c r="AK180" s="30">
        <f>IF($W180="","",IFERROR(IF(ISNUMBER(INDEX($M$9:$M$2008,$W180)),INDEX($M$9:$M$2008,$W180),VALUE(SUBSTITUTE(INDEX($M$9:$M$2008,$W180),",",""))),""))</f>
        <v/>
      </c>
      <c r="AL180" s="31">
        <f>IF($W180="","",IFERROR(IF(ISNUMBER(INDEX($P$9:$P$2008,$W180)),INDEX($P$9:$P$2008,$W180),VALUE(SUBSTITUTE(INDEX($P$9:$P$2008,$W180),"%",""))/100),""))</f>
        <v/>
      </c>
    </row>
    <row r="181">
      <c r="S181">
        <f>IF(AND(ISTEXT($A181),ISNUMBER(SEARCH(" - ",$A181)),ISERROR(SEARCH("Folio",$A181)),$D181=""),TRIM($A181),$S180)</f>
        <v/>
      </c>
      <c r="T181">
        <f>IF(AND(ISNUMBER(SEARCH("Folio",$A181)),$D181&lt;&gt;""),1,"")</f>
        <v/>
      </c>
      <c r="U181">
        <f>IF($T181=1,COUNTIF($T$9:$T181,1),"")</f>
        <v/>
      </c>
      <c r="V181">
        <f>IF(AND(ISTEXT($A181),LEFT($A182,3)="Pan"),1,"")</f>
        <v/>
      </c>
      <c r="W181" s="21">
        <f>IFERROR(MATCH(173,$U$9:$U$2008,0),"")</f>
        <v/>
      </c>
      <c r="X181" s="22">
        <f>IF($W181="","",IF($R$5&lt;&gt;"",$R$5,$R$6))</f>
        <v/>
      </c>
      <c r="Y181" s="22">
        <f>IF($W181="","",INDEX($S$9:$S$2008,$W181))</f>
        <v/>
      </c>
      <c r="Z181" s="22">
        <f>IF($W181="","",IFERROR(TRIM(LEFT(SUBSTITUTE(INDEX($A$9:$A$2008,$W181),CHAR(10)," "),SEARCH("Folio",SUBSTITUTE(INDEX($A$9:$A$2008,$W181),CHAR(10)," "))-1)),TRIM(SUBSTITUTE(INDEX($A$9:$A$2008,$W181),CHAR(10)," "))))</f>
        <v/>
      </c>
      <c r="AA181" s="22">
        <f>IF($W181="","",IFERROR(TRIM(SUBSTITUTE(MID(SUBSTITUTE(INDEX($A$9:$A$2008,$W181),CHAR(10)," "),SEARCH("Folio",SUBSTITUTE(INDEX($A$9:$A$2008,$W181),CHAR(10)," "))+5,200),":","")),""))</f>
        <v/>
      </c>
      <c r="AB181" s="23">
        <f>IF($W181="","",IF(ISNUMBER(INDEX($D$9:$D$2008,$W181)),INDEX($D$9:$D$2008,$W181),IFERROR(DATE(2000+VALUE(RIGHT(INDEX($D$9:$D$2008,$W181),2)),VALUE(MID(INDEX($D$9:$D$2008,$W181),4,2)),VALUE(LEFT(INDEX($D$9:$D$2008,$W181),2))),"")))</f>
        <v/>
      </c>
      <c r="AC181" s="24">
        <f>IF($W181="","",IFERROR(IF(ISNUMBER(INDEX($E$9:$E$2008,$W181)),INDEX($E$9:$E$2008,$W181),VALUE(SUBSTITUTE(INDEX($E$9:$E$2008,$W181),",",""))),""))</f>
        <v/>
      </c>
      <c r="AD181" s="24">
        <f>IF($W181="","",IFERROR(IF(ISNUMBER(INDEX($F$9:$F$2008,$W181)),INDEX($F$9:$F$2008,$W181),VALUE(SUBSTITUTE(INDEX($F$9:$F$2008,$W181),",",""))),""))</f>
        <v/>
      </c>
      <c r="AE181" s="24">
        <f>IF($W181="","",IFERROR(IF(ISNUMBER(INDEX($G$9:$G$2008,$W181)),INDEX($G$9:$G$2008,$W181),VALUE(SUBSTITUTE(INDEX($G$9:$G$2008,$W181),",",""))),""))</f>
        <v/>
      </c>
      <c r="AF181" s="24">
        <f>IF($W181="","",IFERROR(IF(ISNUMBER(INDEX($H$9:$H$2008,$W181)),INDEX($H$9:$H$2008,$W181),VALUE(SUBSTITUTE(INDEX($H$9:$H$2008,$W181),",",""))),""))</f>
        <v/>
      </c>
      <c r="AG181" s="24">
        <f>IF($W181="","",IFERROR(IF(ISNUMBER(INDEX($I$9:$I$2008,$W181)),INDEX($I$9:$I$2008,$W181),VALUE(SUBSTITUTE(INDEX($I$9:$I$2008,$W181),",",""))),""))</f>
        <v/>
      </c>
      <c r="AH181" s="24">
        <f>IF($W181="","",IFERROR(IF(ISNUMBER(INDEX($J$9:$J$2008,$W181)),INDEX($J$9:$J$2008,$W181),VALUE(SUBSTITUTE(INDEX($J$9:$J$2008,$W181),",",""))),""))</f>
        <v/>
      </c>
      <c r="AI181" s="24">
        <f>IF($W181="","",IFERROR(IF(ISNUMBER(INDEX($K$9:$K$2008,$W181)),INDEX($K$9:$K$2008,$W181),VALUE(SUBSTITUTE(INDEX($K$9:$K$2008,$W181),",",""))),""))</f>
        <v/>
      </c>
      <c r="AJ181" s="25">
        <f>IF($W181="","",IFERROR(IF(ISNUMBER(INDEX($L$9:$L$2008,$W181)),INDEX($L$9:$L$2008,$W181),VALUE(SUBSTITUTE(INDEX($L$9:$L$2008,$W181),",",""))),""))</f>
        <v/>
      </c>
      <c r="AK181" s="25">
        <f>IF($W181="","",IFERROR(IF(ISNUMBER(INDEX($M$9:$M$2008,$W181)),INDEX($M$9:$M$2008,$W181),VALUE(SUBSTITUTE(INDEX($M$9:$M$2008,$W181),",",""))),""))</f>
        <v/>
      </c>
      <c r="AL181" s="26">
        <f>IF($W181="","",IFERROR(IF(ISNUMBER(INDEX($P$9:$P$2008,$W181)),INDEX($P$9:$P$2008,$W181),VALUE(SUBSTITUTE(INDEX($P$9:$P$2008,$W181),"%",""))/100),""))</f>
        <v/>
      </c>
    </row>
    <row r="182">
      <c r="S182">
        <f>IF(AND(ISTEXT($A182),ISNUMBER(SEARCH(" - ",$A182)),ISERROR(SEARCH("Folio",$A182)),$D182=""),TRIM($A182),$S181)</f>
        <v/>
      </c>
      <c r="T182">
        <f>IF(AND(ISNUMBER(SEARCH("Folio",$A182)),$D182&lt;&gt;""),1,"")</f>
        <v/>
      </c>
      <c r="U182">
        <f>IF($T182=1,COUNTIF($T$9:$T182,1),"")</f>
        <v/>
      </c>
      <c r="V182">
        <f>IF(AND(ISTEXT($A182),LEFT($A183,3)="Pan"),1,"")</f>
        <v/>
      </c>
      <c r="W182" s="21">
        <f>IFERROR(MATCH(174,$U$9:$U$2008,0),"")</f>
        <v/>
      </c>
      <c r="X182" s="27">
        <f>IF($W182="","",IF($R$5&lt;&gt;"",$R$5,$R$6))</f>
        <v/>
      </c>
      <c r="Y182" s="27">
        <f>IF($W182="","",INDEX($S$9:$S$2008,$W182))</f>
        <v/>
      </c>
      <c r="Z182" s="27">
        <f>IF($W182="","",IFERROR(TRIM(LEFT(SUBSTITUTE(INDEX($A$9:$A$2008,$W182),CHAR(10)," "),SEARCH("Folio",SUBSTITUTE(INDEX($A$9:$A$2008,$W182),CHAR(10)," "))-1)),TRIM(SUBSTITUTE(INDEX($A$9:$A$2008,$W182),CHAR(10)," "))))</f>
        <v/>
      </c>
      <c r="AA182" s="27">
        <f>IF($W182="","",IFERROR(TRIM(SUBSTITUTE(MID(SUBSTITUTE(INDEX($A$9:$A$2008,$W182),CHAR(10)," "),SEARCH("Folio",SUBSTITUTE(INDEX($A$9:$A$2008,$W182),CHAR(10)," "))+5,200),":","")),""))</f>
        <v/>
      </c>
      <c r="AB182" s="28">
        <f>IF($W182="","",IF(ISNUMBER(INDEX($D$9:$D$2008,$W182)),INDEX($D$9:$D$2008,$W182),IFERROR(DATE(2000+VALUE(RIGHT(INDEX($D$9:$D$2008,$W182),2)),VALUE(MID(INDEX($D$9:$D$2008,$W182),4,2)),VALUE(LEFT(INDEX($D$9:$D$2008,$W182),2))),"")))</f>
        <v/>
      </c>
      <c r="AC182" s="29">
        <f>IF($W182="","",IFERROR(IF(ISNUMBER(INDEX($E$9:$E$2008,$W182)),INDEX($E$9:$E$2008,$W182),VALUE(SUBSTITUTE(INDEX($E$9:$E$2008,$W182),",",""))),""))</f>
        <v/>
      </c>
      <c r="AD182" s="29">
        <f>IF($W182="","",IFERROR(IF(ISNUMBER(INDEX($F$9:$F$2008,$W182)),INDEX($F$9:$F$2008,$W182),VALUE(SUBSTITUTE(INDEX($F$9:$F$2008,$W182),",",""))),""))</f>
        <v/>
      </c>
      <c r="AE182" s="29">
        <f>IF($W182="","",IFERROR(IF(ISNUMBER(INDEX($G$9:$G$2008,$W182)),INDEX($G$9:$G$2008,$W182),VALUE(SUBSTITUTE(INDEX($G$9:$G$2008,$W182),",",""))),""))</f>
        <v/>
      </c>
      <c r="AF182" s="29">
        <f>IF($W182="","",IFERROR(IF(ISNUMBER(INDEX($H$9:$H$2008,$W182)),INDEX($H$9:$H$2008,$W182),VALUE(SUBSTITUTE(INDEX($H$9:$H$2008,$W182),",",""))),""))</f>
        <v/>
      </c>
      <c r="AG182" s="29">
        <f>IF($W182="","",IFERROR(IF(ISNUMBER(INDEX($I$9:$I$2008,$W182)),INDEX($I$9:$I$2008,$W182),VALUE(SUBSTITUTE(INDEX($I$9:$I$2008,$W182),",",""))),""))</f>
        <v/>
      </c>
      <c r="AH182" s="29">
        <f>IF($W182="","",IFERROR(IF(ISNUMBER(INDEX($J$9:$J$2008,$W182)),INDEX($J$9:$J$2008,$W182),VALUE(SUBSTITUTE(INDEX($J$9:$J$2008,$W182),",",""))),""))</f>
        <v/>
      </c>
      <c r="AI182" s="29">
        <f>IF($W182="","",IFERROR(IF(ISNUMBER(INDEX($K$9:$K$2008,$W182)),INDEX($K$9:$K$2008,$W182),VALUE(SUBSTITUTE(INDEX($K$9:$K$2008,$W182),",",""))),""))</f>
        <v/>
      </c>
      <c r="AJ182" s="30">
        <f>IF($W182="","",IFERROR(IF(ISNUMBER(INDEX($L$9:$L$2008,$W182)),INDEX($L$9:$L$2008,$W182),VALUE(SUBSTITUTE(INDEX($L$9:$L$2008,$W182),",",""))),""))</f>
        <v/>
      </c>
      <c r="AK182" s="30">
        <f>IF($W182="","",IFERROR(IF(ISNUMBER(INDEX($M$9:$M$2008,$W182)),INDEX($M$9:$M$2008,$W182),VALUE(SUBSTITUTE(INDEX($M$9:$M$2008,$W182),",",""))),""))</f>
        <v/>
      </c>
      <c r="AL182" s="31">
        <f>IF($W182="","",IFERROR(IF(ISNUMBER(INDEX($P$9:$P$2008,$W182)),INDEX($P$9:$P$2008,$W182),VALUE(SUBSTITUTE(INDEX($P$9:$P$2008,$W182),"%",""))/100),""))</f>
        <v/>
      </c>
    </row>
    <row r="183">
      <c r="S183">
        <f>IF(AND(ISTEXT($A183),ISNUMBER(SEARCH(" - ",$A183)),ISERROR(SEARCH("Folio",$A183)),$D183=""),TRIM($A183),$S182)</f>
        <v/>
      </c>
      <c r="T183">
        <f>IF(AND(ISNUMBER(SEARCH("Folio",$A183)),$D183&lt;&gt;""),1,"")</f>
        <v/>
      </c>
      <c r="U183">
        <f>IF($T183=1,COUNTIF($T$9:$T183,1),"")</f>
        <v/>
      </c>
      <c r="V183">
        <f>IF(AND(ISTEXT($A183),LEFT($A184,3)="Pan"),1,"")</f>
        <v/>
      </c>
      <c r="W183" s="21">
        <f>IFERROR(MATCH(175,$U$9:$U$2008,0),"")</f>
        <v/>
      </c>
      <c r="X183" s="22">
        <f>IF($W183="","",IF($R$5&lt;&gt;"",$R$5,$R$6))</f>
        <v/>
      </c>
      <c r="Y183" s="22">
        <f>IF($W183="","",INDEX($S$9:$S$2008,$W183))</f>
        <v/>
      </c>
      <c r="Z183" s="22">
        <f>IF($W183="","",IFERROR(TRIM(LEFT(SUBSTITUTE(INDEX($A$9:$A$2008,$W183),CHAR(10)," "),SEARCH("Folio",SUBSTITUTE(INDEX($A$9:$A$2008,$W183),CHAR(10)," "))-1)),TRIM(SUBSTITUTE(INDEX($A$9:$A$2008,$W183),CHAR(10)," "))))</f>
        <v/>
      </c>
      <c r="AA183" s="22">
        <f>IF($W183="","",IFERROR(TRIM(SUBSTITUTE(MID(SUBSTITUTE(INDEX($A$9:$A$2008,$W183),CHAR(10)," "),SEARCH("Folio",SUBSTITUTE(INDEX($A$9:$A$2008,$W183),CHAR(10)," "))+5,200),":","")),""))</f>
        <v/>
      </c>
      <c r="AB183" s="23">
        <f>IF($W183="","",IF(ISNUMBER(INDEX($D$9:$D$2008,$W183)),INDEX($D$9:$D$2008,$W183),IFERROR(DATE(2000+VALUE(RIGHT(INDEX($D$9:$D$2008,$W183),2)),VALUE(MID(INDEX($D$9:$D$2008,$W183),4,2)),VALUE(LEFT(INDEX($D$9:$D$2008,$W183),2))),"")))</f>
        <v/>
      </c>
      <c r="AC183" s="24">
        <f>IF($W183="","",IFERROR(IF(ISNUMBER(INDEX($E$9:$E$2008,$W183)),INDEX($E$9:$E$2008,$W183),VALUE(SUBSTITUTE(INDEX($E$9:$E$2008,$W183),",",""))),""))</f>
        <v/>
      </c>
      <c r="AD183" s="24">
        <f>IF($W183="","",IFERROR(IF(ISNUMBER(INDEX($F$9:$F$2008,$W183)),INDEX($F$9:$F$2008,$W183),VALUE(SUBSTITUTE(INDEX($F$9:$F$2008,$W183),",",""))),""))</f>
        <v/>
      </c>
      <c r="AE183" s="24">
        <f>IF($W183="","",IFERROR(IF(ISNUMBER(INDEX($G$9:$G$2008,$W183)),INDEX($G$9:$G$2008,$W183),VALUE(SUBSTITUTE(INDEX($G$9:$G$2008,$W183),",",""))),""))</f>
        <v/>
      </c>
      <c r="AF183" s="24">
        <f>IF($W183="","",IFERROR(IF(ISNUMBER(INDEX($H$9:$H$2008,$W183)),INDEX($H$9:$H$2008,$W183),VALUE(SUBSTITUTE(INDEX($H$9:$H$2008,$W183),",",""))),""))</f>
        <v/>
      </c>
      <c r="AG183" s="24">
        <f>IF($W183="","",IFERROR(IF(ISNUMBER(INDEX($I$9:$I$2008,$W183)),INDEX($I$9:$I$2008,$W183),VALUE(SUBSTITUTE(INDEX($I$9:$I$2008,$W183),",",""))),""))</f>
        <v/>
      </c>
      <c r="AH183" s="24">
        <f>IF($W183="","",IFERROR(IF(ISNUMBER(INDEX($J$9:$J$2008,$W183)),INDEX($J$9:$J$2008,$W183),VALUE(SUBSTITUTE(INDEX($J$9:$J$2008,$W183),",",""))),""))</f>
        <v/>
      </c>
      <c r="AI183" s="24">
        <f>IF($W183="","",IFERROR(IF(ISNUMBER(INDEX($K$9:$K$2008,$W183)),INDEX($K$9:$K$2008,$W183),VALUE(SUBSTITUTE(INDEX($K$9:$K$2008,$W183),",",""))),""))</f>
        <v/>
      </c>
      <c r="AJ183" s="25">
        <f>IF($W183="","",IFERROR(IF(ISNUMBER(INDEX($L$9:$L$2008,$W183)),INDEX($L$9:$L$2008,$W183),VALUE(SUBSTITUTE(INDEX($L$9:$L$2008,$W183),",",""))),""))</f>
        <v/>
      </c>
      <c r="AK183" s="25">
        <f>IF($W183="","",IFERROR(IF(ISNUMBER(INDEX($M$9:$M$2008,$W183)),INDEX($M$9:$M$2008,$W183),VALUE(SUBSTITUTE(INDEX($M$9:$M$2008,$W183),",",""))),""))</f>
        <v/>
      </c>
      <c r="AL183" s="26">
        <f>IF($W183="","",IFERROR(IF(ISNUMBER(INDEX($P$9:$P$2008,$W183)),INDEX($P$9:$P$2008,$W183),VALUE(SUBSTITUTE(INDEX($P$9:$P$2008,$W183),"%",""))/100),""))</f>
        <v/>
      </c>
    </row>
    <row r="184">
      <c r="S184">
        <f>IF(AND(ISTEXT($A184),ISNUMBER(SEARCH(" - ",$A184)),ISERROR(SEARCH("Folio",$A184)),$D184=""),TRIM($A184),$S183)</f>
        <v/>
      </c>
      <c r="T184">
        <f>IF(AND(ISNUMBER(SEARCH("Folio",$A184)),$D184&lt;&gt;""),1,"")</f>
        <v/>
      </c>
      <c r="U184">
        <f>IF($T184=1,COUNTIF($T$9:$T184,1),"")</f>
        <v/>
      </c>
      <c r="V184">
        <f>IF(AND(ISTEXT($A184),LEFT($A185,3)="Pan"),1,"")</f>
        <v/>
      </c>
      <c r="W184" s="21">
        <f>IFERROR(MATCH(176,$U$9:$U$2008,0),"")</f>
        <v/>
      </c>
      <c r="X184" s="27">
        <f>IF($W184="","",IF($R$5&lt;&gt;"",$R$5,$R$6))</f>
        <v/>
      </c>
      <c r="Y184" s="27">
        <f>IF($W184="","",INDEX($S$9:$S$2008,$W184))</f>
        <v/>
      </c>
      <c r="Z184" s="27">
        <f>IF($W184="","",IFERROR(TRIM(LEFT(SUBSTITUTE(INDEX($A$9:$A$2008,$W184),CHAR(10)," "),SEARCH("Folio",SUBSTITUTE(INDEX($A$9:$A$2008,$W184),CHAR(10)," "))-1)),TRIM(SUBSTITUTE(INDEX($A$9:$A$2008,$W184),CHAR(10)," "))))</f>
        <v/>
      </c>
      <c r="AA184" s="27">
        <f>IF($W184="","",IFERROR(TRIM(SUBSTITUTE(MID(SUBSTITUTE(INDEX($A$9:$A$2008,$W184),CHAR(10)," "),SEARCH("Folio",SUBSTITUTE(INDEX($A$9:$A$2008,$W184),CHAR(10)," "))+5,200),":","")),""))</f>
        <v/>
      </c>
      <c r="AB184" s="28">
        <f>IF($W184="","",IF(ISNUMBER(INDEX($D$9:$D$2008,$W184)),INDEX($D$9:$D$2008,$W184),IFERROR(DATE(2000+VALUE(RIGHT(INDEX($D$9:$D$2008,$W184),2)),VALUE(MID(INDEX($D$9:$D$2008,$W184),4,2)),VALUE(LEFT(INDEX($D$9:$D$2008,$W184),2))),"")))</f>
        <v/>
      </c>
      <c r="AC184" s="29">
        <f>IF($W184="","",IFERROR(IF(ISNUMBER(INDEX($E$9:$E$2008,$W184)),INDEX($E$9:$E$2008,$W184),VALUE(SUBSTITUTE(INDEX($E$9:$E$2008,$W184),",",""))),""))</f>
        <v/>
      </c>
      <c r="AD184" s="29">
        <f>IF($W184="","",IFERROR(IF(ISNUMBER(INDEX($F$9:$F$2008,$W184)),INDEX($F$9:$F$2008,$W184),VALUE(SUBSTITUTE(INDEX($F$9:$F$2008,$W184),",",""))),""))</f>
        <v/>
      </c>
      <c r="AE184" s="29">
        <f>IF($W184="","",IFERROR(IF(ISNUMBER(INDEX($G$9:$G$2008,$W184)),INDEX($G$9:$G$2008,$W184),VALUE(SUBSTITUTE(INDEX($G$9:$G$2008,$W184),",",""))),""))</f>
        <v/>
      </c>
      <c r="AF184" s="29">
        <f>IF($W184="","",IFERROR(IF(ISNUMBER(INDEX($H$9:$H$2008,$W184)),INDEX($H$9:$H$2008,$W184),VALUE(SUBSTITUTE(INDEX($H$9:$H$2008,$W184),",",""))),""))</f>
        <v/>
      </c>
      <c r="AG184" s="29">
        <f>IF($W184="","",IFERROR(IF(ISNUMBER(INDEX($I$9:$I$2008,$W184)),INDEX($I$9:$I$2008,$W184),VALUE(SUBSTITUTE(INDEX($I$9:$I$2008,$W184),",",""))),""))</f>
        <v/>
      </c>
      <c r="AH184" s="29">
        <f>IF($W184="","",IFERROR(IF(ISNUMBER(INDEX($J$9:$J$2008,$W184)),INDEX($J$9:$J$2008,$W184),VALUE(SUBSTITUTE(INDEX($J$9:$J$2008,$W184),",",""))),""))</f>
        <v/>
      </c>
      <c r="AI184" s="29">
        <f>IF($W184="","",IFERROR(IF(ISNUMBER(INDEX($K$9:$K$2008,$W184)),INDEX($K$9:$K$2008,$W184),VALUE(SUBSTITUTE(INDEX($K$9:$K$2008,$W184),",",""))),""))</f>
        <v/>
      </c>
      <c r="AJ184" s="30">
        <f>IF($W184="","",IFERROR(IF(ISNUMBER(INDEX($L$9:$L$2008,$W184)),INDEX($L$9:$L$2008,$W184),VALUE(SUBSTITUTE(INDEX($L$9:$L$2008,$W184),",",""))),""))</f>
        <v/>
      </c>
      <c r="AK184" s="30">
        <f>IF($W184="","",IFERROR(IF(ISNUMBER(INDEX($M$9:$M$2008,$W184)),INDEX($M$9:$M$2008,$W184),VALUE(SUBSTITUTE(INDEX($M$9:$M$2008,$W184),",",""))),""))</f>
        <v/>
      </c>
      <c r="AL184" s="31">
        <f>IF($W184="","",IFERROR(IF(ISNUMBER(INDEX($P$9:$P$2008,$W184)),INDEX($P$9:$P$2008,$W184),VALUE(SUBSTITUTE(INDEX($P$9:$P$2008,$W184),"%",""))/100),""))</f>
        <v/>
      </c>
    </row>
    <row r="185">
      <c r="S185">
        <f>IF(AND(ISTEXT($A185),ISNUMBER(SEARCH(" - ",$A185)),ISERROR(SEARCH("Folio",$A185)),$D185=""),TRIM($A185),$S184)</f>
        <v/>
      </c>
      <c r="T185">
        <f>IF(AND(ISNUMBER(SEARCH("Folio",$A185)),$D185&lt;&gt;""),1,"")</f>
        <v/>
      </c>
      <c r="U185">
        <f>IF($T185=1,COUNTIF($T$9:$T185,1),"")</f>
        <v/>
      </c>
      <c r="V185">
        <f>IF(AND(ISTEXT($A185),LEFT($A186,3)="Pan"),1,"")</f>
        <v/>
      </c>
      <c r="W185" s="21">
        <f>IFERROR(MATCH(177,$U$9:$U$2008,0),"")</f>
        <v/>
      </c>
      <c r="X185" s="22">
        <f>IF($W185="","",IF($R$5&lt;&gt;"",$R$5,$R$6))</f>
        <v/>
      </c>
      <c r="Y185" s="22">
        <f>IF($W185="","",INDEX($S$9:$S$2008,$W185))</f>
        <v/>
      </c>
      <c r="Z185" s="22">
        <f>IF($W185="","",IFERROR(TRIM(LEFT(SUBSTITUTE(INDEX($A$9:$A$2008,$W185),CHAR(10)," "),SEARCH("Folio",SUBSTITUTE(INDEX($A$9:$A$2008,$W185),CHAR(10)," "))-1)),TRIM(SUBSTITUTE(INDEX($A$9:$A$2008,$W185),CHAR(10)," "))))</f>
        <v/>
      </c>
      <c r="AA185" s="22">
        <f>IF($W185="","",IFERROR(TRIM(SUBSTITUTE(MID(SUBSTITUTE(INDEX($A$9:$A$2008,$W185),CHAR(10)," "),SEARCH("Folio",SUBSTITUTE(INDEX($A$9:$A$2008,$W185),CHAR(10)," "))+5,200),":","")),""))</f>
        <v/>
      </c>
      <c r="AB185" s="23">
        <f>IF($W185="","",IF(ISNUMBER(INDEX($D$9:$D$2008,$W185)),INDEX($D$9:$D$2008,$W185),IFERROR(DATE(2000+VALUE(RIGHT(INDEX($D$9:$D$2008,$W185),2)),VALUE(MID(INDEX($D$9:$D$2008,$W185),4,2)),VALUE(LEFT(INDEX($D$9:$D$2008,$W185),2))),"")))</f>
        <v/>
      </c>
      <c r="AC185" s="24">
        <f>IF($W185="","",IFERROR(IF(ISNUMBER(INDEX($E$9:$E$2008,$W185)),INDEX($E$9:$E$2008,$W185),VALUE(SUBSTITUTE(INDEX($E$9:$E$2008,$W185),",",""))),""))</f>
        <v/>
      </c>
      <c r="AD185" s="24">
        <f>IF($W185="","",IFERROR(IF(ISNUMBER(INDEX($F$9:$F$2008,$W185)),INDEX($F$9:$F$2008,$W185),VALUE(SUBSTITUTE(INDEX($F$9:$F$2008,$W185),",",""))),""))</f>
        <v/>
      </c>
      <c r="AE185" s="24">
        <f>IF($W185="","",IFERROR(IF(ISNUMBER(INDEX($G$9:$G$2008,$W185)),INDEX($G$9:$G$2008,$W185),VALUE(SUBSTITUTE(INDEX($G$9:$G$2008,$W185),",",""))),""))</f>
        <v/>
      </c>
      <c r="AF185" s="24">
        <f>IF($W185="","",IFERROR(IF(ISNUMBER(INDEX($H$9:$H$2008,$W185)),INDEX($H$9:$H$2008,$W185),VALUE(SUBSTITUTE(INDEX($H$9:$H$2008,$W185),",",""))),""))</f>
        <v/>
      </c>
      <c r="AG185" s="24">
        <f>IF($W185="","",IFERROR(IF(ISNUMBER(INDEX($I$9:$I$2008,$W185)),INDEX($I$9:$I$2008,$W185),VALUE(SUBSTITUTE(INDEX($I$9:$I$2008,$W185),",",""))),""))</f>
        <v/>
      </c>
      <c r="AH185" s="24">
        <f>IF($W185="","",IFERROR(IF(ISNUMBER(INDEX($J$9:$J$2008,$W185)),INDEX($J$9:$J$2008,$W185),VALUE(SUBSTITUTE(INDEX($J$9:$J$2008,$W185),",",""))),""))</f>
        <v/>
      </c>
      <c r="AI185" s="24">
        <f>IF($W185="","",IFERROR(IF(ISNUMBER(INDEX($K$9:$K$2008,$W185)),INDEX($K$9:$K$2008,$W185),VALUE(SUBSTITUTE(INDEX($K$9:$K$2008,$W185),",",""))),""))</f>
        <v/>
      </c>
      <c r="AJ185" s="25">
        <f>IF($W185="","",IFERROR(IF(ISNUMBER(INDEX($L$9:$L$2008,$W185)),INDEX($L$9:$L$2008,$W185),VALUE(SUBSTITUTE(INDEX($L$9:$L$2008,$W185),",",""))),""))</f>
        <v/>
      </c>
      <c r="AK185" s="25">
        <f>IF($W185="","",IFERROR(IF(ISNUMBER(INDEX($M$9:$M$2008,$W185)),INDEX($M$9:$M$2008,$W185),VALUE(SUBSTITUTE(INDEX($M$9:$M$2008,$W185),",",""))),""))</f>
        <v/>
      </c>
      <c r="AL185" s="26">
        <f>IF($W185="","",IFERROR(IF(ISNUMBER(INDEX($P$9:$P$2008,$W185)),INDEX($P$9:$P$2008,$W185),VALUE(SUBSTITUTE(INDEX($P$9:$P$2008,$W185),"%",""))/100),""))</f>
        <v/>
      </c>
    </row>
    <row r="186">
      <c r="S186">
        <f>IF(AND(ISTEXT($A186),ISNUMBER(SEARCH(" - ",$A186)),ISERROR(SEARCH("Folio",$A186)),$D186=""),TRIM($A186),$S185)</f>
        <v/>
      </c>
      <c r="T186">
        <f>IF(AND(ISNUMBER(SEARCH("Folio",$A186)),$D186&lt;&gt;""),1,"")</f>
        <v/>
      </c>
      <c r="U186">
        <f>IF($T186=1,COUNTIF($T$9:$T186,1),"")</f>
        <v/>
      </c>
      <c r="V186">
        <f>IF(AND(ISTEXT($A186),LEFT($A187,3)="Pan"),1,"")</f>
        <v/>
      </c>
      <c r="W186" s="21">
        <f>IFERROR(MATCH(178,$U$9:$U$2008,0),"")</f>
        <v/>
      </c>
      <c r="X186" s="27">
        <f>IF($W186="","",IF($R$5&lt;&gt;"",$R$5,$R$6))</f>
        <v/>
      </c>
      <c r="Y186" s="27">
        <f>IF($W186="","",INDEX($S$9:$S$2008,$W186))</f>
        <v/>
      </c>
      <c r="Z186" s="27">
        <f>IF($W186="","",IFERROR(TRIM(LEFT(SUBSTITUTE(INDEX($A$9:$A$2008,$W186),CHAR(10)," "),SEARCH("Folio",SUBSTITUTE(INDEX($A$9:$A$2008,$W186),CHAR(10)," "))-1)),TRIM(SUBSTITUTE(INDEX($A$9:$A$2008,$W186),CHAR(10)," "))))</f>
        <v/>
      </c>
      <c r="AA186" s="27">
        <f>IF($W186="","",IFERROR(TRIM(SUBSTITUTE(MID(SUBSTITUTE(INDEX($A$9:$A$2008,$W186),CHAR(10)," "),SEARCH("Folio",SUBSTITUTE(INDEX($A$9:$A$2008,$W186),CHAR(10)," "))+5,200),":","")),""))</f>
        <v/>
      </c>
      <c r="AB186" s="28">
        <f>IF($W186="","",IF(ISNUMBER(INDEX($D$9:$D$2008,$W186)),INDEX($D$9:$D$2008,$W186),IFERROR(DATE(2000+VALUE(RIGHT(INDEX($D$9:$D$2008,$W186),2)),VALUE(MID(INDEX($D$9:$D$2008,$W186),4,2)),VALUE(LEFT(INDEX($D$9:$D$2008,$W186),2))),"")))</f>
        <v/>
      </c>
      <c r="AC186" s="29">
        <f>IF($W186="","",IFERROR(IF(ISNUMBER(INDEX($E$9:$E$2008,$W186)),INDEX($E$9:$E$2008,$W186),VALUE(SUBSTITUTE(INDEX($E$9:$E$2008,$W186),",",""))),""))</f>
        <v/>
      </c>
      <c r="AD186" s="29">
        <f>IF($W186="","",IFERROR(IF(ISNUMBER(INDEX($F$9:$F$2008,$W186)),INDEX($F$9:$F$2008,$W186),VALUE(SUBSTITUTE(INDEX($F$9:$F$2008,$W186),",",""))),""))</f>
        <v/>
      </c>
      <c r="AE186" s="29">
        <f>IF($W186="","",IFERROR(IF(ISNUMBER(INDEX($G$9:$G$2008,$W186)),INDEX($G$9:$G$2008,$W186),VALUE(SUBSTITUTE(INDEX($G$9:$G$2008,$W186),",",""))),""))</f>
        <v/>
      </c>
      <c r="AF186" s="29">
        <f>IF($W186="","",IFERROR(IF(ISNUMBER(INDEX($H$9:$H$2008,$W186)),INDEX($H$9:$H$2008,$W186),VALUE(SUBSTITUTE(INDEX($H$9:$H$2008,$W186),",",""))),""))</f>
        <v/>
      </c>
      <c r="AG186" s="29">
        <f>IF($W186="","",IFERROR(IF(ISNUMBER(INDEX($I$9:$I$2008,$W186)),INDEX($I$9:$I$2008,$W186),VALUE(SUBSTITUTE(INDEX($I$9:$I$2008,$W186),",",""))),""))</f>
        <v/>
      </c>
      <c r="AH186" s="29">
        <f>IF($W186="","",IFERROR(IF(ISNUMBER(INDEX($J$9:$J$2008,$W186)),INDEX($J$9:$J$2008,$W186),VALUE(SUBSTITUTE(INDEX($J$9:$J$2008,$W186),",",""))),""))</f>
        <v/>
      </c>
      <c r="AI186" s="29">
        <f>IF($W186="","",IFERROR(IF(ISNUMBER(INDEX($K$9:$K$2008,$W186)),INDEX($K$9:$K$2008,$W186),VALUE(SUBSTITUTE(INDEX($K$9:$K$2008,$W186),",",""))),""))</f>
        <v/>
      </c>
      <c r="AJ186" s="30">
        <f>IF($W186="","",IFERROR(IF(ISNUMBER(INDEX($L$9:$L$2008,$W186)),INDEX($L$9:$L$2008,$W186),VALUE(SUBSTITUTE(INDEX($L$9:$L$2008,$W186),",",""))),""))</f>
        <v/>
      </c>
      <c r="AK186" s="30">
        <f>IF($W186="","",IFERROR(IF(ISNUMBER(INDEX($M$9:$M$2008,$W186)),INDEX($M$9:$M$2008,$W186),VALUE(SUBSTITUTE(INDEX($M$9:$M$2008,$W186),",",""))),""))</f>
        <v/>
      </c>
      <c r="AL186" s="31">
        <f>IF($W186="","",IFERROR(IF(ISNUMBER(INDEX($P$9:$P$2008,$W186)),INDEX($P$9:$P$2008,$W186),VALUE(SUBSTITUTE(INDEX($P$9:$P$2008,$W186),"%",""))/100),""))</f>
        <v/>
      </c>
    </row>
    <row r="187">
      <c r="S187">
        <f>IF(AND(ISTEXT($A187),ISNUMBER(SEARCH(" - ",$A187)),ISERROR(SEARCH("Folio",$A187)),$D187=""),TRIM($A187),$S186)</f>
        <v/>
      </c>
      <c r="T187">
        <f>IF(AND(ISNUMBER(SEARCH("Folio",$A187)),$D187&lt;&gt;""),1,"")</f>
        <v/>
      </c>
      <c r="U187">
        <f>IF($T187=1,COUNTIF($T$9:$T187,1),"")</f>
        <v/>
      </c>
      <c r="V187">
        <f>IF(AND(ISTEXT($A187),LEFT($A188,3)="Pan"),1,"")</f>
        <v/>
      </c>
      <c r="W187" s="21">
        <f>IFERROR(MATCH(179,$U$9:$U$2008,0),"")</f>
        <v/>
      </c>
      <c r="X187" s="22">
        <f>IF($W187="","",IF($R$5&lt;&gt;"",$R$5,$R$6))</f>
        <v/>
      </c>
      <c r="Y187" s="22">
        <f>IF($W187="","",INDEX($S$9:$S$2008,$W187))</f>
        <v/>
      </c>
      <c r="Z187" s="22">
        <f>IF($W187="","",IFERROR(TRIM(LEFT(SUBSTITUTE(INDEX($A$9:$A$2008,$W187),CHAR(10)," "),SEARCH("Folio",SUBSTITUTE(INDEX($A$9:$A$2008,$W187),CHAR(10)," "))-1)),TRIM(SUBSTITUTE(INDEX($A$9:$A$2008,$W187),CHAR(10)," "))))</f>
        <v/>
      </c>
      <c r="AA187" s="22">
        <f>IF($W187="","",IFERROR(TRIM(SUBSTITUTE(MID(SUBSTITUTE(INDEX($A$9:$A$2008,$W187),CHAR(10)," "),SEARCH("Folio",SUBSTITUTE(INDEX($A$9:$A$2008,$W187),CHAR(10)," "))+5,200),":","")),""))</f>
        <v/>
      </c>
      <c r="AB187" s="23">
        <f>IF($W187="","",IF(ISNUMBER(INDEX($D$9:$D$2008,$W187)),INDEX($D$9:$D$2008,$W187),IFERROR(DATE(2000+VALUE(RIGHT(INDEX($D$9:$D$2008,$W187),2)),VALUE(MID(INDEX($D$9:$D$2008,$W187),4,2)),VALUE(LEFT(INDEX($D$9:$D$2008,$W187),2))),"")))</f>
        <v/>
      </c>
      <c r="AC187" s="24">
        <f>IF($W187="","",IFERROR(IF(ISNUMBER(INDEX($E$9:$E$2008,$W187)),INDEX($E$9:$E$2008,$W187),VALUE(SUBSTITUTE(INDEX($E$9:$E$2008,$W187),",",""))),""))</f>
        <v/>
      </c>
      <c r="AD187" s="24">
        <f>IF($W187="","",IFERROR(IF(ISNUMBER(INDEX($F$9:$F$2008,$W187)),INDEX($F$9:$F$2008,$W187),VALUE(SUBSTITUTE(INDEX($F$9:$F$2008,$W187),",",""))),""))</f>
        <v/>
      </c>
      <c r="AE187" s="24">
        <f>IF($W187="","",IFERROR(IF(ISNUMBER(INDEX($G$9:$G$2008,$W187)),INDEX($G$9:$G$2008,$W187),VALUE(SUBSTITUTE(INDEX($G$9:$G$2008,$W187),",",""))),""))</f>
        <v/>
      </c>
      <c r="AF187" s="24">
        <f>IF($W187="","",IFERROR(IF(ISNUMBER(INDEX($H$9:$H$2008,$W187)),INDEX($H$9:$H$2008,$W187),VALUE(SUBSTITUTE(INDEX($H$9:$H$2008,$W187),",",""))),""))</f>
        <v/>
      </c>
      <c r="AG187" s="24">
        <f>IF($W187="","",IFERROR(IF(ISNUMBER(INDEX($I$9:$I$2008,$W187)),INDEX($I$9:$I$2008,$W187),VALUE(SUBSTITUTE(INDEX($I$9:$I$2008,$W187),",",""))),""))</f>
        <v/>
      </c>
      <c r="AH187" s="24">
        <f>IF($W187="","",IFERROR(IF(ISNUMBER(INDEX($J$9:$J$2008,$W187)),INDEX($J$9:$J$2008,$W187),VALUE(SUBSTITUTE(INDEX($J$9:$J$2008,$W187),",",""))),""))</f>
        <v/>
      </c>
      <c r="AI187" s="24">
        <f>IF($W187="","",IFERROR(IF(ISNUMBER(INDEX($K$9:$K$2008,$W187)),INDEX($K$9:$K$2008,$W187),VALUE(SUBSTITUTE(INDEX($K$9:$K$2008,$W187),",",""))),""))</f>
        <v/>
      </c>
      <c r="AJ187" s="25">
        <f>IF($W187="","",IFERROR(IF(ISNUMBER(INDEX($L$9:$L$2008,$W187)),INDEX($L$9:$L$2008,$W187),VALUE(SUBSTITUTE(INDEX($L$9:$L$2008,$W187),",",""))),""))</f>
        <v/>
      </c>
      <c r="AK187" s="25">
        <f>IF($W187="","",IFERROR(IF(ISNUMBER(INDEX($M$9:$M$2008,$W187)),INDEX($M$9:$M$2008,$W187),VALUE(SUBSTITUTE(INDEX($M$9:$M$2008,$W187),",",""))),""))</f>
        <v/>
      </c>
      <c r="AL187" s="26">
        <f>IF($W187="","",IFERROR(IF(ISNUMBER(INDEX($P$9:$P$2008,$W187)),INDEX($P$9:$P$2008,$W187),VALUE(SUBSTITUTE(INDEX($P$9:$P$2008,$W187),"%",""))/100),""))</f>
        <v/>
      </c>
    </row>
    <row r="188">
      <c r="S188">
        <f>IF(AND(ISTEXT($A188),ISNUMBER(SEARCH(" - ",$A188)),ISERROR(SEARCH("Folio",$A188)),$D188=""),TRIM($A188),$S187)</f>
        <v/>
      </c>
      <c r="T188">
        <f>IF(AND(ISNUMBER(SEARCH("Folio",$A188)),$D188&lt;&gt;""),1,"")</f>
        <v/>
      </c>
      <c r="U188">
        <f>IF($T188=1,COUNTIF($T$9:$T188,1),"")</f>
        <v/>
      </c>
      <c r="V188">
        <f>IF(AND(ISTEXT($A188),LEFT($A189,3)="Pan"),1,"")</f>
        <v/>
      </c>
      <c r="W188" s="21">
        <f>IFERROR(MATCH(180,$U$9:$U$2008,0),"")</f>
        <v/>
      </c>
      <c r="X188" s="27">
        <f>IF($W188="","",IF($R$5&lt;&gt;"",$R$5,$R$6))</f>
        <v/>
      </c>
      <c r="Y188" s="27">
        <f>IF($W188="","",INDEX($S$9:$S$2008,$W188))</f>
        <v/>
      </c>
      <c r="Z188" s="27">
        <f>IF($W188="","",IFERROR(TRIM(LEFT(SUBSTITUTE(INDEX($A$9:$A$2008,$W188),CHAR(10)," "),SEARCH("Folio",SUBSTITUTE(INDEX($A$9:$A$2008,$W188),CHAR(10)," "))-1)),TRIM(SUBSTITUTE(INDEX($A$9:$A$2008,$W188),CHAR(10)," "))))</f>
        <v/>
      </c>
      <c r="AA188" s="27">
        <f>IF($W188="","",IFERROR(TRIM(SUBSTITUTE(MID(SUBSTITUTE(INDEX($A$9:$A$2008,$W188),CHAR(10)," "),SEARCH("Folio",SUBSTITUTE(INDEX($A$9:$A$2008,$W188),CHAR(10)," "))+5,200),":","")),""))</f>
        <v/>
      </c>
      <c r="AB188" s="28">
        <f>IF($W188="","",IF(ISNUMBER(INDEX($D$9:$D$2008,$W188)),INDEX($D$9:$D$2008,$W188),IFERROR(DATE(2000+VALUE(RIGHT(INDEX($D$9:$D$2008,$W188),2)),VALUE(MID(INDEX($D$9:$D$2008,$W188),4,2)),VALUE(LEFT(INDEX($D$9:$D$2008,$W188),2))),"")))</f>
        <v/>
      </c>
      <c r="AC188" s="29">
        <f>IF($W188="","",IFERROR(IF(ISNUMBER(INDEX($E$9:$E$2008,$W188)),INDEX($E$9:$E$2008,$W188),VALUE(SUBSTITUTE(INDEX($E$9:$E$2008,$W188),",",""))),""))</f>
        <v/>
      </c>
      <c r="AD188" s="29">
        <f>IF($W188="","",IFERROR(IF(ISNUMBER(INDEX($F$9:$F$2008,$W188)),INDEX($F$9:$F$2008,$W188),VALUE(SUBSTITUTE(INDEX($F$9:$F$2008,$W188),",",""))),""))</f>
        <v/>
      </c>
      <c r="AE188" s="29">
        <f>IF($W188="","",IFERROR(IF(ISNUMBER(INDEX($G$9:$G$2008,$W188)),INDEX($G$9:$G$2008,$W188),VALUE(SUBSTITUTE(INDEX($G$9:$G$2008,$W188),",",""))),""))</f>
        <v/>
      </c>
      <c r="AF188" s="29">
        <f>IF($W188="","",IFERROR(IF(ISNUMBER(INDEX($H$9:$H$2008,$W188)),INDEX($H$9:$H$2008,$W188),VALUE(SUBSTITUTE(INDEX($H$9:$H$2008,$W188),",",""))),""))</f>
        <v/>
      </c>
      <c r="AG188" s="29">
        <f>IF($W188="","",IFERROR(IF(ISNUMBER(INDEX($I$9:$I$2008,$W188)),INDEX($I$9:$I$2008,$W188),VALUE(SUBSTITUTE(INDEX($I$9:$I$2008,$W188),",",""))),""))</f>
        <v/>
      </c>
      <c r="AH188" s="29">
        <f>IF($W188="","",IFERROR(IF(ISNUMBER(INDEX($J$9:$J$2008,$W188)),INDEX($J$9:$J$2008,$W188),VALUE(SUBSTITUTE(INDEX($J$9:$J$2008,$W188),",",""))),""))</f>
        <v/>
      </c>
      <c r="AI188" s="29">
        <f>IF($W188="","",IFERROR(IF(ISNUMBER(INDEX($K$9:$K$2008,$W188)),INDEX($K$9:$K$2008,$W188),VALUE(SUBSTITUTE(INDEX($K$9:$K$2008,$W188),",",""))),""))</f>
        <v/>
      </c>
      <c r="AJ188" s="30">
        <f>IF($W188="","",IFERROR(IF(ISNUMBER(INDEX($L$9:$L$2008,$W188)),INDEX($L$9:$L$2008,$W188),VALUE(SUBSTITUTE(INDEX($L$9:$L$2008,$W188),",",""))),""))</f>
        <v/>
      </c>
      <c r="AK188" s="30">
        <f>IF($W188="","",IFERROR(IF(ISNUMBER(INDEX($M$9:$M$2008,$W188)),INDEX($M$9:$M$2008,$W188),VALUE(SUBSTITUTE(INDEX($M$9:$M$2008,$W188),",",""))),""))</f>
        <v/>
      </c>
      <c r="AL188" s="31">
        <f>IF($W188="","",IFERROR(IF(ISNUMBER(INDEX($P$9:$P$2008,$W188)),INDEX($P$9:$P$2008,$W188),VALUE(SUBSTITUTE(INDEX($P$9:$P$2008,$W188),"%",""))/100),""))</f>
        <v/>
      </c>
    </row>
    <row r="189">
      <c r="S189">
        <f>IF(AND(ISTEXT($A189),ISNUMBER(SEARCH(" - ",$A189)),ISERROR(SEARCH("Folio",$A189)),$D189=""),TRIM($A189),$S188)</f>
        <v/>
      </c>
      <c r="T189">
        <f>IF(AND(ISNUMBER(SEARCH("Folio",$A189)),$D189&lt;&gt;""),1,"")</f>
        <v/>
      </c>
      <c r="U189">
        <f>IF($T189=1,COUNTIF($T$9:$T189,1),"")</f>
        <v/>
      </c>
      <c r="V189">
        <f>IF(AND(ISTEXT($A189),LEFT($A190,3)="Pan"),1,"")</f>
        <v/>
      </c>
      <c r="W189" s="21">
        <f>IFERROR(MATCH(181,$U$9:$U$2008,0),"")</f>
        <v/>
      </c>
      <c r="X189" s="22">
        <f>IF($W189="","",IF($R$5&lt;&gt;"",$R$5,$R$6))</f>
        <v/>
      </c>
      <c r="Y189" s="22">
        <f>IF($W189="","",INDEX($S$9:$S$2008,$W189))</f>
        <v/>
      </c>
      <c r="Z189" s="22">
        <f>IF($W189="","",IFERROR(TRIM(LEFT(SUBSTITUTE(INDEX($A$9:$A$2008,$W189),CHAR(10)," "),SEARCH("Folio",SUBSTITUTE(INDEX($A$9:$A$2008,$W189),CHAR(10)," "))-1)),TRIM(SUBSTITUTE(INDEX($A$9:$A$2008,$W189),CHAR(10)," "))))</f>
        <v/>
      </c>
      <c r="AA189" s="22">
        <f>IF($W189="","",IFERROR(TRIM(SUBSTITUTE(MID(SUBSTITUTE(INDEX($A$9:$A$2008,$W189),CHAR(10)," "),SEARCH("Folio",SUBSTITUTE(INDEX($A$9:$A$2008,$W189),CHAR(10)," "))+5,200),":","")),""))</f>
        <v/>
      </c>
      <c r="AB189" s="23">
        <f>IF($W189="","",IF(ISNUMBER(INDEX($D$9:$D$2008,$W189)),INDEX($D$9:$D$2008,$W189),IFERROR(DATE(2000+VALUE(RIGHT(INDEX($D$9:$D$2008,$W189),2)),VALUE(MID(INDEX($D$9:$D$2008,$W189),4,2)),VALUE(LEFT(INDEX($D$9:$D$2008,$W189),2))),"")))</f>
        <v/>
      </c>
      <c r="AC189" s="24">
        <f>IF($W189="","",IFERROR(IF(ISNUMBER(INDEX($E$9:$E$2008,$W189)),INDEX($E$9:$E$2008,$W189),VALUE(SUBSTITUTE(INDEX($E$9:$E$2008,$W189),",",""))),""))</f>
        <v/>
      </c>
      <c r="AD189" s="24">
        <f>IF($W189="","",IFERROR(IF(ISNUMBER(INDEX($F$9:$F$2008,$W189)),INDEX($F$9:$F$2008,$W189),VALUE(SUBSTITUTE(INDEX($F$9:$F$2008,$W189),",",""))),""))</f>
        <v/>
      </c>
      <c r="AE189" s="24">
        <f>IF($W189="","",IFERROR(IF(ISNUMBER(INDEX($G$9:$G$2008,$W189)),INDEX($G$9:$G$2008,$W189),VALUE(SUBSTITUTE(INDEX($G$9:$G$2008,$W189),",",""))),""))</f>
        <v/>
      </c>
      <c r="AF189" s="24">
        <f>IF($W189="","",IFERROR(IF(ISNUMBER(INDEX($H$9:$H$2008,$W189)),INDEX($H$9:$H$2008,$W189),VALUE(SUBSTITUTE(INDEX($H$9:$H$2008,$W189),",",""))),""))</f>
        <v/>
      </c>
      <c r="AG189" s="24">
        <f>IF($W189="","",IFERROR(IF(ISNUMBER(INDEX($I$9:$I$2008,$W189)),INDEX($I$9:$I$2008,$W189),VALUE(SUBSTITUTE(INDEX($I$9:$I$2008,$W189),",",""))),""))</f>
        <v/>
      </c>
      <c r="AH189" s="24">
        <f>IF($W189="","",IFERROR(IF(ISNUMBER(INDEX($J$9:$J$2008,$W189)),INDEX($J$9:$J$2008,$W189),VALUE(SUBSTITUTE(INDEX($J$9:$J$2008,$W189),",",""))),""))</f>
        <v/>
      </c>
      <c r="AI189" s="24">
        <f>IF($W189="","",IFERROR(IF(ISNUMBER(INDEX($K$9:$K$2008,$W189)),INDEX($K$9:$K$2008,$W189),VALUE(SUBSTITUTE(INDEX($K$9:$K$2008,$W189),",",""))),""))</f>
        <v/>
      </c>
      <c r="AJ189" s="25">
        <f>IF($W189="","",IFERROR(IF(ISNUMBER(INDEX($L$9:$L$2008,$W189)),INDEX($L$9:$L$2008,$W189),VALUE(SUBSTITUTE(INDEX($L$9:$L$2008,$W189),",",""))),""))</f>
        <v/>
      </c>
      <c r="AK189" s="25">
        <f>IF($W189="","",IFERROR(IF(ISNUMBER(INDEX($M$9:$M$2008,$W189)),INDEX($M$9:$M$2008,$W189),VALUE(SUBSTITUTE(INDEX($M$9:$M$2008,$W189),",",""))),""))</f>
        <v/>
      </c>
      <c r="AL189" s="26">
        <f>IF($W189="","",IFERROR(IF(ISNUMBER(INDEX($P$9:$P$2008,$W189)),INDEX($P$9:$P$2008,$W189),VALUE(SUBSTITUTE(INDEX($P$9:$P$2008,$W189),"%",""))/100),""))</f>
        <v/>
      </c>
    </row>
    <row r="190">
      <c r="S190">
        <f>IF(AND(ISTEXT($A190),ISNUMBER(SEARCH(" - ",$A190)),ISERROR(SEARCH("Folio",$A190)),$D190=""),TRIM($A190),$S189)</f>
        <v/>
      </c>
      <c r="T190">
        <f>IF(AND(ISNUMBER(SEARCH("Folio",$A190)),$D190&lt;&gt;""),1,"")</f>
        <v/>
      </c>
      <c r="U190">
        <f>IF($T190=1,COUNTIF($T$9:$T190,1),"")</f>
        <v/>
      </c>
      <c r="V190">
        <f>IF(AND(ISTEXT($A190),LEFT($A191,3)="Pan"),1,"")</f>
        <v/>
      </c>
      <c r="W190" s="21">
        <f>IFERROR(MATCH(182,$U$9:$U$2008,0),"")</f>
        <v/>
      </c>
      <c r="X190" s="27">
        <f>IF($W190="","",IF($R$5&lt;&gt;"",$R$5,$R$6))</f>
        <v/>
      </c>
      <c r="Y190" s="27">
        <f>IF($W190="","",INDEX($S$9:$S$2008,$W190))</f>
        <v/>
      </c>
      <c r="Z190" s="27">
        <f>IF($W190="","",IFERROR(TRIM(LEFT(SUBSTITUTE(INDEX($A$9:$A$2008,$W190),CHAR(10)," "),SEARCH("Folio",SUBSTITUTE(INDEX($A$9:$A$2008,$W190),CHAR(10)," "))-1)),TRIM(SUBSTITUTE(INDEX($A$9:$A$2008,$W190),CHAR(10)," "))))</f>
        <v/>
      </c>
      <c r="AA190" s="27">
        <f>IF($W190="","",IFERROR(TRIM(SUBSTITUTE(MID(SUBSTITUTE(INDEX($A$9:$A$2008,$W190),CHAR(10)," "),SEARCH("Folio",SUBSTITUTE(INDEX($A$9:$A$2008,$W190),CHAR(10)," "))+5,200),":","")),""))</f>
        <v/>
      </c>
      <c r="AB190" s="28">
        <f>IF($W190="","",IF(ISNUMBER(INDEX($D$9:$D$2008,$W190)),INDEX($D$9:$D$2008,$W190),IFERROR(DATE(2000+VALUE(RIGHT(INDEX($D$9:$D$2008,$W190),2)),VALUE(MID(INDEX($D$9:$D$2008,$W190),4,2)),VALUE(LEFT(INDEX($D$9:$D$2008,$W190),2))),"")))</f>
        <v/>
      </c>
      <c r="AC190" s="29">
        <f>IF($W190="","",IFERROR(IF(ISNUMBER(INDEX($E$9:$E$2008,$W190)),INDEX($E$9:$E$2008,$W190),VALUE(SUBSTITUTE(INDEX($E$9:$E$2008,$W190),",",""))),""))</f>
        <v/>
      </c>
      <c r="AD190" s="29">
        <f>IF($W190="","",IFERROR(IF(ISNUMBER(INDEX($F$9:$F$2008,$W190)),INDEX($F$9:$F$2008,$W190),VALUE(SUBSTITUTE(INDEX($F$9:$F$2008,$W190),",",""))),""))</f>
        <v/>
      </c>
      <c r="AE190" s="29">
        <f>IF($W190="","",IFERROR(IF(ISNUMBER(INDEX($G$9:$G$2008,$W190)),INDEX($G$9:$G$2008,$W190),VALUE(SUBSTITUTE(INDEX($G$9:$G$2008,$W190),",",""))),""))</f>
        <v/>
      </c>
      <c r="AF190" s="29">
        <f>IF($W190="","",IFERROR(IF(ISNUMBER(INDEX($H$9:$H$2008,$W190)),INDEX($H$9:$H$2008,$W190),VALUE(SUBSTITUTE(INDEX($H$9:$H$2008,$W190),",",""))),""))</f>
        <v/>
      </c>
      <c r="AG190" s="29">
        <f>IF($W190="","",IFERROR(IF(ISNUMBER(INDEX($I$9:$I$2008,$W190)),INDEX($I$9:$I$2008,$W190),VALUE(SUBSTITUTE(INDEX($I$9:$I$2008,$W190),",",""))),""))</f>
        <v/>
      </c>
      <c r="AH190" s="29">
        <f>IF($W190="","",IFERROR(IF(ISNUMBER(INDEX($J$9:$J$2008,$W190)),INDEX($J$9:$J$2008,$W190),VALUE(SUBSTITUTE(INDEX($J$9:$J$2008,$W190),",",""))),""))</f>
        <v/>
      </c>
      <c r="AI190" s="29">
        <f>IF($W190="","",IFERROR(IF(ISNUMBER(INDEX($K$9:$K$2008,$W190)),INDEX($K$9:$K$2008,$W190),VALUE(SUBSTITUTE(INDEX($K$9:$K$2008,$W190),",",""))),""))</f>
        <v/>
      </c>
      <c r="AJ190" s="30">
        <f>IF($W190="","",IFERROR(IF(ISNUMBER(INDEX($L$9:$L$2008,$W190)),INDEX($L$9:$L$2008,$W190),VALUE(SUBSTITUTE(INDEX($L$9:$L$2008,$W190),",",""))),""))</f>
        <v/>
      </c>
      <c r="AK190" s="30">
        <f>IF($W190="","",IFERROR(IF(ISNUMBER(INDEX($M$9:$M$2008,$W190)),INDEX($M$9:$M$2008,$W190),VALUE(SUBSTITUTE(INDEX($M$9:$M$2008,$W190),",",""))),""))</f>
        <v/>
      </c>
      <c r="AL190" s="31">
        <f>IF($W190="","",IFERROR(IF(ISNUMBER(INDEX($P$9:$P$2008,$W190)),INDEX($P$9:$P$2008,$W190),VALUE(SUBSTITUTE(INDEX($P$9:$P$2008,$W190),"%",""))/100),""))</f>
        <v/>
      </c>
    </row>
    <row r="191">
      <c r="S191">
        <f>IF(AND(ISTEXT($A191),ISNUMBER(SEARCH(" - ",$A191)),ISERROR(SEARCH("Folio",$A191)),$D191=""),TRIM($A191),$S190)</f>
        <v/>
      </c>
      <c r="T191">
        <f>IF(AND(ISNUMBER(SEARCH("Folio",$A191)),$D191&lt;&gt;""),1,"")</f>
        <v/>
      </c>
      <c r="U191">
        <f>IF($T191=1,COUNTIF($T$9:$T191,1),"")</f>
        <v/>
      </c>
      <c r="V191">
        <f>IF(AND(ISTEXT($A191),LEFT($A192,3)="Pan"),1,"")</f>
        <v/>
      </c>
      <c r="W191" s="21">
        <f>IFERROR(MATCH(183,$U$9:$U$2008,0),"")</f>
        <v/>
      </c>
      <c r="X191" s="22">
        <f>IF($W191="","",IF($R$5&lt;&gt;"",$R$5,$R$6))</f>
        <v/>
      </c>
      <c r="Y191" s="22">
        <f>IF($W191="","",INDEX($S$9:$S$2008,$W191))</f>
        <v/>
      </c>
      <c r="Z191" s="22">
        <f>IF($W191="","",IFERROR(TRIM(LEFT(SUBSTITUTE(INDEX($A$9:$A$2008,$W191),CHAR(10)," "),SEARCH("Folio",SUBSTITUTE(INDEX($A$9:$A$2008,$W191),CHAR(10)," "))-1)),TRIM(SUBSTITUTE(INDEX($A$9:$A$2008,$W191),CHAR(10)," "))))</f>
        <v/>
      </c>
      <c r="AA191" s="22">
        <f>IF($W191="","",IFERROR(TRIM(SUBSTITUTE(MID(SUBSTITUTE(INDEX($A$9:$A$2008,$W191),CHAR(10)," "),SEARCH("Folio",SUBSTITUTE(INDEX($A$9:$A$2008,$W191),CHAR(10)," "))+5,200),":","")),""))</f>
        <v/>
      </c>
      <c r="AB191" s="23">
        <f>IF($W191="","",IF(ISNUMBER(INDEX($D$9:$D$2008,$W191)),INDEX($D$9:$D$2008,$W191),IFERROR(DATE(2000+VALUE(RIGHT(INDEX($D$9:$D$2008,$W191),2)),VALUE(MID(INDEX($D$9:$D$2008,$W191),4,2)),VALUE(LEFT(INDEX($D$9:$D$2008,$W191),2))),"")))</f>
        <v/>
      </c>
      <c r="AC191" s="24">
        <f>IF($W191="","",IFERROR(IF(ISNUMBER(INDEX($E$9:$E$2008,$W191)),INDEX($E$9:$E$2008,$W191),VALUE(SUBSTITUTE(INDEX($E$9:$E$2008,$W191),",",""))),""))</f>
        <v/>
      </c>
      <c r="AD191" s="24">
        <f>IF($W191="","",IFERROR(IF(ISNUMBER(INDEX($F$9:$F$2008,$W191)),INDEX($F$9:$F$2008,$W191),VALUE(SUBSTITUTE(INDEX($F$9:$F$2008,$W191),",",""))),""))</f>
        <v/>
      </c>
      <c r="AE191" s="24">
        <f>IF($W191="","",IFERROR(IF(ISNUMBER(INDEX($G$9:$G$2008,$W191)),INDEX($G$9:$G$2008,$W191),VALUE(SUBSTITUTE(INDEX($G$9:$G$2008,$W191),",",""))),""))</f>
        <v/>
      </c>
      <c r="AF191" s="24">
        <f>IF($W191="","",IFERROR(IF(ISNUMBER(INDEX($H$9:$H$2008,$W191)),INDEX($H$9:$H$2008,$W191),VALUE(SUBSTITUTE(INDEX($H$9:$H$2008,$W191),",",""))),""))</f>
        <v/>
      </c>
      <c r="AG191" s="24">
        <f>IF($W191="","",IFERROR(IF(ISNUMBER(INDEX($I$9:$I$2008,$W191)),INDEX($I$9:$I$2008,$W191),VALUE(SUBSTITUTE(INDEX($I$9:$I$2008,$W191),",",""))),""))</f>
        <v/>
      </c>
      <c r="AH191" s="24">
        <f>IF($W191="","",IFERROR(IF(ISNUMBER(INDEX($J$9:$J$2008,$W191)),INDEX($J$9:$J$2008,$W191),VALUE(SUBSTITUTE(INDEX($J$9:$J$2008,$W191),",",""))),""))</f>
        <v/>
      </c>
      <c r="AI191" s="24">
        <f>IF($W191="","",IFERROR(IF(ISNUMBER(INDEX($K$9:$K$2008,$W191)),INDEX($K$9:$K$2008,$W191),VALUE(SUBSTITUTE(INDEX($K$9:$K$2008,$W191),",",""))),""))</f>
        <v/>
      </c>
      <c r="AJ191" s="25">
        <f>IF($W191="","",IFERROR(IF(ISNUMBER(INDEX($L$9:$L$2008,$W191)),INDEX($L$9:$L$2008,$W191),VALUE(SUBSTITUTE(INDEX($L$9:$L$2008,$W191),",",""))),""))</f>
        <v/>
      </c>
      <c r="AK191" s="25">
        <f>IF($W191="","",IFERROR(IF(ISNUMBER(INDEX($M$9:$M$2008,$W191)),INDEX($M$9:$M$2008,$W191),VALUE(SUBSTITUTE(INDEX($M$9:$M$2008,$W191),",",""))),""))</f>
        <v/>
      </c>
      <c r="AL191" s="26">
        <f>IF($W191="","",IFERROR(IF(ISNUMBER(INDEX($P$9:$P$2008,$W191)),INDEX($P$9:$P$2008,$W191),VALUE(SUBSTITUTE(INDEX($P$9:$P$2008,$W191),"%",""))/100),""))</f>
        <v/>
      </c>
    </row>
    <row r="192">
      <c r="S192">
        <f>IF(AND(ISTEXT($A192),ISNUMBER(SEARCH(" - ",$A192)),ISERROR(SEARCH("Folio",$A192)),$D192=""),TRIM($A192),$S191)</f>
        <v/>
      </c>
      <c r="T192">
        <f>IF(AND(ISNUMBER(SEARCH("Folio",$A192)),$D192&lt;&gt;""),1,"")</f>
        <v/>
      </c>
      <c r="U192">
        <f>IF($T192=1,COUNTIF($T$9:$T192,1),"")</f>
        <v/>
      </c>
      <c r="V192">
        <f>IF(AND(ISTEXT($A192),LEFT($A193,3)="Pan"),1,"")</f>
        <v/>
      </c>
      <c r="W192" s="21">
        <f>IFERROR(MATCH(184,$U$9:$U$2008,0),"")</f>
        <v/>
      </c>
      <c r="X192" s="27">
        <f>IF($W192="","",IF($R$5&lt;&gt;"",$R$5,$R$6))</f>
        <v/>
      </c>
      <c r="Y192" s="27">
        <f>IF($W192="","",INDEX($S$9:$S$2008,$W192))</f>
        <v/>
      </c>
      <c r="Z192" s="27">
        <f>IF($W192="","",IFERROR(TRIM(LEFT(SUBSTITUTE(INDEX($A$9:$A$2008,$W192),CHAR(10)," "),SEARCH("Folio",SUBSTITUTE(INDEX($A$9:$A$2008,$W192),CHAR(10)," "))-1)),TRIM(SUBSTITUTE(INDEX($A$9:$A$2008,$W192),CHAR(10)," "))))</f>
        <v/>
      </c>
      <c r="AA192" s="27">
        <f>IF($W192="","",IFERROR(TRIM(SUBSTITUTE(MID(SUBSTITUTE(INDEX($A$9:$A$2008,$W192),CHAR(10)," "),SEARCH("Folio",SUBSTITUTE(INDEX($A$9:$A$2008,$W192),CHAR(10)," "))+5,200),":","")),""))</f>
        <v/>
      </c>
      <c r="AB192" s="28">
        <f>IF($W192="","",IF(ISNUMBER(INDEX($D$9:$D$2008,$W192)),INDEX($D$9:$D$2008,$W192),IFERROR(DATE(2000+VALUE(RIGHT(INDEX($D$9:$D$2008,$W192),2)),VALUE(MID(INDEX($D$9:$D$2008,$W192),4,2)),VALUE(LEFT(INDEX($D$9:$D$2008,$W192),2))),"")))</f>
        <v/>
      </c>
      <c r="AC192" s="29">
        <f>IF($W192="","",IFERROR(IF(ISNUMBER(INDEX($E$9:$E$2008,$W192)),INDEX($E$9:$E$2008,$W192),VALUE(SUBSTITUTE(INDEX($E$9:$E$2008,$W192),",",""))),""))</f>
        <v/>
      </c>
      <c r="AD192" s="29">
        <f>IF($W192="","",IFERROR(IF(ISNUMBER(INDEX($F$9:$F$2008,$W192)),INDEX($F$9:$F$2008,$W192),VALUE(SUBSTITUTE(INDEX($F$9:$F$2008,$W192),",",""))),""))</f>
        <v/>
      </c>
      <c r="AE192" s="29">
        <f>IF($W192="","",IFERROR(IF(ISNUMBER(INDEX($G$9:$G$2008,$W192)),INDEX($G$9:$G$2008,$W192),VALUE(SUBSTITUTE(INDEX($G$9:$G$2008,$W192),",",""))),""))</f>
        <v/>
      </c>
      <c r="AF192" s="29">
        <f>IF($W192="","",IFERROR(IF(ISNUMBER(INDEX($H$9:$H$2008,$W192)),INDEX($H$9:$H$2008,$W192),VALUE(SUBSTITUTE(INDEX($H$9:$H$2008,$W192),",",""))),""))</f>
        <v/>
      </c>
      <c r="AG192" s="29">
        <f>IF($W192="","",IFERROR(IF(ISNUMBER(INDEX($I$9:$I$2008,$W192)),INDEX($I$9:$I$2008,$W192),VALUE(SUBSTITUTE(INDEX($I$9:$I$2008,$W192),",",""))),""))</f>
        <v/>
      </c>
      <c r="AH192" s="29">
        <f>IF($W192="","",IFERROR(IF(ISNUMBER(INDEX($J$9:$J$2008,$W192)),INDEX($J$9:$J$2008,$W192),VALUE(SUBSTITUTE(INDEX($J$9:$J$2008,$W192),",",""))),""))</f>
        <v/>
      </c>
      <c r="AI192" s="29">
        <f>IF($W192="","",IFERROR(IF(ISNUMBER(INDEX($K$9:$K$2008,$W192)),INDEX($K$9:$K$2008,$W192),VALUE(SUBSTITUTE(INDEX($K$9:$K$2008,$W192),",",""))),""))</f>
        <v/>
      </c>
      <c r="AJ192" s="30">
        <f>IF($W192="","",IFERROR(IF(ISNUMBER(INDEX($L$9:$L$2008,$W192)),INDEX($L$9:$L$2008,$W192),VALUE(SUBSTITUTE(INDEX($L$9:$L$2008,$W192),",",""))),""))</f>
        <v/>
      </c>
      <c r="AK192" s="30">
        <f>IF($W192="","",IFERROR(IF(ISNUMBER(INDEX($M$9:$M$2008,$W192)),INDEX($M$9:$M$2008,$W192),VALUE(SUBSTITUTE(INDEX($M$9:$M$2008,$W192),",",""))),""))</f>
        <v/>
      </c>
      <c r="AL192" s="31">
        <f>IF($W192="","",IFERROR(IF(ISNUMBER(INDEX($P$9:$P$2008,$W192)),INDEX($P$9:$P$2008,$W192),VALUE(SUBSTITUTE(INDEX($P$9:$P$2008,$W192),"%",""))/100),""))</f>
        <v/>
      </c>
    </row>
    <row r="193">
      <c r="S193">
        <f>IF(AND(ISTEXT($A193),ISNUMBER(SEARCH(" - ",$A193)),ISERROR(SEARCH("Folio",$A193)),$D193=""),TRIM($A193),$S192)</f>
        <v/>
      </c>
      <c r="T193">
        <f>IF(AND(ISNUMBER(SEARCH("Folio",$A193)),$D193&lt;&gt;""),1,"")</f>
        <v/>
      </c>
      <c r="U193">
        <f>IF($T193=1,COUNTIF($T$9:$T193,1),"")</f>
        <v/>
      </c>
      <c r="V193">
        <f>IF(AND(ISTEXT($A193),LEFT($A194,3)="Pan"),1,"")</f>
        <v/>
      </c>
      <c r="W193" s="21">
        <f>IFERROR(MATCH(185,$U$9:$U$2008,0),"")</f>
        <v/>
      </c>
      <c r="X193" s="22">
        <f>IF($W193="","",IF($R$5&lt;&gt;"",$R$5,$R$6))</f>
        <v/>
      </c>
      <c r="Y193" s="22">
        <f>IF($W193="","",INDEX($S$9:$S$2008,$W193))</f>
        <v/>
      </c>
      <c r="Z193" s="22">
        <f>IF($W193="","",IFERROR(TRIM(LEFT(SUBSTITUTE(INDEX($A$9:$A$2008,$W193),CHAR(10)," "),SEARCH("Folio",SUBSTITUTE(INDEX($A$9:$A$2008,$W193),CHAR(10)," "))-1)),TRIM(SUBSTITUTE(INDEX($A$9:$A$2008,$W193),CHAR(10)," "))))</f>
        <v/>
      </c>
      <c r="AA193" s="22">
        <f>IF($W193="","",IFERROR(TRIM(SUBSTITUTE(MID(SUBSTITUTE(INDEX($A$9:$A$2008,$W193),CHAR(10)," "),SEARCH("Folio",SUBSTITUTE(INDEX($A$9:$A$2008,$W193),CHAR(10)," "))+5,200),":","")),""))</f>
        <v/>
      </c>
      <c r="AB193" s="23">
        <f>IF($W193="","",IF(ISNUMBER(INDEX($D$9:$D$2008,$W193)),INDEX($D$9:$D$2008,$W193),IFERROR(DATE(2000+VALUE(RIGHT(INDEX($D$9:$D$2008,$W193),2)),VALUE(MID(INDEX($D$9:$D$2008,$W193),4,2)),VALUE(LEFT(INDEX($D$9:$D$2008,$W193),2))),"")))</f>
        <v/>
      </c>
      <c r="AC193" s="24">
        <f>IF($W193="","",IFERROR(IF(ISNUMBER(INDEX($E$9:$E$2008,$W193)),INDEX($E$9:$E$2008,$W193),VALUE(SUBSTITUTE(INDEX($E$9:$E$2008,$W193),",",""))),""))</f>
        <v/>
      </c>
      <c r="AD193" s="24">
        <f>IF($W193="","",IFERROR(IF(ISNUMBER(INDEX($F$9:$F$2008,$W193)),INDEX($F$9:$F$2008,$W193),VALUE(SUBSTITUTE(INDEX($F$9:$F$2008,$W193),",",""))),""))</f>
        <v/>
      </c>
      <c r="AE193" s="24">
        <f>IF($W193="","",IFERROR(IF(ISNUMBER(INDEX($G$9:$G$2008,$W193)),INDEX($G$9:$G$2008,$W193),VALUE(SUBSTITUTE(INDEX($G$9:$G$2008,$W193),",",""))),""))</f>
        <v/>
      </c>
      <c r="AF193" s="24">
        <f>IF($W193="","",IFERROR(IF(ISNUMBER(INDEX($H$9:$H$2008,$W193)),INDEX($H$9:$H$2008,$W193),VALUE(SUBSTITUTE(INDEX($H$9:$H$2008,$W193),",",""))),""))</f>
        <v/>
      </c>
      <c r="AG193" s="24">
        <f>IF($W193="","",IFERROR(IF(ISNUMBER(INDEX($I$9:$I$2008,$W193)),INDEX($I$9:$I$2008,$W193),VALUE(SUBSTITUTE(INDEX($I$9:$I$2008,$W193),",",""))),""))</f>
        <v/>
      </c>
      <c r="AH193" s="24">
        <f>IF($W193="","",IFERROR(IF(ISNUMBER(INDEX($J$9:$J$2008,$W193)),INDEX($J$9:$J$2008,$W193),VALUE(SUBSTITUTE(INDEX($J$9:$J$2008,$W193),",",""))),""))</f>
        <v/>
      </c>
      <c r="AI193" s="24">
        <f>IF($W193="","",IFERROR(IF(ISNUMBER(INDEX($K$9:$K$2008,$W193)),INDEX($K$9:$K$2008,$W193),VALUE(SUBSTITUTE(INDEX($K$9:$K$2008,$W193),",",""))),""))</f>
        <v/>
      </c>
      <c r="AJ193" s="25">
        <f>IF($W193="","",IFERROR(IF(ISNUMBER(INDEX($L$9:$L$2008,$W193)),INDEX($L$9:$L$2008,$W193),VALUE(SUBSTITUTE(INDEX($L$9:$L$2008,$W193),",",""))),""))</f>
        <v/>
      </c>
      <c r="AK193" s="25">
        <f>IF($W193="","",IFERROR(IF(ISNUMBER(INDEX($M$9:$M$2008,$W193)),INDEX($M$9:$M$2008,$W193),VALUE(SUBSTITUTE(INDEX($M$9:$M$2008,$W193),",",""))),""))</f>
        <v/>
      </c>
      <c r="AL193" s="26">
        <f>IF($W193="","",IFERROR(IF(ISNUMBER(INDEX($P$9:$P$2008,$W193)),INDEX($P$9:$P$2008,$W193),VALUE(SUBSTITUTE(INDEX($P$9:$P$2008,$W193),"%",""))/100),""))</f>
        <v/>
      </c>
    </row>
    <row r="194">
      <c r="S194">
        <f>IF(AND(ISTEXT($A194),ISNUMBER(SEARCH(" - ",$A194)),ISERROR(SEARCH("Folio",$A194)),$D194=""),TRIM($A194),$S193)</f>
        <v/>
      </c>
      <c r="T194">
        <f>IF(AND(ISNUMBER(SEARCH("Folio",$A194)),$D194&lt;&gt;""),1,"")</f>
        <v/>
      </c>
      <c r="U194">
        <f>IF($T194=1,COUNTIF($T$9:$T194,1),"")</f>
        <v/>
      </c>
      <c r="V194">
        <f>IF(AND(ISTEXT($A194),LEFT($A195,3)="Pan"),1,"")</f>
        <v/>
      </c>
      <c r="W194" s="21">
        <f>IFERROR(MATCH(186,$U$9:$U$2008,0),"")</f>
        <v/>
      </c>
      <c r="X194" s="27">
        <f>IF($W194="","",IF($R$5&lt;&gt;"",$R$5,$R$6))</f>
        <v/>
      </c>
      <c r="Y194" s="27">
        <f>IF($W194="","",INDEX($S$9:$S$2008,$W194))</f>
        <v/>
      </c>
      <c r="Z194" s="27">
        <f>IF($W194="","",IFERROR(TRIM(LEFT(SUBSTITUTE(INDEX($A$9:$A$2008,$W194),CHAR(10)," "),SEARCH("Folio",SUBSTITUTE(INDEX($A$9:$A$2008,$W194),CHAR(10)," "))-1)),TRIM(SUBSTITUTE(INDEX($A$9:$A$2008,$W194),CHAR(10)," "))))</f>
        <v/>
      </c>
      <c r="AA194" s="27">
        <f>IF($W194="","",IFERROR(TRIM(SUBSTITUTE(MID(SUBSTITUTE(INDEX($A$9:$A$2008,$W194),CHAR(10)," "),SEARCH("Folio",SUBSTITUTE(INDEX($A$9:$A$2008,$W194),CHAR(10)," "))+5,200),":","")),""))</f>
        <v/>
      </c>
      <c r="AB194" s="28">
        <f>IF($W194="","",IF(ISNUMBER(INDEX($D$9:$D$2008,$W194)),INDEX($D$9:$D$2008,$W194),IFERROR(DATE(2000+VALUE(RIGHT(INDEX($D$9:$D$2008,$W194),2)),VALUE(MID(INDEX($D$9:$D$2008,$W194),4,2)),VALUE(LEFT(INDEX($D$9:$D$2008,$W194),2))),"")))</f>
        <v/>
      </c>
      <c r="AC194" s="29">
        <f>IF($W194="","",IFERROR(IF(ISNUMBER(INDEX($E$9:$E$2008,$W194)),INDEX($E$9:$E$2008,$W194),VALUE(SUBSTITUTE(INDEX($E$9:$E$2008,$W194),",",""))),""))</f>
        <v/>
      </c>
      <c r="AD194" s="29">
        <f>IF($W194="","",IFERROR(IF(ISNUMBER(INDEX($F$9:$F$2008,$W194)),INDEX($F$9:$F$2008,$W194),VALUE(SUBSTITUTE(INDEX($F$9:$F$2008,$W194),",",""))),""))</f>
        <v/>
      </c>
      <c r="AE194" s="29">
        <f>IF($W194="","",IFERROR(IF(ISNUMBER(INDEX($G$9:$G$2008,$W194)),INDEX($G$9:$G$2008,$W194),VALUE(SUBSTITUTE(INDEX($G$9:$G$2008,$W194),",",""))),""))</f>
        <v/>
      </c>
      <c r="AF194" s="29">
        <f>IF($W194="","",IFERROR(IF(ISNUMBER(INDEX($H$9:$H$2008,$W194)),INDEX($H$9:$H$2008,$W194),VALUE(SUBSTITUTE(INDEX($H$9:$H$2008,$W194),",",""))),""))</f>
        <v/>
      </c>
      <c r="AG194" s="29">
        <f>IF($W194="","",IFERROR(IF(ISNUMBER(INDEX($I$9:$I$2008,$W194)),INDEX($I$9:$I$2008,$W194),VALUE(SUBSTITUTE(INDEX($I$9:$I$2008,$W194),",",""))),""))</f>
        <v/>
      </c>
      <c r="AH194" s="29">
        <f>IF($W194="","",IFERROR(IF(ISNUMBER(INDEX($J$9:$J$2008,$W194)),INDEX($J$9:$J$2008,$W194),VALUE(SUBSTITUTE(INDEX($J$9:$J$2008,$W194),",",""))),""))</f>
        <v/>
      </c>
      <c r="AI194" s="29">
        <f>IF($W194="","",IFERROR(IF(ISNUMBER(INDEX($K$9:$K$2008,$W194)),INDEX($K$9:$K$2008,$W194),VALUE(SUBSTITUTE(INDEX($K$9:$K$2008,$W194),",",""))),""))</f>
        <v/>
      </c>
      <c r="AJ194" s="30">
        <f>IF($W194="","",IFERROR(IF(ISNUMBER(INDEX($L$9:$L$2008,$W194)),INDEX($L$9:$L$2008,$W194),VALUE(SUBSTITUTE(INDEX($L$9:$L$2008,$W194),",",""))),""))</f>
        <v/>
      </c>
      <c r="AK194" s="30">
        <f>IF($W194="","",IFERROR(IF(ISNUMBER(INDEX($M$9:$M$2008,$W194)),INDEX($M$9:$M$2008,$W194),VALUE(SUBSTITUTE(INDEX($M$9:$M$2008,$W194),",",""))),""))</f>
        <v/>
      </c>
      <c r="AL194" s="31">
        <f>IF($W194="","",IFERROR(IF(ISNUMBER(INDEX($P$9:$P$2008,$W194)),INDEX($P$9:$P$2008,$W194),VALUE(SUBSTITUTE(INDEX($P$9:$P$2008,$W194),"%",""))/100),""))</f>
        <v/>
      </c>
    </row>
    <row r="195">
      <c r="S195">
        <f>IF(AND(ISTEXT($A195),ISNUMBER(SEARCH(" - ",$A195)),ISERROR(SEARCH("Folio",$A195)),$D195=""),TRIM($A195),$S194)</f>
        <v/>
      </c>
      <c r="T195">
        <f>IF(AND(ISNUMBER(SEARCH("Folio",$A195)),$D195&lt;&gt;""),1,"")</f>
        <v/>
      </c>
      <c r="U195">
        <f>IF($T195=1,COUNTIF($T$9:$T195,1),"")</f>
        <v/>
      </c>
      <c r="V195">
        <f>IF(AND(ISTEXT($A195),LEFT($A196,3)="Pan"),1,"")</f>
        <v/>
      </c>
      <c r="W195" s="21">
        <f>IFERROR(MATCH(187,$U$9:$U$2008,0),"")</f>
        <v/>
      </c>
      <c r="X195" s="22">
        <f>IF($W195="","",IF($R$5&lt;&gt;"",$R$5,$R$6))</f>
        <v/>
      </c>
      <c r="Y195" s="22">
        <f>IF($W195="","",INDEX($S$9:$S$2008,$W195))</f>
        <v/>
      </c>
      <c r="Z195" s="22">
        <f>IF($W195="","",IFERROR(TRIM(LEFT(SUBSTITUTE(INDEX($A$9:$A$2008,$W195),CHAR(10)," "),SEARCH("Folio",SUBSTITUTE(INDEX($A$9:$A$2008,$W195),CHAR(10)," "))-1)),TRIM(SUBSTITUTE(INDEX($A$9:$A$2008,$W195),CHAR(10)," "))))</f>
        <v/>
      </c>
      <c r="AA195" s="22">
        <f>IF($W195="","",IFERROR(TRIM(SUBSTITUTE(MID(SUBSTITUTE(INDEX($A$9:$A$2008,$W195),CHAR(10)," "),SEARCH("Folio",SUBSTITUTE(INDEX($A$9:$A$2008,$W195),CHAR(10)," "))+5,200),":","")),""))</f>
        <v/>
      </c>
      <c r="AB195" s="23">
        <f>IF($W195="","",IF(ISNUMBER(INDEX($D$9:$D$2008,$W195)),INDEX($D$9:$D$2008,$W195),IFERROR(DATE(2000+VALUE(RIGHT(INDEX($D$9:$D$2008,$W195),2)),VALUE(MID(INDEX($D$9:$D$2008,$W195),4,2)),VALUE(LEFT(INDEX($D$9:$D$2008,$W195),2))),"")))</f>
        <v/>
      </c>
      <c r="AC195" s="24">
        <f>IF($W195="","",IFERROR(IF(ISNUMBER(INDEX($E$9:$E$2008,$W195)),INDEX($E$9:$E$2008,$W195),VALUE(SUBSTITUTE(INDEX($E$9:$E$2008,$W195),",",""))),""))</f>
        <v/>
      </c>
      <c r="AD195" s="24">
        <f>IF($W195="","",IFERROR(IF(ISNUMBER(INDEX($F$9:$F$2008,$W195)),INDEX($F$9:$F$2008,$W195),VALUE(SUBSTITUTE(INDEX($F$9:$F$2008,$W195),",",""))),""))</f>
        <v/>
      </c>
      <c r="AE195" s="24">
        <f>IF($W195="","",IFERROR(IF(ISNUMBER(INDEX($G$9:$G$2008,$W195)),INDEX($G$9:$G$2008,$W195),VALUE(SUBSTITUTE(INDEX($G$9:$G$2008,$W195),",",""))),""))</f>
        <v/>
      </c>
      <c r="AF195" s="24">
        <f>IF($W195="","",IFERROR(IF(ISNUMBER(INDEX($H$9:$H$2008,$W195)),INDEX($H$9:$H$2008,$W195),VALUE(SUBSTITUTE(INDEX($H$9:$H$2008,$W195),",",""))),""))</f>
        <v/>
      </c>
      <c r="AG195" s="24">
        <f>IF($W195="","",IFERROR(IF(ISNUMBER(INDEX($I$9:$I$2008,$W195)),INDEX($I$9:$I$2008,$W195),VALUE(SUBSTITUTE(INDEX($I$9:$I$2008,$W195),",",""))),""))</f>
        <v/>
      </c>
      <c r="AH195" s="24">
        <f>IF($W195="","",IFERROR(IF(ISNUMBER(INDEX($J$9:$J$2008,$W195)),INDEX($J$9:$J$2008,$W195),VALUE(SUBSTITUTE(INDEX($J$9:$J$2008,$W195),",",""))),""))</f>
        <v/>
      </c>
      <c r="AI195" s="24">
        <f>IF($W195="","",IFERROR(IF(ISNUMBER(INDEX($K$9:$K$2008,$W195)),INDEX($K$9:$K$2008,$W195),VALUE(SUBSTITUTE(INDEX($K$9:$K$2008,$W195),",",""))),""))</f>
        <v/>
      </c>
      <c r="AJ195" s="25">
        <f>IF($W195="","",IFERROR(IF(ISNUMBER(INDEX($L$9:$L$2008,$W195)),INDEX($L$9:$L$2008,$W195),VALUE(SUBSTITUTE(INDEX($L$9:$L$2008,$W195),",",""))),""))</f>
        <v/>
      </c>
      <c r="AK195" s="25">
        <f>IF($W195="","",IFERROR(IF(ISNUMBER(INDEX($M$9:$M$2008,$W195)),INDEX($M$9:$M$2008,$W195),VALUE(SUBSTITUTE(INDEX($M$9:$M$2008,$W195),",",""))),""))</f>
        <v/>
      </c>
      <c r="AL195" s="26">
        <f>IF($W195="","",IFERROR(IF(ISNUMBER(INDEX($P$9:$P$2008,$W195)),INDEX($P$9:$P$2008,$W195),VALUE(SUBSTITUTE(INDEX($P$9:$P$2008,$W195),"%",""))/100),""))</f>
        <v/>
      </c>
    </row>
    <row r="196">
      <c r="S196">
        <f>IF(AND(ISTEXT($A196),ISNUMBER(SEARCH(" - ",$A196)),ISERROR(SEARCH("Folio",$A196)),$D196=""),TRIM($A196),$S195)</f>
        <v/>
      </c>
      <c r="T196">
        <f>IF(AND(ISNUMBER(SEARCH("Folio",$A196)),$D196&lt;&gt;""),1,"")</f>
        <v/>
      </c>
      <c r="U196">
        <f>IF($T196=1,COUNTIF($T$9:$T196,1),"")</f>
        <v/>
      </c>
      <c r="V196">
        <f>IF(AND(ISTEXT($A196),LEFT($A197,3)="Pan"),1,"")</f>
        <v/>
      </c>
      <c r="W196" s="21">
        <f>IFERROR(MATCH(188,$U$9:$U$2008,0),"")</f>
        <v/>
      </c>
      <c r="X196" s="27">
        <f>IF($W196="","",IF($R$5&lt;&gt;"",$R$5,$R$6))</f>
        <v/>
      </c>
      <c r="Y196" s="27">
        <f>IF($W196="","",INDEX($S$9:$S$2008,$W196))</f>
        <v/>
      </c>
      <c r="Z196" s="27">
        <f>IF($W196="","",IFERROR(TRIM(LEFT(SUBSTITUTE(INDEX($A$9:$A$2008,$W196),CHAR(10)," "),SEARCH("Folio",SUBSTITUTE(INDEX($A$9:$A$2008,$W196),CHAR(10)," "))-1)),TRIM(SUBSTITUTE(INDEX($A$9:$A$2008,$W196),CHAR(10)," "))))</f>
        <v/>
      </c>
      <c r="AA196" s="27">
        <f>IF($W196="","",IFERROR(TRIM(SUBSTITUTE(MID(SUBSTITUTE(INDEX($A$9:$A$2008,$W196),CHAR(10)," "),SEARCH("Folio",SUBSTITUTE(INDEX($A$9:$A$2008,$W196),CHAR(10)," "))+5,200),":","")),""))</f>
        <v/>
      </c>
      <c r="AB196" s="28">
        <f>IF($W196="","",IF(ISNUMBER(INDEX($D$9:$D$2008,$W196)),INDEX($D$9:$D$2008,$W196),IFERROR(DATE(2000+VALUE(RIGHT(INDEX($D$9:$D$2008,$W196),2)),VALUE(MID(INDEX($D$9:$D$2008,$W196),4,2)),VALUE(LEFT(INDEX($D$9:$D$2008,$W196),2))),"")))</f>
        <v/>
      </c>
      <c r="AC196" s="29">
        <f>IF($W196="","",IFERROR(IF(ISNUMBER(INDEX($E$9:$E$2008,$W196)),INDEX($E$9:$E$2008,$W196),VALUE(SUBSTITUTE(INDEX($E$9:$E$2008,$W196),",",""))),""))</f>
        <v/>
      </c>
      <c r="AD196" s="29">
        <f>IF($W196="","",IFERROR(IF(ISNUMBER(INDEX($F$9:$F$2008,$W196)),INDEX($F$9:$F$2008,$W196),VALUE(SUBSTITUTE(INDEX($F$9:$F$2008,$W196),",",""))),""))</f>
        <v/>
      </c>
      <c r="AE196" s="29">
        <f>IF($W196="","",IFERROR(IF(ISNUMBER(INDEX($G$9:$G$2008,$W196)),INDEX($G$9:$G$2008,$W196),VALUE(SUBSTITUTE(INDEX($G$9:$G$2008,$W196),",",""))),""))</f>
        <v/>
      </c>
      <c r="AF196" s="29">
        <f>IF($W196="","",IFERROR(IF(ISNUMBER(INDEX($H$9:$H$2008,$W196)),INDEX($H$9:$H$2008,$W196),VALUE(SUBSTITUTE(INDEX($H$9:$H$2008,$W196),",",""))),""))</f>
        <v/>
      </c>
      <c r="AG196" s="29">
        <f>IF($W196="","",IFERROR(IF(ISNUMBER(INDEX($I$9:$I$2008,$W196)),INDEX($I$9:$I$2008,$W196),VALUE(SUBSTITUTE(INDEX($I$9:$I$2008,$W196),",",""))),""))</f>
        <v/>
      </c>
      <c r="AH196" s="29">
        <f>IF($W196="","",IFERROR(IF(ISNUMBER(INDEX($J$9:$J$2008,$W196)),INDEX($J$9:$J$2008,$W196),VALUE(SUBSTITUTE(INDEX($J$9:$J$2008,$W196),",",""))),""))</f>
        <v/>
      </c>
      <c r="AI196" s="29">
        <f>IF($W196="","",IFERROR(IF(ISNUMBER(INDEX($K$9:$K$2008,$W196)),INDEX($K$9:$K$2008,$W196),VALUE(SUBSTITUTE(INDEX($K$9:$K$2008,$W196),",",""))),""))</f>
        <v/>
      </c>
      <c r="AJ196" s="30">
        <f>IF($W196="","",IFERROR(IF(ISNUMBER(INDEX($L$9:$L$2008,$W196)),INDEX($L$9:$L$2008,$W196),VALUE(SUBSTITUTE(INDEX($L$9:$L$2008,$W196),",",""))),""))</f>
        <v/>
      </c>
      <c r="AK196" s="30">
        <f>IF($W196="","",IFERROR(IF(ISNUMBER(INDEX($M$9:$M$2008,$W196)),INDEX($M$9:$M$2008,$W196),VALUE(SUBSTITUTE(INDEX($M$9:$M$2008,$W196),",",""))),""))</f>
        <v/>
      </c>
      <c r="AL196" s="31">
        <f>IF($W196="","",IFERROR(IF(ISNUMBER(INDEX($P$9:$P$2008,$W196)),INDEX($P$9:$P$2008,$W196),VALUE(SUBSTITUTE(INDEX($P$9:$P$2008,$W196),"%",""))/100),""))</f>
        <v/>
      </c>
    </row>
    <row r="197">
      <c r="S197">
        <f>IF(AND(ISTEXT($A197),ISNUMBER(SEARCH(" - ",$A197)),ISERROR(SEARCH("Folio",$A197)),$D197=""),TRIM($A197),$S196)</f>
        <v/>
      </c>
      <c r="T197">
        <f>IF(AND(ISNUMBER(SEARCH("Folio",$A197)),$D197&lt;&gt;""),1,"")</f>
        <v/>
      </c>
      <c r="U197">
        <f>IF($T197=1,COUNTIF($T$9:$T197,1),"")</f>
        <v/>
      </c>
      <c r="V197">
        <f>IF(AND(ISTEXT($A197),LEFT($A198,3)="Pan"),1,"")</f>
        <v/>
      </c>
      <c r="W197" s="21">
        <f>IFERROR(MATCH(189,$U$9:$U$2008,0),"")</f>
        <v/>
      </c>
      <c r="X197" s="22">
        <f>IF($W197="","",IF($R$5&lt;&gt;"",$R$5,$R$6))</f>
        <v/>
      </c>
      <c r="Y197" s="22">
        <f>IF($W197="","",INDEX($S$9:$S$2008,$W197))</f>
        <v/>
      </c>
      <c r="Z197" s="22">
        <f>IF($W197="","",IFERROR(TRIM(LEFT(SUBSTITUTE(INDEX($A$9:$A$2008,$W197),CHAR(10)," "),SEARCH("Folio",SUBSTITUTE(INDEX($A$9:$A$2008,$W197),CHAR(10)," "))-1)),TRIM(SUBSTITUTE(INDEX($A$9:$A$2008,$W197),CHAR(10)," "))))</f>
        <v/>
      </c>
      <c r="AA197" s="22">
        <f>IF($W197="","",IFERROR(TRIM(SUBSTITUTE(MID(SUBSTITUTE(INDEX($A$9:$A$2008,$W197),CHAR(10)," "),SEARCH("Folio",SUBSTITUTE(INDEX($A$9:$A$2008,$W197),CHAR(10)," "))+5,200),":","")),""))</f>
        <v/>
      </c>
      <c r="AB197" s="23">
        <f>IF($W197="","",IF(ISNUMBER(INDEX($D$9:$D$2008,$W197)),INDEX($D$9:$D$2008,$W197),IFERROR(DATE(2000+VALUE(RIGHT(INDEX($D$9:$D$2008,$W197),2)),VALUE(MID(INDEX($D$9:$D$2008,$W197),4,2)),VALUE(LEFT(INDEX($D$9:$D$2008,$W197),2))),"")))</f>
        <v/>
      </c>
      <c r="AC197" s="24">
        <f>IF($W197="","",IFERROR(IF(ISNUMBER(INDEX($E$9:$E$2008,$W197)),INDEX($E$9:$E$2008,$W197),VALUE(SUBSTITUTE(INDEX($E$9:$E$2008,$W197),",",""))),""))</f>
        <v/>
      </c>
      <c r="AD197" s="24">
        <f>IF($W197="","",IFERROR(IF(ISNUMBER(INDEX($F$9:$F$2008,$W197)),INDEX($F$9:$F$2008,$W197),VALUE(SUBSTITUTE(INDEX($F$9:$F$2008,$W197),",",""))),""))</f>
        <v/>
      </c>
      <c r="AE197" s="24">
        <f>IF($W197="","",IFERROR(IF(ISNUMBER(INDEX($G$9:$G$2008,$W197)),INDEX($G$9:$G$2008,$W197),VALUE(SUBSTITUTE(INDEX($G$9:$G$2008,$W197),",",""))),""))</f>
        <v/>
      </c>
      <c r="AF197" s="24">
        <f>IF($W197="","",IFERROR(IF(ISNUMBER(INDEX($H$9:$H$2008,$W197)),INDEX($H$9:$H$2008,$W197),VALUE(SUBSTITUTE(INDEX($H$9:$H$2008,$W197),",",""))),""))</f>
        <v/>
      </c>
      <c r="AG197" s="24">
        <f>IF($W197="","",IFERROR(IF(ISNUMBER(INDEX($I$9:$I$2008,$W197)),INDEX($I$9:$I$2008,$W197),VALUE(SUBSTITUTE(INDEX($I$9:$I$2008,$W197),",",""))),""))</f>
        <v/>
      </c>
      <c r="AH197" s="24">
        <f>IF($W197="","",IFERROR(IF(ISNUMBER(INDEX($J$9:$J$2008,$W197)),INDEX($J$9:$J$2008,$W197),VALUE(SUBSTITUTE(INDEX($J$9:$J$2008,$W197),",",""))),""))</f>
        <v/>
      </c>
      <c r="AI197" s="24">
        <f>IF($W197="","",IFERROR(IF(ISNUMBER(INDEX($K$9:$K$2008,$W197)),INDEX($K$9:$K$2008,$W197),VALUE(SUBSTITUTE(INDEX($K$9:$K$2008,$W197),",",""))),""))</f>
        <v/>
      </c>
      <c r="AJ197" s="25">
        <f>IF($W197="","",IFERROR(IF(ISNUMBER(INDEX($L$9:$L$2008,$W197)),INDEX($L$9:$L$2008,$W197),VALUE(SUBSTITUTE(INDEX($L$9:$L$2008,$W197),",",""))),""))</f>
        <v/>
      </c>
      <c r="AK197" s="25">
        <f>IF($W197="","",IFERROR(IF(ISNUMBER(INDEX($M$9:$M$2008,$W197)),INDEX($M$9:$M$2008,$W197),VALUE(SUBSTITUTE(INDEX($M$9:$M$2008,$W197),",",""))),""))</f>
        <v/>
      </c>
      <c r="AL197" s="26">
        <f>IF($W197="","",IFERROR(IF(ISNUMBER(INDEX($P$9:$P$2008,$W197)),INDEX($P$9:$P$2008,$W197),VALUE(SUBSTITUTE(INDEX($P$9:$P$2008,$W197),"%",""))/100),""))</f>
        <v/>
      </c>
    </row>
    <row r="198">
      <c r="S198">
        <f>IF(AND(ISTEXT($A198),ISNUMBER(SEARCH(" - ",$A198)),ISERROR(SEARCH("Folio",$A198)),$D198=""),TRIM($A198),$S197)</f>
        <v/>
      </c>
      <c r="T198">
        <f>IF(AND(ISNUMBER(SEARCH("Folio",$A198)),$D198&lt;&gt;""),1,"")</f>
        <v/>
      </c>
      <c r="U198">
        <f>IF($T198=1,COUNTIF($T$9:$T198,1),"")</f>
        <v/>
      </c>
      <c r="V198">
        <f>IF(AND(ISTEXT($A198),LEFT($A199,3)="Pan"),1,"")</f>
        <v/>
      </c>
      <c r="W198" s="21">
        <f>IFERROR(MATCH(190,$U$9:$U$2008,0),"")</f>
        <v/>
      </c>
      <c r="X198" s="27">
        <f>IF($W198="","",IF($R$5&lt;&gt;"",$R$5,$R$6))</f>
        <v/>
      </c>
      <c r="Y198" s="27">
        <f>IF($W198="","",INDEX($S$9:$S$2008,$W198))</f>
        <v/>
      </c>
      <c r="Z198" s="27">
        <f>IF($W198="","",IFERROR(TRIM(LEFT(SUBSTITUTE(INDEX($A$9:$A$2008,$W198),CHAR(10)," "),SEARCH("Folio",SUBSTITUTE(INDEX($A$9:$A$2008,$W198),CHAR(10)," "))-1)),TRIM(SUBSTITUTE(INDEX($A$9:$A$2008,$W198),CHAR(10)," "))))</f>
        <v/>
      </c>
      <c r="AA198" s="27">
        <f>IF($W198="","",IFERROR(TRIM(SUBSTITUTE(MID(SUBSTITUTE(INDEX($A$9:$A$2008,$W198),CHAR(10)," "),SEARCH("Folio",SUBSTITUTE(INDEX($A$9:$A$2008,$W198),CHAR(10)," "))+5,200),":","")),""))</f>
        <v/>
      </c>
      <c r="AB198" s="28">
        <f>IF($W198="","",IF(ISNUMBER(INDEX($D$9:$D$2008,$W198)),INDEX($D$9:$D$2008,$W198),IFERROR(DATE(2000+VALUE(RIGHT(INDEX($D$9:$D$2008,$W198),2)),VALUE(MID(INDEX($D$9:$D$2008,$W198),4,2)),VALUE(LEFT(INDEX($D$9:$D$2008,$W198),2))),"")))</f>
        <v/>
      </c>
      <c r="AC198" s="29">
        <f>IF($W198="","",IFERROR(IF(ISNUMBER(INDEX($E$9:$E$2008,$W198)),INDEX($E$9:$E$2008,$W198),VALUE(SUBSTITUTE(INDEX($E$9:$E$2008,$W198),",",""))),""))</f>
        <v/>
      </c>
      <c r="AD198" s="29">
        <f>IF($W198="","",IFERROR(IF(ISNUMBER(INDEX($F$9:$F$2008,$W198)),INDEX($F$9:$F$2008,$W198),VALUE(SUBSTITUTE(INDEX($F$9:$F$2008,$W198),",",""))),""))</f>
        <v/>
      </c>
      <c r="AE198" s="29">
        <f>IF($W198="","",IFERROR(IF(ISNUMBER(INDEX($G$9:$G$2008,$W198)),INDEX($G$9:$G$2008,$W198),VALUE(SUBSTITUTE(INDEX($G$9:$G$2008,$W198),",",""))),""))</f>
        <v/>
      </c>
      <c r="AF198" s="29">
        <f>IF($W198="","",IFERROR(IF(ISNUMBER(INDEX($H$9:$H$2008,$W198)),INDEX($H$9:$H$2008,$W198),VALUE(SUBSTITUTE(INDEX($H$9:$H$2008,$W198),",",""))),""))</f>
        <v/>
      </c>
      <c r="AG198" s="29">
        <f>IF($W198="","",IFERROR(IF(ISNUMBER(INDEX($I$9:$I$2008,$W198)),INDEX($I$9:$I$2008,$W198),VALUE(SUBSTITUTE(INDEX($I$9:$I$2008,$W198),",",""))),""))</f>
        <v/>
      </c>
      <c r="AH198" s="29">
        <f>IF($W198="","",IFERROR(IF(ISNUMBER(INDEX($J$9:$J$2008,$W198)),INDEX($J$9:$J$2008,$W198),VALUE(SUBSTITUTE(INDEX($J$9:$J$2008,$W198),",",""))),""))</f>
        <v/>
      </c>
      <c r="AI198" s="29">
        <f>IF($W198="","",IFERROR(IF(ISNUMBER(INDEX($K$9:$K$2008,$W198)),INDEX($K$9:$K$2008,$W198),VALUE(SUBSTITUTE(INDEX($K$9:$K$2008,$W198),",",""))),""))</f>
        <v/>
      </c>
      <c r="AJ198" s="30">
        <f>IF($W198="","",IFERROR(IF(ISNUMBER(INDEX($L$9:$L$2008,$W198)),INDEX($L$9:$L$2008,$W198),VALUE(SUBSTITUTE(INDEX($L$9:$L$2008,$W198),",",""))),""))</f>
        <v/>
      </c>
      <c r="AK198" s="30">
        <f>IF($W198="","",IFERROR(IF(ISNUMBER(INDEX($M$9:$M$2008,$W198)),INDEX($M$9:$M$2008,$W198),VALUE(SUBSTITUTE(INDEX($M$9:$M$2008,$W198),",",""))),""))</f>
        <v/>
      </c>
      <c r="AL198" s="31">
        <f>IF($W198="","",IFERROR(IF(ISNUMBER(INDEX($P$9:$P$2008,$W198)),INDEX($P$9:$P$2008,$W198),VALUE(SUBSTITUTE(INDEX($P$9:$P$2008,$W198),"%",""))/100),""))</f>
        <v/>
      </c>
    </row>
    <row r="199">
      <c r="S199">
        <f>IF(AND(ISTEXT($A199),ISNUMBER(SEARCH(" - ",$A199)),ISERROR(SEARCH("Folio",$A199)),$D199=""),TRIM($A199),$S198)</f>
        <v/>
      </c>
      <c r="T199">
        <f>IF(AND(ISNUMBER(SEARCH("Folio",$A199)),$D199&lt;&gt;""),1,"")</f>
        <v/>
      </c>
      <c r="U199">
        <f>IF($T199=1,COUNTIF($T$9:$T199,1),"")</f>
        <v/>
      </c>
      <c r="V199">
        <f>IF(AND(ISTEXT($A199),LEFT($A200,3)="Pan"),1,"")</f>
        <v/>
      </c>
      <c r="W199" s="21">
        <f>IFERROR(MATCH(191,$U$9:$U$2008,0),"")</f>
        <v/>
      </c>
      <c r="X199" s="22">
        <f>IF($W199="","",IF($R$5&lt;&gt;"",$R$5,$R$6))</f>
        <v/>
      </c>
      <c r="Y199" s="22">
        <f>IF($W199="","",INDEX($S$9:$S$2008,$W199))</f>
        <v/>
      </c>
      <c r="Z199" s="22">
        <f>IF($W199="","",IFERROR(TRIM(LEFT(SUBSTITUTE(INDEX($A$9:$A$2008,$W199),CHAR(10)," "),SEARCH("Folio",SUBSTITUTE(INDEX($A$9:$A$2008,$W199),CHAR(10)," "))-1)),TRIM(SUBSTITUTE(INDEX($A$9:$A$2008,$W199),CHAR(10)," "))))</f>
        <v/>
      </c>
      <c r="AA199" s="22">
        <f>IF($W199="","",IFERROR(TRIM(SUBSTITUTE(MID(SUBSTITUTE(INDEX($A$9:$A$2008,$W199),CHAR(10)," "),SEARCH("Folio",SUBSTITUTE(INDEX($A$9:$A$2008,$W199),CHAR(10)," "))+5,200),":","")),""))</f>
        <v/>
      </c>
      <c r="AB199" s="23">
        <f>IF($W199="","",IF(ISNUMBER(INDEX($D$9:$D$2008,$W199)),INDEX($D$9:$D$2008,$W199),IFERROR(DATE(2000+VALUE(RIGHT(INDEX($D$9:$D$2008,$W199),2)),VALUE(MID(INDEX($D$9:$D$2008,$W199),4,2)),VALUE(LEFT(INDEX($D$9:$D$2008,$W199),2))),"")))</f>
        <v/>
      </c>
      <c r="AC199" s="24">
        <f>IF($W199="","",IFERROR(IF(ISNUMBER(INDEX($E$9:$E$2008,$W199)),INDEX($E$9:$E$2008,$W199),VALUE(SUBSTITUTE(INDEX($E$9:$E$2008,$W199),",",""))),""))</f>
        <v/>
      </c>
      <c r="AD199" s="24">
        <f>IF($W199="","",IFERROR(IF(ISNUMBER(INDEX($F$9:$F$2008,$W199)),INDEX($F$9:$F$2008,$W199),VALUE(SUBSTITUTE(INDEX($F$9:$F$2008,$W199),",",""))),""))</f>
        <v/>
      </c>
      <c r="AE199" s="24">
        <f>IF($W199="","",IFERROR(IF(ISNUMBER(INDEX($G$9:$G$2008,$W199)),INDEX($G$9:$G$2008,$W199),VALUE(SUBSTITUTE(INDEX($G$9:$G$2008,$W199),",",""))),""))</f>
        <v/>
      </c>
      <c r="AF199" s="24">
        <f>IF($W199="","",IFERROR(IF(ISNUMBER(INDEX($H$9:$H$2008,$W199)),INDEX($H$9:$H$2008,$W199),VALUE(SUBSTITUTE(INDEX($H$9:$H$2008,$W199),",",""))),""))</f>
        <v/>
      </c>
      <c r="AG199" s="24">
        <f>IF($W199="","",IFERROR(IF(ISNUMBER(INDEX($I$9:$I$2008,$W199)),INDEX($I$9:$I$2008,$W199),VALUE(SUBSTITUTE(INDEX($I$9:$I$2008,$W199),",",""))),""))</f>
        <v/>
      </c>
      <c r="AH199" s="24">
        <f>IF($W199="","",IFERROR(IF(ISNUMBER(INDEX($J$9:$J$2008,$W199)),INDEX($J$9:$J$2008,$W199),VALUE(SUBSTITUTE(INDEX($J$9:$J$2008,$W199),",",""))),""))</f>
        <v/>
      </c>
      <c r="AI199" s="24">
        <f>IF($W199="","",IFERROR(IF(ISNUMBER(INDEX($K$9:$K$2008,$W199)),INDEX($K$9:$K$2008,$W199),VALUE(SUBSTITUTE(INDEX($K$9:$K$2008,$W199),",",""))),""))</f>
        <v/>
      </c>
      <c r="AJ199" s="25">
        <f>IF($W199="","",IFERROR(IF(ISNUMBER(INDEX($L$9:$L$2008,$W199)),INDEX($L$9:$L$2008,$W199),VALUE(SUBSTITUTE(INDEX($L$9:$L$2008,$W199),",",""))),""))</f>
        <v/>
      </c>
      <c r="AK199" s="25">
        <f>IF($W199="","",IFERROR(IF(ISNUMBER(INDEX($M$9:$M$2008,$W199)),INDEX($M$9:$M$2008,$W199),VALUE(SUBSTITUTE(INDEX($M$9:$M$2008,$W199),",",""))),""))</f>
        <v/>
      </c>
      <c r="AL199" s="26">
        <f>IF($W199="","",IFERROR(IF(ISNUMBER(INDEX($P$9:$P$2008,$W199)),INDEX($P$9:$P$2008,$W199),VALUE(SUBSTITUTE(INDEX($P$9:$P$2008,$W199),"%",""))/100),""))</f>
        <v/>
      </c>
    </row>
    <row r="200">
      <c r="S200">
        <f>IF(AND(ISTEXT($A200),ISNUMBER(SEARCH(" - ",$A200)),ISERROR(SEARCH("Folio",$A200)),$D200=""),TRIM($A200),$S199)</f>
        <v/>
      </c>
      <c r="T200">
        <f>IF(AND(ISNUMBER(SEARCH("Folio",$A200)),$D200&lt;&gt;""),1,"")</f>
        <v/>
      </c>
      <c r="U200">
        <f>IF($T200=1,COUNTIF($T$9:$T200,1),"")</f>
        <v/>
      </c>
      <c r="V200">
        <f>IF(AND(ISTEXT($A200),LEFT($A201,3)="Pan"),1,"")</f>
        <v/>
      </c>
      <c r="W200" s="21">
        <f>IFERROR(MATCH(192,$U$9:$U$2008,0),"")</f>
        <v/>
      </c>
      <c r="X200" s="27">
        <f>IF($W200="","",IF($R$5&lt;&gt;"",$R$5,$R$6))</f>
        <v/>
      </c>
      <c r="Y200" s="27">
        <f>IF($W200="","",INDEX($S$9:$S$2008,$W200))</f>
        <v/>
      </c>
      <c r="Z200" s="27">
        <f>IF($W200="","",IFERROR(TRIM(LEFT(SUBSTITUTE(INDEX($A$9:$A$2008,$W200),CHAR(10)," "),SEARCH("Folio",SUBSTITUTE(INDEX($A$9:$A$2008,$W200),CHAR(10)," "))-1)),TRIM(SUBSTITUTE(INDEX($A$9:$A$2008,$W200),CHAR(10)," "))))</f>
        <v/>
      </c>
      <c r="AA200" s="27">
        <f>IF($W200="","",IFERROR(TRIM(SUBSTITUTE(MID(SUBSTITUTE(INDEX($A$9:$A$2008,$W200),CHAR(10)," "),SEARCH("Folio",SUBSTITUTE(INDEX($A$9:$A$2008,$W200),CHAR(10)," "))+5,200),":","")),""))</f>
        <v/>
      </c>
      <c r="AB200" s="28">
        <f>IF($W200="","",IF(ISNUMBER(INDEX($D$9:$D$2008,$W200)),INDEX($D$9:$D$2008,$W200),IFERROR(DATE(2000+VALUE(RIGHT(INDEX($D$9:$D$2008,$W200),2)),VALUE(MID(INDEX($D$9:$D$2008,$W200),4,2)),VALUE(LEFT(INDEX($D$9:$D$2008,$W200),2))),"")))</f>
        <v/>
      </c>
      <c r="AC200" s="29">
        <f>IF($W200="","",IFERROR(IF(ISNUMBER(INDEX($E$9:$E$2008,$W200)),INDEX($E$9:$E$2008,$W200),VALUE(SUBSTITUTE(INDEX($E$9:$E$2008,$W200),",",""))),""))</f>
        <v/>
      </c>
      <c r="AD200" s="29">
        <f>IF($W200="","",IFERROR(IF(ISNUMBER(INDEX($F$9:$F$2008,$W200)),INDEX($F$9:$F$2008,$W200),VALUE(SUBSTITUTE(INDEX($F$9:$F$2008,$W200),",",""))),""))</f>
        <v/>
      </c>
      <c r="AE200" s="29">
        <f>IF($W200="","",IFERROR(IF(ISNUMBER(INDEX($G$9:$G$2008,$W200)),INDEX($G$9:$G$2008,$W200),VALUE(SUBSTITUTE(INDEX($G$9:$G$2008,$W200),",",""))),""))</f>
        <v/>
      </c>
      <c r="AF200" s="29">
        <f>IF($W200="","",IFERROR(IF(ISNUMBER(INDEX($H$9:$H$2008,$W200)),INDEX($H$9:$H$2008,$W200),VALUE(SUBSTITUTE(INDEX($H$9:$H$2008,$W200),",",""))),""))</f>
        <v/>
      </c>
      <c r="AG200" s="29">
        <f>IF($W200="","",IFERROR(IF(ISNUMBER(INDEX($I$9:$I$2008,$W200)),INDEX($I$9:$I$2008,$W200),VALUE(SUBSTITUTE(INDEX($I$9:$I$2008,$W200),",",""))),""))</f>
        <v/>
      </c>
      <c r="AH200" s="29">
        <f>IF($W200="","",IFERROR(IF(ISNUMBER(INDEX($J$9:$J$2008,$W200)),INDEX($J$9:$J$2008,$W200),VALUE(SUBSTITUTE(INDEX($J$9:$J$2008,$W200),",",""))),""))</f>
        <v/>
      </c>
      <c r="AI200" s="29">
        <f>IF($W200="","",IFERROR(IF(ISNUMBER(INDEX($K$9:$K$2008,$W200)),INDEX($K$9:$K$2008,$W200),VALUE(SUBSTITUTE(INDEX($K$9:$K$2008,$W200),",",""))),""))</f>
        <v/>
      </c>
      <c r="AJ200" s="30">
        <f>IF($W200="","",IFERROR(IF(ISNUMBER(INDEX($L$9:$L$2008,$W200)),INDEX($L$9:$L$2008,$W200),VALUE(SUBSTITUTE(INDEX($L$9:$L$2008,$W200),",",""))),""))</f>
        <v/>
      </c>
      <c r="AK200" s="30">
        <f>IF($W200="","",IFERROR(IF(ISNUMBER(INDEX($M$9:$M$2008,$W200)),INDEX($M$9:$M$2008,$W200),VALUE(SUBSTITUTE(INDEX($M$9:$M$2008,$W200),",",""))),""))</f>
        <v/>
      </c>
      <c r="AL200" s="31">
        <f>IF($W200="","",IFERROR(IF(ISNUMBER(INDEX($P$9:$P$2008,$W200)),INDEX($P$9:$P$2008,$W200),VALUE(SUBSTITUTE(INDEX($P$9:$P$2008,$W200),"%",""))/100),""))</f>
        <v/>
      </c>
    </row>
    <row r="201">
      <c r="S201">
        <f>IF(AND(ISTEXT($A201),ISNUMBER(SEARCH(" - ",$A201)),ISERROR(SEARCH("Folio",$A201)),$D201=""),TRIM($A201),$S200)</f>
        <v/>
      </c>
      <c r="T201">
        <f>IF(AND(ISNUMBER(SEARCH("Folio",$A201)),$D201&lt;&gt;""),1,"")</f>
        <v/>
      </c>
      <c r="U201">
        <f>IF($T201=1,COUNTIF($T$9:$T201,1),"")</f>
        <v/>
      </c>
      <c r="V201">
        <f>IF(AND(ISTEXT($A201),LEFT($A202,3)="Pan"),1,"")</f>
        <v/>
      </c>
      <c r="W201" s="21">
        <f>IFERROR(MATCH(193,$U$9:$U$2008,0),"")</f>
        <v/>
      </c>
      <c r="X201" s="22">
        <f>IF($W201="","",IF($R$5&lt;&gt;"",$R$5,$R$6))</f>
        <v/>
      </c>
      <c r="Y201" s="22">
        <f>IF($W201="","",INDEX($S$9:$S$2008,$W201))</f>
        <v/>
      </c>
      <c r="Z201" s="22">
        <f>IF($W201="","",IFERROR(TRIM(LEFT(SUBSTITUTE(INDEX($A$9:$A$2008,$W201),CHAR(10)," "),SEARCH("Folio",SUBSTITUTE(INDEX($A$9:$A$2008,$W201),CHAR(10)," "))-1)),TRIM(SUBSTITUTE(INDEX($A$9:$A$2008,$W201),CHAR(10)," "))))</f>
        <v/>
      </c>
      <c r="AA201" s="22">
        <f>IF($W201="","",IFERROR(TRIM(SUBSTITUTE(MID(SUBSTITUTE(INDEX($A$9:$A$2008,$W201),CHAR(10)," "),SEARCH("Folio",SUBSTITUTE(INDEX($A$9:$A$2008,$W201),CHAR(10)," "))+5,200),":","")),""))</f>
        <v/>
      </c>
      <c r="AB201" s="23">
        <f>IF($W201="","",IF(ISNUMBER(INDEX($D$9:$D$2008,$W201)),INDEX($D$9:$D$2008,$W201),IFERROR(DATE(2000+VALUE(RIGHT(INDEX($D$9:$D$2008,$W201),2)),VALUE(MID(INDEX($D$9:$D$2008,$W201),4,2)),VALUE(LEFT(INDEX($D$9:$D$2008,$W201),2))),"")))</f>
        <v/>
      </c>
      <c r="AC201" s="24">
        <f>IF($W201="","",IFERROR(IF(ISNUMBER(INDEX($E$9:$E$2008,$W201)),INDEX($E$9:$E$2008,$W201),VALUE(SUBSTITUTE(INDEX($E$9:$E$2008,$W201),",",""))),""))</f>
        <v/>
      </c>
      <c r="AD201" s="24">
        <f>IF($W201="","",IFERROR(IF(ISNUMBER(INDEX($F$9:$F$2008,$W201)),INDEX($F$9:$F$2008,$W201),VALUE(SUBSTITUTE(INDEX($F$9:$F$2008,$W201),",",""))),""))</f>
        <v/>
      </c>
      <c r="AE201" s="24">
        <f>IF($W201="","",IFERROR(IF(ISNUMBER(INDEX($G$9:$G$2008,$W201)),INDEX($G$9:$G$2008,$W201),VALUE(SUBSTITUTE(INDEX($G$9:$G$2008,$W201),",",""))),""))</f>
        <v/>
      </c>
      <c r="AF201" s="24">
        <f>IF($W201="","",IFERROR(IF(ISNUMBER(INDEX($H$9:$H$2008,$W201)),INDEX($H$9:$H$2008,$W201),VALUE(SUBSTITUTE(INDEX($H$9:$H$2008,$W201),",",""))),""))</f>
        <v/>
      </c>
      <c r="AG201" s="24">
        <f>IF($W201="","",IFERROR(IF(ISNUMBER(INDEX($I$9:$I$2008,$W201)),INDEX($I$9:$I$2008,$W201),VALUE(SUBSTITUTE(INDEX($I$9:$I$2008,$W201),",",""))),""))</f>
        <v/>
      </c>
      <c r="AH201" s="24">
        <f>IF($W201="","",IFERROR(IF(ISNUMBER(INDEX($J$9:$J$2008,$W201)),INDEX($J$9:$J$2008,$W201),VALUE(SUBSTITUTE(INDEX($J$9:$J$2008,$W201),",",""))),""))</f>
        <v/>
      </c>
      <c r="AI201" s="24">
        <f>IF($W201="","",IFERROR(IF(ISNUMBER(INDEX($K$9:$K$2008,$W201)),INDEX($K$9:$K$2008,$W201),VALUE(SUBSTITUTE(INDEX($K$9:$K$2008,$W201),",",""))),""))</f>
        <v/>
      </c>
      <c r="AJ201" s="25">
        <f>IF($W201="","",IFERROR(IF(ISNUMBER(INDEX($L$9:$L$2008,$W201)),INDEX($L$9:$L$2008,$W201),VALUE(SUBSTITUTE(INDEX($L$9:$L$2008,$W201),",",""))),""))</f>
        <v/>
      </c>
      <c r="AK201" s="25">
        <f>IF($W201="","",IFERROR(IF(ISNUMBER(INDEX($M$9:$M$2008,$W201)),INDEX($M$9:$M$2008,$W201),VALUE(SUBSTITUTE(INDEX($M$9:$M$2008,$W201),",",""))),""))</f>
        <v/>
      </c>
      <c r="AL201" s="26">
        <f>IF($W201="","",IFERROR(IF(ISNUMBER(INDEX($P$9:$P$2008,$W201)),INDEX($P$9:$P$2008,$W201),VALUE(SUBSTITUTE(INDEX($P$9:$P$2008,$W201),"%",""))/100),""))</f>
        <v/>
      </c>
    </row>
    <row r="202">
      <c r="S202">
        <f>IF(AND(ISTEXT($A202),ISNUMBER(SEARCH(" - ",$A202)),ISERROR(SEARCH("Folio",$A202)),$D202=""),TRIM($A202),$S201)</f>
        <v/>
      </c>
      <c r="T202">
        <f>IF(AND(ISNUMBER(SEARCH("Folio",$A202)),$D202&lt;&gt;""),1,"")</f>
        <v/>
      </c>
      <c r="U202">
        <f>IF($T202=1,COUNTIF($T$9:$T202,1),"")</f>
        <v/>
      </c>
      <c r="V202">
        <f>IF(AND(ISTEXT($A202),LEFT($A203,3)="Pan"),1,"")</f>
        <v/>
      </c>
      <c r="W202" s="21">
        <f>IFERROR(MATCH(194,$U$9:$U$2008,0),"")</f>
        <v/>
      </c>
      <c r="X202" s="27">
        <f>IF($W202="","",IF($R$5&lt;&gt;"",$R$5,$R$6))</f>
        <v/>
      </c>
      <c r="Y202" s="27">
        <f>IF($W202="","",INDEX($S$9:$S$2008,$W202))</f>
        <v/>
      </c>
      <c r="Z202" s="27">
        <f>IF($W202="","",IFERROR(TRIM(LEFT(SUBSTITUTE(INDEX($A$9:$A$2008,$W202),CHAR(10)," "),SEARCH("Folio",SUBSTITUTE(INDEX($A$9:$A$2008,$W202),CHAR(10)," "))-1)),TRIM(SUBSTITUTE(INDEX($A$9:$A$2008,$W202),CHAR(10)," "))))</f>
        <v/>
      </c>
      <c r="AA202" s="27">
        <f>IF($W202="","",IFERROR(TRIM(SUBSTITUTE(MID(SUBSTITUTE(INDEX($A$9:$A$2008,$W202),CHAR(10)," "),SEARCH("Folio",SUBSTITUTE(INDEX($A$9:$A$2008,$W202),CHAR(10)," "))+5,200),":","")),""))</f>
        <v/>
      </c>
      <c r="AB202" s="28">
        <f>IF($W202="","",IF(ISNUMBER(INDEX($D$9:$D$2008,$W202)),INDEX($D$9:$D$2008,$W202),IFERROR(DATE(2000+VALUE(RIGHT(INDEX($D$9:$D$2008,$W202),2)),VALUE(MID(INDEX($D$9:$D$2008,$W202),4,2)),VALUE(LEFT(INDEX($D$9:$D$2008,$W202),2))),"")))</f>
        <v/>
      </c>
      <c r="AC202" s="29">
        <f>IF($W202="","",IFERROR(IF(ISNUMBER(INDEX($E$9:$E$2008,$W202)),INDEX($E$9:$E$2008,$W202),VALUE(SUBSTITUTE(INDEX($E$9:$E$2008,$W202),",",""))),""))</f>
        <v/>
      </c>
      <c r="AD202" s="29">
        <f>IF($W202="","",IFERROR(IF(ISNUMBER(INDEX($F$9:$F$2008,$W202)),INDEX($F$9:$F$2008,$W202),VALUE(SUBSTITUTE(INDEX($F$9:$F$2008,$W202),",",""))),""))</f>
        <v/>
      </c>
      <c r="AE202" s="29">
        <f>IF($W202="","",IFERROR(IF(ISNUMBER(INDEX($G$9:$G$2008,$W202)),INDEX($G$9:$G$2008,$W202),VALUE(SUBSTITUTE(INDEX($G$9:$G$2008,$W202),",",""))),""))</f>
        <v/>
      </c>
      <c r="AF202" s="29">
        <f>IF($W202="","",IFERROR(IF(ISNUMBER(INDEX($H$9:$H$2008,$W202)),INDEX($H$9:$H$2008,$W202),VALUE(SUBSTITUTE(INDEX($H$9:$H$2008,$W202),",",""))),""))</f>
        <v/>
      </c>
      <c r="AG202" s="29">
        <f>IF($W202="","",IFERROR(IF(ISNUMBER(INDEX($I$9:$I$2008,$W202)),INDEX($I$9:$I$2008,$W202),VALUE(SUBSTITUTE(INDEX($I$9:$I$2008,$W202),",",""))),""))</f>
        <v/>
      </c>
      <c r="AH202" s="29">
        <f>IF($W202="","",IFERROR(IF(ISNUMBER(INDEX($J$9:$J$2008,$W202)),INDEX($J$9:$J$2008,$W202),VALUE(SUBSTITUTE(INDEX($J$9:$J$2008,$W202),",",""))),""))</f>
        <v/>
      </c>
      <c r="AI202" s="29">
        <f>IF($W202="","",IFERROR(IF(ISNUMBER(INDEX($K$9:$K$2008,$W202)),INDEX($K$9:$K$2008,$W202),VALUE(SUBSTITUTE(INDEX($K$9:$K$2008,$W202),",",""))),""))</f>
        <v/>
      </c>
      <c r="AJ202" s="30">
        <f>IF($W202="","",IFERROR(IF(ISNUMBER(INDEX($L$9:$L$2008,$W202)),INDEX($L$9:$L$2008,$W202),VALUE(SUBSTITUTE(INDEX($L$9:$L$2008,$W202),",",""))),""))</f>
        <v/>
      </c>
      <c r="AK202" s="30">
        <f>IF($W202="","",IFERROR(IF(ISNUMBER(INDEX($M$9:$M$2008,$W202)),INDEX($M$9:$M$2008,$W202),VALUE(SUBSTITUTE(INDEX($M$9:$M$2008,$W202),",",""))),""))</f>
        <v/>
      </c>
      <c r="AL202" s="31">
        <f>IF($W202="","",IFERROR(IF(ISNUMBER(INDEX($P$9:$P$2008,$W202)),INDEX($P$9:$P$2008,$W202),VALUE(SUBSTITUTE(INDEX($P$9:$P$2008,$W202),"%",""))/100),""))</f>
        <v/>
      </c>
    </row>
    <row r="203">
      <c r="S203">
        <f>IF(AND(ISTEXT($A203),ISNUMBER(SEARCH(" - ",$A203)),ISERROR(SEARCH("Folio",$A203)),$D203=""),TRIM($A203),$S202)</f>
        <v/>
      </c>
      <c r="T203">
        <f>IF(AND(ISNUMBER(SEARCH("Folio",$A203)),$D203&lt;&gt;""),1,"")</f>
        <v/>
      </c>
      <c r="U203">
        <f>IF($T203=1,COUNTIF($T$9:$T203,1),"")</f>
        <v/>
      </c>
      <c r="V203">
        <f>IF(AND(ISTEXT($A203),LEFT($A204,3)="Pan"),1,"")</f>
        <v/>
      </c>
      <c r="W203" s="21">
        <f>IFERROR(MATCH(195,$U$9:$U$2008,0),"")</f>
        <v/>
      </c>
      <c r="X203" s="22">
        <f>IF($W203="","",IF($R$5&lt;&gt;"",$R$5,$R$6))</f>
        <v/>
      </c>
      <c r="Y203" s="22">
        <f>IF($W203="","",INDEX($S$9:$S$2008,$W203))</f>
        <v/>
      </c>
      <c r="Z203" s="22">
        <f>IF($W203="","",IFERROR(TRIM(LEFT(SUBSTITUTE(INDEX($A$9:$A$2008,$W203),CHAR(10)," "),SEARCH("Folio",SUBSTITUTE(INDEX($A$9:$A$2008,$W203),CHAR(10)," "))-1)),TRIM(SUBSTITUTE(INDEX($A$9:$A$2008,$W203),CHAR(10)," "))))</f>
        <v/>
      </c>
      <c r="AA203" s="22">
        <f>IF($W203="","",IFERROR(TRIM(SUBSTITUTE(MID(SUBSTITUTE(INDEX($A$9:$A$2008,$W203),CHAR(10)," "),SEARCH("Folio",SUBSTITUTE(INDEX($A$9:$A$2008,$W203),CHAR(10)," "))+5,200),":","")),""))</f>
        <v/>
      </c>
      <c r="AB203" s="23">
        <f>IF($W203="","",IF(ISNUMBER(INDEX($D$9:$D$2008,$W203)),INDEX($D$9:$D$2008,$W203),IFERROR(DATE(2000+VALUE(RIGHT(INDEX($D$9:$D$2008,$W203),2)),VALUE(MID(INDEX($D$9:$D$2008,$W203),4,2)),VALUE(LEFT(INDEX($D$9:$D$2008,$W203),2))),"")))</f>
        <v/>
      </c>
      <c r="AC203" s="24">
        <f>IF($W203="","",IFERROR(IF(ISNUMBER(INDEX($E$9:$E$2008,$W203)),INDEX($E$9:$E$2008,$W203),VALUE(SUBSTITUTE(INDEX($E$9:$E$2008,$W203),",",""))),""))</f>
        <v/>
      </c>
      <c r="AD203" s="24">
        <f>IF($W203="","",IFERROR(IF(ISNUMBER(INDEX($F$9:$F$2008,$W203)),INDEX($F$9:$F$2008,$W203),VALUE(SUBSTITUTE(INDEX($F$9:$F$2008,$W203),",",""))),""))</f>
        <v/>
      </c>
      <c r="AE203" s="24">
        <f>IF($W203="","",IFERROR(IF(ISNUMBER(INDEX($G$9:$G$2008,$W203)),INDEX($G$9:$G$2008,$W203),VALUE(SUBSTITUTE(INDEX($G$9:$G$2008,$W203),",",""))),""))</f>
        <v/>
      </c>
      <c r="AF203" s="24">
        <f>IF($W203="","",IFERROR(IF(ISNUMBER(INDEX($H$9:$H$2008,$W203)),INDEX($H$9:$H$2008,$W203),VALUE(SUBSTITUTE(INDEX($H$9:$H$2008,$W203),",",""))),""))</f>
        <v/>
      </c>
      <c r="AG203" s="24">
        <f>IF($W203="","",IFERROR(IF(ISNUMBER(INDEX($I$9:$I$2008,$W203)),INDEX($I$9:$I$2008,$W203),VALUE(SUBSTITUTE(INDEX($I$9:$I$2008,$W203),",",""))),""))</f>
        <v/>
      </c>
      <c r="AH203" s="24">
        <f>IF($W203="","",IFERROR(IF(ISNUMBER(INDEX($J$9:$J$2008,$W203)),INDEX($J$9:$J$2008,$W203),VALUE(SUBSTITUTE(INDEX($J$9:$J$2008,$W203),",",""))),""))</f>
        <v/>
      </c>
      <c r="AI203" s="24">
        <f>IF($W203="","",IFERROR(IF(ISNUMBER(INDEX($K$9:$K$2008,$W203)),INDEX($K$9:$K$2008,$W203),VALUE(SUBSTITUTE(INDEX($K$9:$K$2008,$W203),",",""))),""))</f>
        <v/>
      </c>
      <c r="AJ203" s="25">
        <f>IF($W203="","",IFERROR(IF(ISNUMBER(INDEX($L$9:$L$2008,$W203)),INDEX($L$9:$L$2008,$W203),VALUE(SUBSTITUTE(INDEX($L$9:$L$2008,$W203),",",""))),""))</f>
        <v/>
      </c>
      <c r="AK203" s="25">
        <f>IF($W203="","",IFERROR(IF(ISNUMBER(INDEX($M$9:$M$2008,$W203)),INDEX($M$9:$M$2008,$W203),VALUE(SUBSTITUTE(INDEX($M$9:$M$2008,$W203),",",""))),""))</f>
        <v/>
      </c>
      <c r="AL203" s="26">
        <f>IF($W203="","",IFERROR(IF(ISNUMBER(INDEX($P$9:$P$2008,$W203)),INDEX($P$9:$P$2008,$W203),VALUE(SUBSTITUTE(INDEX($P$9:$P$2008,$W203),"%",""))/100),""))</f>
        <v/>
      </c>
    </row>
    <row r="204">
      <c r="S204">
        <f>IF(AND(ISTEXT($A204),ISNUMBER(SEARCH(" - ",$A204)),ISERROR(SEARCH("Folio",$A204)),$D204=""),TRIM($A204),$S203)</f>
        <v/>
      </c>
      <c r="T204">
        <f>IF(AND(ISNUMBER(SEARCH("Folio",$A204)),$D204&lt;&gt;""),1,"")</f>
        <v/>
      </c>
      <c r="U204">
        <f>IF($T204=1,COUNTIF($T$9:$T204,1),"")</f>
        <v/>
      </c>
      <c r="V204">
        <f>IF(AND(ISTEXT($A204),LEFT($A205,3)="Pan"),1,"")</f>
        <v/>
      </c>
      <c r="W204" s="21">
        <f>IFERROR(MATCH(196,$U$9:$U$2008,0),"")</f>
        <v/>
      </c>
      <c r="X204" s="27">
        <f>IF($W204="","",IF($R$5&lt;&gt;"",$R$5,$R$6))</f>
        <v/>
      </c>
      <c r="Y204" s="27">
        <f>IF($W204="","",INDEX($S$9:$S$2008,$W204))</f>
        <v/>
      </c>
      <c r="Z204" s="27">
        <f>IF($W204="","",IFERROR(TRIM(LEFT(SUBSTITUTE(INDEX($A$9:$A$2008,$W204),CHAR(10)," "),SEARCH("Folio",SUBSTITUTE(INDEX($A$9:$A$2008,$W204),CHAR(10)," "))-1)),TRIM(SUBSTITUTE(INDEX($A$9:$A$2008,$W204),CHAR(10)," "))))</f>
        <v/>
      </c>
      <c r="AA204" s="27">
        <f>IF($W204="","",IFERROR(TRIM(SUBSTITUTE(MID(SUBSTITUTE(INDEX($A$9:$A$2008,$W204),CHAR(10)," "),SEARCH("Folio",SUBSTITUTE(INDEX($A$9:$A$2008,$W204),CHAR(10)," "))+5,200),":","")),""))</f>
        <v/>
      </c>
      <c r="AB204" s="28">
        <f>IF($W204="","",IF(ISNUMBER(INDEX($D$9:$D$2008,$W204)),INDEX($D$9:$D$2008,$W204),IFERROR(DATE(2000+VALUE(RIGHT(INDEX($D$9:$D$2008,$W204),2)),VALUE(MID(INDEX($D$9:$D$2008,$W204),4,2)),VALUE(LEFT(INDEX($D$9:$D$2008,$W204),2))),"")))</f>
        <v/>
      </c>
      <c r="AC204" s="29">
        <f>IF($W204="","",IFERROR(IF(ISNUMBER(INDEX($E$9:$E$2008,$W204)),INDEX($E$9:$E$2008,$W204),VALUE(SUBSTITUTE(INDEX($E$9:$E$2008,$W204),",",""))),""))</f>
        <v/>
      </c>
      <c r="AD204" s="29">
        <f>IF($W204="","",IFERROR(IF(ISNUMBER(INDEX($F$9:$F$2008,$W204)),INDEX($F$9:$F$2008,$W204),VALUE(SUBSTITUTE(INDEX($F$9:$F$2008,$W204),",",""))),""))</f>
        <v/>
      </c>
      <c r="AE204" s="29">
        <f>IF($W204="","",IFERROR(IF(ISNUMBER(INDEX($G$9:$G$2008,$W204)),INDEX($G$9:$G$2008,$W204),VALUE(SUBSTITUTE(INDEX($G$9:$G$2008,$W204),",",""))),""))</f>
        <v/>
      </c>
      <c r="AF204" s="29">
        <f>IF($W204="","",IFERROR(IF(ISNUMBER(INDEX($H$9:$H$2008,$W204)),INDEX($H$9:$H$2008,$W204),VALUE(SUBSTITUTE(INDEX($H$9:$H$2008,$W204),",",""))),""))</f>
        <v/>
      </c>
      <c r="AG204" s="29">
        <f>IF($W204="","",IFERROR(IF(ISNUMBER(INDEX($I$9:$I$2008,$W204)),INDEX($I$9:$I$2008,$W204),VALUE(SUBSTITUTE(INDEX($I$9:$I$2008,$W204),",",""))),""))</f>
        <v/>
      </c>
      <c r="AH204" s="29">
        <f>IF($W204="","",IFERROR(IF(ISNUMBER(INDEX($J$9:$J$2008,$W204)),INDEX($J$9:$J$2008,$W204),VALUE(SUBSTITUTE(INDEX($J$9:$J$2008,$W204),",",""))),""))</f>
        <v/>
      </c>
      <c r="AI204" s="29">
        <f>IF($W204="","",IFERROR(IF(ISNUMBER(INDEX($K$9:$K$2008,$W204)),INDEX($K$9:$K$2008,$W204),VALUE(SUBSTITUTE(INDEX($K$9:$K$2008,$W204),",",""))),""))</f>
        <v/>
      </c>
      <c r="AJ204" s="30">
        <f>IF($W204="","",IFERROR(IF(ISNUMBER(INDEX($L$9:$L$2008,$W204)),INDEX($L$9:$L$2008,$W204),VALUE(SUBSTITUTE(INDEX($L$9:$L$2008,$W204),",",""))),""))</f>
        <v/>
      </c>
      <c r="AK204" s="30">
        <f>IF($W204="","",IFERROR(IF(ISNUMBER(INDEX($M$9:$M$2008,$W204)),INDEX($M$9:$M$2008,$W204),VALUE(SUBSTITUTE(INDEX($M$9:$M$2008,$W204),",",""))),""))</f>
        <v/>
      </c>
      <c r="AL204" s="31">
        <f>IF($W204="","",IFERROR(IF(ISNUMBER(INDEX($P$9:$P$2008,$W204)),INDEX($P$9:$P$2008,$W204),VALUE(SUBSTITUTE(INDEX($P$9:$P$2008,$W204),"%",""))/100),""))</f>
        <v/>
      </c>
    </row>
    <row r="205">
      <c r="S205">
        <f>IF(AND(ISTEXT($A205),ISNUMBER(SEARCH(" - ",$A205)),ISERROR(SEARCH("Folio",$A205)),$D205=""),TRIM($A205),$S204)</f>
        <v/>
      </c>
      <c r="T205">
        <f>IF(AND(ISNUMBER(SEARCH("Folio",$A205)),$D205&lt;&gt;""),1,"")</f>
        <v/>
      </c>
      <c r="U205">
        <f>IF($T205=1,COUNTIF($T$9:$T205,1),"")</f>
        <v/>
      </c>
      <c r="V205">
        <f>IF(AND(ISTEXT($A205),LEFT($A206,3)="Pan"),1,"")</f>
        <v/>
      </c>
      <c r="W205" s="21">
        <f>IFERROR(MATCH(197,$U$9:$U$2008,0),"")</f>
        <v/>
      </c>
      <c r="X205" s="22">
        <f>IF($W205="","",IF($R$5&lt;&gt;"",$R$5,$R$6))</f>
        <v/>
      </c>
      <c r="Y205" s="22">
        <f>IF($W205="","",INDEX($S$9:$S$2008,$W205))</f>
        <v/>
      </c>
      <c r="Z205" s="22">
        <f>IF($W205="","",IFERROR(TRIM(LEFT(SUBSTITUTE(INDEX($A$9:$A$2008,$W205),CHAR(10)," "),SEARCH("Folio",SUBSTITUTE(INDEX($A$9:$A$2008,$W205),CHAR(10)," "))-1)),TRIM(SUBSTITUTE(INDEX($A$9:$A$2008,$W205),CHAR(10)," "))))</f>
        <v/>
      </c>
      <c r="AA205" s="22">
        <f>IF($W205="","",IFERROR(TRIM(SUBSTITUTE(MID(SUBSTITUTE(INDEX($A$9:$A$2008,$W205),CHAR(10)," "),SEARCH("Folio",SUBSTITUTE(INDEX($A$9:$A$2008,$W205),CHAR(10)," "))+5,200),":","")),""))</f>
        <v/>
      </c>
      <c r="AB205" s="23">
        <f>IF($W205="","",IF(ISNUMBER(INDEX($D$9:$D$2008,$W205)),INDEX($D$9:$D$2008,$W205),IFERROR(DATE(2000+VALUE(RIGHT(INDEX($D$9:$D$2008,$W205),2)),VALUE(MID(INDEX($D$9:$D$2008,$W205),4,2)),VALUE(LEFT(INDEX($D$9:$D$2008,$W205),2))),"")))</f>
        <v/>
      </c>
      <c r="AC205" s="24">
        <f>IF($W205="","",IFERROR(IF(ISNUMBER(INDEX($E$9:$E$2008,$W205)),INDEX($E$9:$E$2008,$W205),VALUE(SUBSTITUTE(INDEX($E$9:$E$2008,$W205),",",""))),""))</f>
        <v/>
      </c>
      <c r="AD205" s="24">
        <f>IF($W205="","",IFERROR(IF(ISNUMBER(INDEX($F$9:$F$2008,$W205)),INDEX($F$9:$F$2008,$W205),VALUE(SUBSTITUTE(INDEX($F$9:$F$2008,$W205),",",""))),""))</f>
        <v/>
      </c>
      <c r="AE205" s="24">
        <f>IF($W205="","",IFERROR(IF(ISNUMBER(INDEX($G$9:$G$2008,$W205)),INDEX($G$9:$G$2008,$W205),VALUE(SUBSTITUTE(INDEX($G$9:$G$2008,$W205),",",""))),""))</f>
        <v/>
      </c>
      <c r="AF205" s="24">
        <f>IF($W205="","",IFERROR(IF(ISNUMBER(INDEX($H$9:$H$2008,$W205)),INDEX($H$9:$H$2008,$W205),VALUE(SUBSTITUTE(INDEX($H$9:$H$2008,$W205),",",""))),""))</f>
        <v/>
      </c>
      <c r="AG205" s="24">
        <f>IF($W205="","",IFERROR(IF(ISNUMBER(INDEX($I$9:$I$2008,$W205)),INDEX($I$9:$I$2008,$W205),VALUE(SUBSTITUTE(INDEX($I$9:$I$2008,$W205),",",""))),""))</f>
        <v/>
      </c>
      <c r="AH205" s="24">
        <f>IF($W205="","",IFERROR(IF(ISNUMBER(INDEX($J$9:$J$2008,$W205)),INDEX($J$9:$J$2008,$W205),VALUE(SUBSTITUTE(INDEX($J$9:$J$2008,$W205),",",""))),""))</f>
        <v/>
      </c>
      <c r="AI205" s="24">
        <f>IF($W205="","",IFERROR(IF(ISNUMBER(INDEX($K$9:$K$2008,$W205)),INDEX($K$9:$K$2008,$W205),VALUE(SUBSTITUTE(INDEX($K$9:$K$2008,$W205),",",""))),""))</f>
        <v/>
      </c>
      <c r="AJ205" s="25">
        <f>IF($W205="","",IFERROR(IF(ISNUMBER(INDEX($L$9:$L$2008,$W205)),INDEX($L$9:$L$2008,$W205),VALUE(SUBSTITUTE(INDEX($L$9:$L$2008,$W205),",",""))),""))</f>
        <v/>
      </c>
      <c r="AK205" s="25">
        <f>IF($W205="","",IFERROR(IF(ISNUMBER(INDEX($M$9:$M$2008,$W205)),INDEX($M$9:$M$2008,$W205),VALUE(SUBSTITUTE(INDEX($M$9:$M$2008,$W205),",",""))),""))</f>
        <v/>
      </c>
      <c r="AL205" s="26">
        <f>IF($W205="","",IFERROR(IF(ISNUMBER(INDEX($P$9:$P$2008,$W205)),INDEX($P$9:$P$2008,$W205),VALUE(SUBSTITUTE(INDEX($P$9:$P$2008,$W205),"%",""))/100),""))</f>
        <v/>
      </c>
    </row>
    <row r="206">
      <c r="S206">
        <f>IF(AND(ISTEXT($A206),ISNUMBER(SEARCH(" - ",$A206)),ISERROR(SEARCH("Folio",$A206)),$D206=""),TRIM($A206),$S205)</f>
        <v/>
      </c>
      <c r="T206">
        <f>IF(AND(ISNUMBER(SEARCH("Folio",$A206)),$D206&lt;&gt;""),1,"")</f>
        <v/>
      </c>
      <c r="U206">
        <f>IF($T206=1,COUNTIF($T$9:$T206,1),"")</f>
        <v/>
      </c>
      <c r="V206">
        <f>IF(AND(ISTEXT($A206),LEFT($A207,3)="Pan"),1,"")</f>
        <v/>
      </c>
      <c r="W206" s="21">
        <f>IFERROR(MATCH(198,$U$9:$U$2008,0),"")</f>
        <v/>
      </c>
      <c r="X206" s="27">
        <f>IF($W206="","",IF($R$5&lt;&gt;"",$R$5,$R$6))</f>
        <v/>
      </c>
      <c r="Y206" s="27">
        <f>IF($W206="","",INDEX($S$9:$S$2008,$W206))</f>
        <v/>
      </c>
      <c r="Z206" s="27">
        <f>IF($W206="","",IFERROR(TRIM(LEFT(SUBSTITUTE(INDEX($A$9:$A$2008,$W206),CHAR(10)," "),SEARCH("Folio",SUBSTITUTE(INDEX($A$9:$A$2008,$W206),CHAR(10)," "))-1)),TRIM(SUBSTITUTE(INDEX($A$9:$A$2008,$W206),CHAR(10)," "))))</f>
        <v/>
      </c>
      <c r="AA206" s="27">
        <f>IF($W206="","",IFERROR(TRIM(SUBSTITUTE(MID(SUBSTITUTE(INDEX($A$9:$A$2008,$W206),CHAR(10)," "),SEARCH("Folio",SUBSTITUTE(INDEX($A$9:$A$2008,$W206),CHAR(10)," "))+5,200),":","")),""))</f>
        <v/>
      </c>
      <c r="AB206" s="28">
        <f>IF($W206="","",IF(ISNUMBER(INDEX($D$9:$D$2008,$W206)),INDEX($D$9:$D$2008,$W206),IFERROR(DATE(2000+VALUE(RIGHT(INDEX($D$9:$D$2008,$W206),2)),VALUE(MID(INDEX($D$9:$D$2008,$W206),4,2)),VALUE(LEFT(INDEX($D$9:$D$2008,$W206),2))),"")))</f>
        <v/>
      </c>
      <c r="AC206" s="29">
        <f>IF($W206="","",IFERROR(IF(ISNUMBER(INDEX($E$9:$E$2008,$W206)),INDEX($E$9:$E$2008,$W206),VALUE(SUBSTITUTE(INDEX($E$9:$E$2008,$W206),",",""))),""))</f>
        <v/>
      </c>
      <c r="AD206" s="29">
        <f>IF($W206="","",IFERROR(IF(ISNUMBER(INDEX($F$9:$F$2008,$W206)),INDEX($F$9:$F$2008,$W206),VALUE(SUBSTITUTE(INDEX($F$9:$F$2008,$W206),",",""))),""))</f>
        <v/>
      </c>
      <c r="AE206" s="29">
        <f>IF($W206="","",IFERROR(IF(ISNUMBER(INDEX($G$9:$G$2008,$W206)),INDEX($G$9:$G$2008,$W206),VALUE(SUBSTITUTE(INDEX($G$9:$G$2008,$W206),",",""))),""))</f>
        <v/>
      </c>
      <c r="AF206" s="29">
        <f>IF($W206="","",IFERROR(IF(ISNUMBER(INDEX($H$9:$H$2008,$W206)),INDEX($H$9:$H$2008,$W206),VALUE(SUBSTITUTE(INDEX($H$9:$H$2008,$W206),",",""))),""))</f>
        <v/>
      </c>
      <c r="AG206" s="29">
        <f>IF($W206="","",IFERROR(IF(ISNUMBER(INDEX($I$9:$I$2008,$W206)),INDEX($I$9:$I$2008,$W206),VALUE(SUBSTITUTE(INDEX($I$9:$I$2008,$W206),",",""))),""))</f>
        <v/>
      </c>
      <c r="AH206" s="29">
        <f>IF($W206="","",IFERROR(IF(ISNUMBER(INDEX($J$9:$J$2008,$W206)),INDEX($J$9:$J$2008,$W206),VALUE(SUBSTITUTE(INDEX($J$9:$J$2008,$W206),",",""))),""))</f>
        <v/>
      </c>
      <c r="AI206" s="29">
        <f>IF($W206="","",IFERROR(IF(ISNUMBER(INDEX($K$9:$K$2008,$W206)),INDEX($K$9:$K$2008,$W206),VALUE(SUBSTITUTE(INDEX($K$9:$K$2008,$W206),",",""))),""))</f>
        <v/>
      </c>
      <c r="AJ206" s="30">
        <f>IF($W206="","",IFERROR(IF(ISNUMBER(INDEX($L$9:$L$2008,$W206)),INDEX($L$9:$L$2008,$W206),VALUE(SUBSTITUTE(INDEX($L$9:$L$2008,$W206),",",""))),""))</f>
        <v/>
      </c>
      <c r="AK206" s="30">
        <f>IF($W206="","",IFERROR(IF(ISNUMBER(INDEX($M$9:$M$2008,$W206)),INDEX($M$9:$M$2008,$W206),VALUE(SUBSTITUTE(INDEX($M$9:$M$2008,$W206),",",""))),""))</f>
        <v/>
      </c>
      <c r="AL206" s="31">
        <f>IF($W206="","",IFERROR(IF(ISNUMBER(INDEX($P$9:$P$2008,$W206)),INDEX($P$9:$P$2008,$W206),VALUE(SUBSTITUTE(INDEX($P$9:$P$2008,$W206),"%",""))/100),""))</f>
        <v/>
      </c>
    </row>
    <row r="207">
      <c r="S207">
        <f>IF(AND(ISTEXT($A207),ISNUMBER(SEARCH(" - ",$A207)),ISERROR(SEARCH("Folio",$A207)),$D207=""),TRIM($A207),$S206)</f>
        <v/>
      </c>
      <c r="T207">
        <f>IF(AND(ISNUMBER(SEARCH("Folio",$A207)),$D207&lt;&gt;""),1,"")</f>
        <v/>
      </c>
      <c r="U207">
        <f>IF($T207=1,COUNTIF($T$9:$T207,1),"")</f>
        <v/>
      </c>
      <c r="V207">
        <f>IF(AND(ISTEXT($A207),LEFT($A208,3)="Pan"),1,"")</f>
        <v/>
      </c>
      <c r="W207" s="21">
        <f>IFERROR(MATCH(199,$U$9:$U$2008,0),"")</f>
        <v/>
      </c>
      <c r="X207" s="22">
        <f>IF($W207="","",IF($R$5&lt;&gt;"",$R$5,$R$6))</f>
        <v/>
      </c>
      <c r="Y207" s="22">
        <f>IF($W207="","",INDEX($S$9:$S$2008,$W207))</f>
        <v/>
      </c>
      <c r="Z207" s="22">
        <f>IF($W207="","",IFERROR(TRIM(LEFT(SUBSTITUTE(INDEX($A$9:$A$2008,$W207),CHAR(10)," "),SEARCH("Folio",SUBSTITUTE(INDEX($A$9:$A$2008,$W207),CHAR(10)," "))-1)),TRIM(SUBSTITUTE(INDEX($A$9:$A$2008,$W207),CHAR(10)," "))))</f>
        <v/>
      </c>
      <c r="AA207" s="22">
        <f>IF($W207="","",IFERROR(TRIM(SUBSTITUTE(MID(SUBSTITUTE(INDEX($A$9:$A$2008,$W207),CHAR(10)," "),SEARCH("Folio",SUBSTITUTE(INDEX($A$9:$A$2008,$W207),CHAR(10)," "))+5,200),":","")),""))</f>
        <v/>
      </c>
      <c r="AB207" s="23">
        <f>IF($W207="","",IF(ISNUMBER(INDEX($D$9:$D$2008,$W207)),INDEX($D$9:$D$2008,$W207),IFERROR(DATE(2000+VALUE(RIGHT(INDEX($D$9:$D$2008,$W207),2)),VALUE(MID(INDEX($D$9:$D$2008,$W207),4,2)),VALUE(LEFT(INDEX($D$9:$D$2008,$W207),2))),"")))</f>
        <v/>
      </c>
      <c r="AC207" s="24">
        <f>IF($W207="","",IFERROR(IF(ISNUMBER(INDEX($E$9:$E$2008,$W207)),INDEX($E$9:$E$2008,$W207),VALUE(SUBSTITUTE(INDEX($E$9:$E$2008,$W207),",",""))),""))</f>
        <v/>
      </c>
      <c r="AD207" s="24">
        <f>IF($W207="","",IFERROR(IF(ISNUMBER(INDEX($F$9:$F$2008,$W207)),INDEX($F$9:$F$2008,$W207),VALUE(SUBSTITUTE(INDEX($F$9:$F$2008,$W207),",",""))),""))</f>
        <v/>
      </c>
      <c r="AE207" s="24">
        <f>IF($W207="","",IFERROR(IF(ISNUMBER(INDEX($G$9:$G$2008,$W207)),INDEX($G$9:$G$2008,$W207),VALUE(SUBSTITUTE(INDEX($G$9:$G$2008,$W207),",",""))),""))</f>
        <v/>
      </c>
      <c r="AF207" s="24">
        <f>IF($W207="","",IFERROR(IF(ISNUMBER(INDEX($H$9:$H$2008,$W207)),INDEX($H$9:$H$2008,$W207),VALUE(SUBSTITUTE(INDEX($H$9:$H$2008,$W207),",",""))),""))</f>
        <v/>
      </c>
      <c r="AG207" s="24">
        <f>IF($W207="","",IFERROR(IF(ISNUMBER(INDEX($I$9:$I$2008,$W207)),INDEX($I$9:$I$2008,$W207),VALUE(SUBSTITUTE(INDEX($I$9:$I$2008,$W207),",",""))),""))</f>
        <v/>
      </c>
      <c r="AH207" s="24">
        <f>IF($W207="","",IFERROR(IF(ISNUMBER(INDEX($J$9:$J$2008,$W207)),INDEX($J$9:$J$2008,$W207),VALUE(SUBSTITUTE(INDEX($J$9:$J$2008,$W207),",",""))),""))</f>
        <v/>
      </c>
      <c r="AI207" s="24">
        <f>IF($W207="","",IFERROR(IF(ISNUMBER(INDEX($K$9:$K$2008,$W207)),INDEX($K$9:$K$2008,$W207),VALUE(SUBSTITUTE(INDEX($K$9:$K$2008,$W207),",",""))),""))</f>
        <v/>
      </c>
      <c r="AJ207" s="25">
        <f>IF($W207="","",IFERROR(IF(ISNUMBER(INDEX($L$9:$L$2008,$W207)),INDEX($L$9:$L$2008,$W207),VALUE(SUBSTITUTE(INDEX($L$9:$L$2008,$W207),",",""))),""))</f>
        <v/>
      </c>
      <c r="AK207" s="25">
        <f>IF($W207="","",IFERROR(IF(ISNUMBER(INDEX($M$9:$M$2008,$W207)),INDEX($M$9:$M$2008,$W207),VALUE(SUBSTITUTE(INDEX($M$9:$M$2008,$W207),",",""))),""))</f>
        <v/>
      </c>
      <c r="AL207" s="26">
        <f>IF($W207="","",IFERROR(IF(ISNUMBER(INDEX($P$9:$P$2008,$W207)),INDEX($P$9:$P$2008,$W207),VALUE(SUBSTITUTE(INDEX($P$9:$P$2008,$W207),"%",""))/100),""))</f>
        <v/>
      </c>
    </row>
    <row r="208">
      <c r="S208">
        <f>IF(AND(ISTEXT($A208),ISNUMBER(SEARCH(" - ",$A208)),ISERROR(SEARCH("Folio",$A208)),$D208=""),TRIM($A208),$S207)</f>
        <v/>
      </c>
      <c r="T208">
        <f>IF(AND(ISNUMBER(SEARCH("Folio",$A208)),$D208&lt;&gt;""),1,"")</f>
        <v/>
      </c>
      <c r="U208">
        <f>IF($T208=1,COUNTIF($T$9:$T208,1),"")</f>
        <v/>
      </c>
      <c r="V208">
        <f>IF(AND(ISTEXT($A208),LEFT($A209,3)="Pan"),1,"")</f>
        <v/>
      </c>
      <c r="W208" s="21">
        <f>IFERROR(MATCH(200,$U$9:$U$2008,0),"")</f>
        <v/>
      </c>
      <c r="X208" s="27">
        <f>IF($W208="","",IF($R$5&lt;&gt;"",$R$5,$R$6))</f>
        <v/>
      </c>
      <c r="Y208" s="27">
        <f>IF($W208="","",INDEX($S$9:$S$2008,$W208))</f>
        <v/>
      </c>
      <c r="Z208" s="27">
        <f>IF($W208="","",IFERROR(TRIM(LEFT(SUBSTITUTE(INDEX($A$9:$A$2008,$W208),CHAR(10)," "),SEARCH("Folio",SUBSTITUTE(INDEX($A$9:$A$2008,$W208),CHAR(10)," "))-1)),TRIM(SUBSTITUTE(INDEX($A$9:$A$2008,$W208),CHAR(10)," "))))</f>
        <v/>
      </c>
      <c r="AA208" s="27">
        <f>IF($W208="","",IFERROR(TRIM(SUBSTITUTE(MID(SUBSTITUTE(INDEX($A$9:$A$2008,$W208),CHAR(10)," "),SEARCH("Folio",SUBSTITUTE(INDEX($A$9:$A$2008,$W208),CHAR(10)," "))+5,200),":","")),""))</f>
        <v/>
      </c>
      <c r="AB208" s="28">
        <f>IF($W208="","",IF(ISNUMBER(INDEX($D$9:$D$2008,$W208)),INDEX($D$9:$D$2008,$W208),IFERROR(DATE(2000+VALUE(RIGHT(INDEX($D$9:$D$2008,$W208),2)),VALUE(MID(INDEX($D$9:$D$2008,$W208),4,2)),VALUE(LEFT(INDEX($D$9:$D$2008,$W208),2))),"")))</f>
        <v/>
      </c>
      <c r="AC208" s="29">
        <f>IF($W208="","",IFERROR(IF(ISNUMBER(INDEX($E$9:$E$2008,$W208)),INDEX($E$9:$E$2008,$W208),VALUE(SUBSTITUTE(INDEX($E$9:$E$2008,$W208),",",""))),""))</f>
        <v/>
      </c>
      <c r="AD208" s="29">
        <f>IF($W208="","",IFERROR(IF(ISNUMBER(INDEX($F$9:$F$2008,$W208)),INDEX($F$9:$F$2008,$W208),VALUE(SUBSTITUTE(INDEX($F$9:$F$2008,$W208),",",""))),""))</f>
        <v/>
      </c>
      <c r="AE208" s="29">
        <f>IF($W208="","",IFERROR(IF(ISNUMBER(INDEX($G$9:$G$2008,$W208)),INDEX($G$9:$G$2008,$W208),VALUE(SUBSTITUTE(INDEX($G$9:$G$2008,$W208),",",""))),""))</f>
        <v/>
      </c>
      <c r="AF208" s="29">
        <f>IF($W208="","",IFERROR(IF(ISNUMBER(INDEX($H$9:$H$2008,$W208)),INDEX($H$9:$H$2008,$W208),VALUE(SUBSTITUTE(INDEX($H$9:$H$2008,$W208),",",""))),""))</f>
        <v/>
      </c>
      <c r="AG208" s="29">
        <f>IF($W208="","",IFERROR(IF(ISNUMBER(INDEX($I$9:$I$2008,$W208)),INDEX($I$9:$I$2008,$W208),VALUE(SUBSTITUTE(INDEX($I$9:$I$2008,$W208),",",""))),""))</f>
        <v/>
      </c>
      <c r="AH208" s="29">
        <f>IF($W208="","",IFERROR(IF(ISNUMBER(INDEX($J$9:$J$2008,$W208)),INDEX($J$9:$J$2008,$W208),VALUE(SUBSTITUTE(INDEX($J$9:$J$2008,$W208),",",""))),""))</f>
        <v/>
      </c>
      <c r="AI208" s="29">
        <f>IF($W208="","",IFERROR(IF(ISNUMBER(INDEX($K$9:$K$2008,$W208)),INDEX($K$9:$K$2008,$W208),VALUE(SUBSTITUTE(INDEX($K$9:$K$2008,$W208),",",""))),""))</f>
        <v/>
      </c>
      <c r="AJ208" s="30">
        <f>IF($W208="","",IFERROR(IF(ISNUMBER(INDEX($L$9:$L$2008,$W208)),INDEX($L$9:$L$2008,$W208),VALUE(SUBSTITUTE(INDEX($L$9:$L$2008,$W208),",",""))),""))</f>
        <v/>
      </c>
      <c r="AK208" s="30">
        <f>IF($W208="","",IFERROR(IF(ISNUMBER(INDEX($M$9:$M$2008,$W208)),INDEX($M$9:$M$2008,$W208),VALUE(SUBSTITUTE(INDEX($M$9:$M$2008,$W208),",",""))),""))</f>
        <v/>
      </c>
      <c r="AL208" s="31">
        <f>IF($W208="","",IFERROR(IF(ISNUMBER(INDEX($P$9:$P$2008,$W208)),INDEX($P$9:$P$2008,$W208),VALUE(SUBSTITUTE(INDEX($P$9:$P$2008,$W208),"%",""))/100),""))</f>
        <v/>
      </c>
    </row>
    <row r="209">
      <c r="S209">
        <f>IF(AND(ISTEXT($A209),ISNUMBER(SEARCH(" - ",$A209)),ISERROR(SEARCH("Folio",$A209)),$D209=""),TRIM($A209),$S208)</f>
        <v/>
      </c>
      <c r="T209">
        <f>IF(AND(ISNUMBER(SEARCH("Folio",$A209)),$D209&lt;&gt;""),1,"")</f>
        <v/>
      </c>
      <c r="U209">
        <f>IF($T209=1,COUNTIF($T$9:$T209,1),"")</f>
        <v/>
      </c>
      <c r="V209">
        <f>IF(AND(ISTEXT($A209),LEFT($A210,3)="Pan"),1,"")</f>
        <v/>
      </c>
      <c r="W209" s="21">
        <f>IFERROR(MATCH(201,$U$9:$U$2008,0),"")</f>
        <v/>
      </c>
      <c r="X209" s="22">
        <f>IF($W209="","",IF($R$5&lt;&gt;"",$R$5,$R$6))</f>
        <v/>
      </c>
      <c r="Y209" s="22">
        <f>IF($W209="","",INDEX($S$9:$S$2008,$W209))</f>
        <v/>
      </c>
      <c r="Z209" s="22">
        <f>IF($W209="","",IFERROR(TRIM(LEFT(SUBSTITUTE(INDEX($A$9:$A$2008,$W209),CHAR(10)," "),SEARCH("Folio",SUBSTITUTE(INDEX($A$9:$A$2008,$W209),CHAR(10)," "))-1)),TRIM(SUBSTITUTE(INDEX($A$9:$A$2008,$W209),CHAR(10)," "))))</f>
        <v/>
      </c>
      <c r="AA209" s="22">
        <f>IF($W209="","",IFERROR(TRIM(SUBSTITUTE(MID(SUBSTITUTE(INDEX($A$9:$A$2008,$W209),CHAR(10)," "),SEARCH("Folio",SUBSTITUTE(INDEX($A$9:$A$2008,$W209),CHAR(10)," "))+5,200),":","")),""))</f>
        <v/>
      </c>
      <c r="AB209" s="23">
        <f>IF($W209="","",IF(ISNUMBER(INDEX($D$9:$D$2008,$W209)),INDEX($D$9:$D$2008,$W209),IFERROR(DATE(2000+VALUE(RIGHT(INDEX($D$9:$D$2008,$W209),2)),VALUE(MID(INDEX($D$9:$D$2008,$W209),4,2)),VALUE(LEFT(INDEX($D$9:$D$2008,$W209),2))),"")))</f>
        <v/>
      </c>
      <c r="AC209" s="24">
        <f>IF($W209="","",IFERROR(IF(ISNUMBER(INDEX($E$9:$E$2008,$W209)),INDEX($E$9:$E$2008,$W209),VALUE(SUBSTITUTE(INDEX($E$9:$E$2008,$W209),",",""))),""))</f>
        <v/>
      </c>
      <c r="AD209" s="24">
        <f>IF($W209="","",IFERROR(IF(ISNUMBER(INDEX($F$9:$F$2008,$W209)),INDEX($F$9:$F$2008,$W209),VALUE(SUBSTITUTE(INDEX($F$9:$F$2008,$W209),",",""))),""))</f>
        <v/>
      </c>
      <c r="AE209" s="24">
        <f>IF($W209="","",IFERROR(IF(ISNUMBER(INDEX($G$9:$G$2008,$W209)),INDEX($G$9:$G$2008,$W209),VALUE(SUBSTITUTE(INDEX($G$9:$G$2008,$W209),",",""))),""))</f>
        <v/>
      </c>
      <c r="AF209" s="24">
        <f>IF($W209="","",IFERROR(IF(ISNUMBER(INDEX($H$9:$H$2008,$W209)),INDEX($H$9:$H$2008,$W209),VALUE(SUBSTITUTE(INDEX($H$9:$H$2008,$W209),",",""))),""))</f>
        <v/>
      </c>
      <c r="AG209" s="24">
        <f>IF($W209="","",IFERROR(IF(ISNUMBER(INDEX($I$9:$I$2008,$W209)),INDEX($I$9:$I$2008,$W209),VALUE(SUBSTITUTE(INDEX($I$9:$I$2008,$W209),",",""))),""))</f>
        <v/>
      </c>
      <c r="AH209" s="24">
        <f>IF($W209="","",IFERROR(IF(ISNUMBER(INDEX($J$9:$J$2008,$W209)),INDEX($J$9:$J$2008,$W209),VALUE(SUBSTITUTE(INDEX($J$9:$J$2008,$W209),",",""))),""))</f>
        <v/>
      </c>
      <c r="AI209" s="24">
        <f>IF($W209="","",IFERROR(IF(ISNUMBER(INDEX($K$9:$K$2008,$W209)),INDEX($K$9:$K$2008,$W209),VALUE(SUBSTITUTE(INDEX($K$9:$K$2008,$W209),",",""))),""))</f>
        <v/>
      </c>
      <c r="AJ209" s="25">
        <f>IF($W209="","",IFERROR(IF(ISNUMBER(INDEX($L$9:$L$2008,$W209)),INDEX($L$9:$L$2008,$W209),VALUE(SUBSTITUTE(INDEX($L$9:$L$2008,$W209),",",""))),""))</f>
        <v/>
      </c>
      <c r="AK209" s="25">
        <f>IF($W209="","",IFERROR(IF(ISNUMBER(INDEX($M$9:$M$2008,$W209)),INDEX($M$9:$M$2008,$W209),VALUE(SUBSTITUTE(INDEX($M$9:$M$2008,$W209),",",""))),""))</f>
        <v/>
      </c>
      <c r="AL209" s="26">
        <f>IF($W209="","",IFERROR(IF(ISNUMBER(INDEX($P$9:$P$2008,$W209)),INDEX($P$9:$P$2008,$W209),VALUE(SUBSTITUTE(INDEX($P$9:$P$2008,$W209),"%",""))/100),""))</f>
        <v/>
      </c>
    </row>
    <row r="210">
      <c r="S210">
        <f>IF(AND(ISTEXT($A210),ISNUMBER(SEARCH(" - ",$A210)),ISERROR(SEARCH("Folio",$A210)),$D210=""),TRIM($A210),$S209)</f>
        <v/>
      </c>
      <c r="T210">
        <f>IF(AND(ISNUMBER(SEARCH("Folio",$A210)),$D210&lt;&gt;""),1,"")</f>
        <v/>
      </c>
      <c r="U210">
        <f>IF($T210=1,COUNTIF($T$9:$T210,1),"")</f>
        <v/>
      </c>
      <c r="V210">
        <f>IF(AND(ISTEXT($A210),LEFT($A211,3)="Pan"),1,"")</f>
        <v/>
      </c>
      <c r="W210" s="21">
        <f>IFERROR(MATCH(202,$U$9:$U$2008,0),"")</f>
        <v/>
      </c>
      <c r="X210" s="27">
        <f>IF($W210="","",IF($R$5&lt;&gt;"",$R$5,$R$6))</f>
        <v/>
      </c>
      <c r="Y210" s="27">
        <f>IF($W210="","",INDEX($S$9:$S$2008,$W210))</f>
        <v/>
      </c>
      <c r="Z210" s="27">
        <f>IF($W210="","",IFERROR(TRIM(LEFT(SUBSTITUTE(INDEX($A$9:$A$2008,$W210),CHAR(10)," "),SEARCH("Folio",SUBSTITUTE(INDEX($A$9:$A$2008,$W210),CHAR(10)," "))-1)),TRIM(SUBSTITUTE(INDEX($A$9:$A$2008,$W210),CHAR(10)," "))))</f>
        <v/>
      </c>
      <c r="AA210" s="27">
        <f>IF($W210="","",IFERROR(TRIM(SUBSTITUTE(MID(SUBSTITUTE(INDEX($A$9:$A$2008,$W210),CHAR(10)," "),SEARCH("Folio",SUBSTITUTE(INDEX($A$9:$A$2008,$W210),CHAR(10)," "))+5,200),":","")),""))</f>
        <v/>
      </c>
      <c r="AB210" s="28">
        <f>IF($W210="","",IF(ISNUMBER(INDEX($D$9:$D$2008,$W210)),INDEX($D$9:$D$2008,$W210),IFERROR(DATE(2000+VALUE(RIGHT(INDEX($D$9:$D$2008,$W210),2)),VALUE(MID(INDEX($D$9:$D$2008,$W210),4,2)),VALUE(LEFT(INDEX($D$9:$D$2008,$W210),2))),"")))</f>
        <v/>
      </c>
      <c r="AC210" s="29">
        <f>IF($W210="","",IFERROR(IF(ISNUMBER(INDEX($E$9:$E$2008,$W210)),INDEX($E$9:$E$2008,$W210),VALUE(SUBSTITUTE(INDEX($E$9:$E$2008,$W210),",",""))),""))</f>
        <v/>
      </c>
      <c r="AD210" s="29">
        <f>IF($W210="","",IFERROR(IF(ISNUMBER(INDEX($F$9:$F$2008,$W210)),INDEX($F$9:$F$2008,$W210),VALUE(SUBSTITUTE(INDEX($F$9:$F$2008,$W210),",",""))),""))</f>
        <v/>
      </c>
      <c r="AE210" s="29">
        <f>IF($W210="","",IFERROR(IF(ISNUMBER(INDEX($G$9:$G$2008,$W210)),INDEX($G$9:$G$2008,$W210),VALUE(SUBSTITUTE(INDEX($G$9:$G$2008,$W210),",",""))),""))</f>
        <v/>
      </c>
      <c r="AF210" s="29">
        <f>IF($W210="","",IFERROR(IF(ISNUMBER(INDEX($H$9:$H$2008,$W210)),INDEX($H$9:$H$2008,$W210),VALUE(SUBSTITUTE(INDEX($H$9:$H$2008,$W210),",",""))),""))</f>
        <v/>
      </c>
      <c r="AG210" s="29">
        <f>IF($W210="","",IFERROR(IF(ISNUMBER(INDEX($I$9:$I$2008,$W210)),INDEX($I$9:$I$2008,$W210),VALUE(SUBSTITUTE(INDEX($I$9:$I$2008,$W210),",",""))),""))</f>
        <v/>
      </c>
      <c r="AH210" s="29">
        <f>IF($W210="","",IFERROR(IF(ISNUMBER(INDEX($J$9:$J$2008,$W210)),INDEX($J$9:$J$2008,$W210),VALUE(SUBSTITUTE(INDEX($J$9:$J$2008,$W210),",",""))),""))</f>
        <v/>
      </c>
      <c r="AI210" s="29">
        <f>IF($W210="","",IFERROR(IF(ISNUMBER(INDEX($K$9:$K$2008,$W210)),INDEX($K$9:$K$2008,$W210),VALUE(SUBSTITUTE(INDEX($K$9:$K$2008,$W210),",",""))),""))</f>
        <v/>
      </c>
      <c r="AJ210" s="30">
        <f>IF($W210="","",IFERROR(IF(ISNUMBER(INDEX($L$9:$L$2008,$W210)),INDEX($L$9:$L$2008,$W210),VALUE(SUBSTITUTE(INDEX($L$9:$L$2008,$W210),",",""))),""))</f>
        <v/>
      </c>
      <c r="AK210" s="30">
        <f>IF($W210="","",IFERROR(IF(ISNUMBER(INDEX($M$9:$M$2008,$W210)),INDEX($M$9:$M$2008,$W210),VALUE(SUBSTITUTE(INDEX($M$9:$M$2008,$W210),",",""))),""))</f>
        <v/>
      </c>
      <c r="AL210" s="31">
        <f>IF($W210="","",IFERROR(IF(ISNUMBER(INDEX($P$9:$P$2008,$W210)),INDEX($P$9:$P$2008,$W210),VALUE(SUBSTITUTE(INDEX($P$9:$P$2008,$W210),"%",""))/100),""))</f>
        <v/>
      </c>
    </row>
    <row r="211">
      <c r="S211">
        <f>IF(AND(ISTEXT($A211),ISNUMBER(SEARCH(" - ",$A211)),ISERROR(SEARCH("Folio",$A211)),$D211=""),TRIM($A211),$S210)</f>
        <v/>
      </c>
      <c r="T211">
        <f>IF(AND(ISNUMBER(SEARCH("Folio",$A211)),$D211&lt;&gt;""),1,"")</f>
        <v/>
      </c>
      <c r="U211">
        <f>IF($T211=1,COUNTIF($T$9:$T211,1),"")</f>
        <v/>
      </c>
      <c r="V211">
        <f>IF(AND(ISTEXT($A211),LEFT($A212,3)="Pan"),1,"")</f>
        <v/>
      </c>
      <c r="W211" s="21">
        <f>IFERROR(MATCH(203,$U$9:$U$2008,0),"")</f>
        <v/>
      </c>
      <c r="X211" s="22">
        <f>IF($W211="","",IF($R$5&lt;&gt;"",$R$5,$R$6))</f>
        <v/>
      </c>
      <c r="Y211" s="22">
        <f>IF($W211="","",INDEX($S$9:$S$2008,$W211))</f>
        <v/>
      </c>
      <c r="Z211" s="22">
        <f>IF($W211="","",IFERROR(TRIM(LEFT(SUBSTITUTE(INDEX($A$9:$A$2008,$W211),CHAR(10)," "),SEARCH("Folio",SUBSTITUTE(INDEX($A$9:$A$2008,$W211),CHAR(10)," "))-1)),TRIM(SUBSTITUTE(INDEX($A$9:$A$2008,$W211),CHAR(10)," "))))</f>
        <v/>
      </c>
      <c r="AA211" s="22">
        <f>IF($W211="","",IFERROR(TRIM(SUBSTITUTE(MID(SUBSTITUTE(INDEX($A$9:$A$2008,$W211),CHAR(10)," "),SEARCH("Folio",SUBSTITUTE(INDEX($A$9:$A$2008,$W211),CHAR(10)," "))+5,200),":","")),""))</f>
        <v/>
      </c>
      <c r="AB211" s="23">
        <f>IF($W211="","",IF(ISNUMBER(INDEX($D$9:$D$2008,$W211)),INDEX($D$9:$D$2008,$W211),IFERROR(DATE(2000+VALUE(RIGHT(INDEX($D$9:$D$2008,$W211),2)),VALUE(MID(INDEX($D$9:$D$2008,$W211),4,2)),VALUE(LEFT(INDEX($D$9:$D$2008,$W211),2))),"")))</f>
        <v/>
      </c>
      <c r="AC211" s="24">
        <f>IF($W211="","",IFERROR(IF(ISNUMBER(INDEX($E$9:$E$2008,$W211)),INDEX($E$9:$E$2008,$W211),VALUE(SUBSTITUTE(INDEX($E$9:$E$2008,$W211),",",""))),""))</f>
        <v/>
      </c>
      <c r="AD211" s="24">
        <f>IF($W211="","",IFERROR(IF(ISNUMBER(INDEX($F$9:$F$2008,$W211)),INDEX($F$9:$F$2008,$W211),VALUE(SUBSTITUTE(INDEX($F$9:$F$2008,$W211),",",""))),""))</f>
        <v/>
      </c>
      <c r="AE211" s="24">
        <f>IF($W211="","",IFERROR(IF(ISNUMBER(INDEX($G$9:$G$2008,$W211)),INDEX($G$9:$G$2008,$W211),VALUE(SUBSTITUTE(INDEX($G$9:$G$2008,$W211),",",""))),""))</f>
        <v/>
      </c>
      <c r="AF211" s="24">
        <f>IF($W211="","",IFERROR(IF(ISNUMBER(INDEX($H$9:$H$2008,$W211)),INDEX($H$9:$H$2008,$W211),VALUE(SUBSTITUTE(INDEX($H$9:$H$2008,$W211),",",""))),""))</f>
        <v/>
      </c>
      <c r="AG211" s="24">
        <f>IF($W211="","",IFERROR(IF(ISNUMBER(INDEX($I$9:$I$2008,$W211)),INDEX($I$9:$I$2008,$W211),VALUE(SUBSTITUTE(INDEX($I$9:$I$2008,$W211),",",""))),""))</f>
        <v/>
      </c>
      <c r="AH211" s="24">
        <f>IF($W211="","",IFERROR(IF(ISNUMBER(INDEX($J$9:$J$2008,$W211)),INDEX($J$9:$J$2008,$W211),VALUE(SUBSTITUTE(INDEX($J$9:$J$2008,$W211),",",""))),""))</f>
        <v/>
      </c>
      <c r="AI211" s="24">
        <f>IF($W211="","",IFERROR(IF(ISNUMBER(INDEX($K$9:$K$2008,$W211)),INDEX($K$9:$K$2008,$W211),VALUE(SUBSTITUTE(INDEX($K$9:$K$2008,$W211),",",""))),""))</f>
        <v/>
      </c>
      <c r="AJ211" s="25">
        <f>IF($W211="","",IFERROR(IF(ISNUMBER(INDEX($L$9:$L$2008,$W211)),INDEX($L$9:$L$2008,$W211),VALUE(SUBSTITUTE(INDEX($L$9:$L$2008,$W211),",",""))),""))</f>
        <v/>
      </c>
      <c r="AK211" s="25">
        <f>IF($W211="","",IFERROR(IF(ISNUMBER(INDEX($M$9:$M$2008,$W211)),INDEX($M$9:$M$2008,$W211),VALUE(SUBSTITUTE(INDEX($M$9:$M$2008,$W211),",",""))),""))</f>
        <v/>
      </c>
      <c r="AL211" s="26">
        <f>IF($W211="","",IFERROR(IF(ISNUMBER(INDEX($P$9:$P$2008,$W211)),INDEX($P$9:$P$2008,$W211),VALUE(SUBSTITUTE(INDEX($P$9:$P$2008,$W211),"%",""))/100),""))</f>
        <v/>
      </c>
    </row>
    <row r="212">
      <c r="S212">
        <f>IF(AND(ISTEXT($A212),ISNUMBER(SEARCH(" - ",$A212)),ISERROR(SEARCH("Folio",$A212)),$D212=""),TRIM($A212),$S211)</f>
        <v/>
      </c>
      <c r="T212">
        <f>IF(AND(ISNUMBER(SEARCH("Folio",$A212)),$D212&lt;&gt;""),1,"")</f>
        <v/>
      </c>
      <c r="U212">
        <f>IF($T212=1,COUNTIF($T$9:$T212,1),"")</f>
        <v/>
      </c>
      <c r="V212">
        <f>IF(AND(ISTEXT($A212),LEFT($A213,3)="Pan"),1,"")</f>
        <v/>
      </c>
      <c r="W212" s="21">
        <f>IFERROR(MATCH(204,$U$9:$U$2008,0),"")</f>
        <v/>
      </c>
      <c r="X212" s="27">
        <f>IF($W212="","",IF($R$5&lt;&gt;"",$R$5,$R$6))</f>
        <v/>
      </c>
      <c r="Y212" s="27">
        <f>IF($W212="","",INDEX($S$9:$S$2008,$W212))</f>
        <v/>
      </c>
      <c r="Z212" s="27">
        <f>IF($W212="","",IFERROR(TRIM(LEFT(SUBSTITUTE(INDEX($A$9:$A$2008,$W212),CHAR(10)," "),SEARCH("Folio",SUBSTITUTE(INDEX($A$9:$A$2008,$W212),CHAR(10)," "))-1)),TRIM(SUBSTITUTE(INDEX($A$9:$A$2008,$W212),CHAR(10)," "))))</f>
        <v/>
      </c>
      <c r="AA212" s="27">
        <f>IF($W212="","",IFERROR(TRIM(SUBSTITUTE(MID(SUBSTITUTE(INDEX($A$9:$A$2008,$W212),CHAR(10)," "),SEARCH("Folio",SUBSTITUTE(INDEX($A$9:$A$2008,$W212),CHAR(10)," "))+5,200),":","")),""))</f>
        <v/>
      </c>
      <c r="AB212" s="28">
        <f>IF($W212="","",IF(ISNUMBER(INDEX($D$9:$D$2008,$W212)),INDEX($D$9:$D$2008,$W212),IFERROR(DATE(2000+VALUE(RIGHT(INDEX($D$9:$D$2008,$W212),2)),VALUE(MID(INDEX($D$9:$D$2008,$W212),4,2)),VALUE(LEFT(INDEX($D$9:$D$2008,$W212),2))),"")))</f>
        <v/>
      </c>
      <c r="AC212" s="29">
        <f>IF($W212="","",IFERROR(IF(ISNUMBER(INDEX($E$9:$E$2008,$W212)),INDEX($E$9:$E$2008,$W212),VALUE(SUBSTITUTE(INDEX($E$9:$E$2008,$W212),",",""))),""))</f>
        <v/>
      </c>
      <c r="AD212" s="29">
        <f>IF($W212="","",IFERROR(IF(ISNUMBER(INDEX($F$9:$F$2008,$W212)),INDEX($F$9:$F$2008,$W212),VALUE(SUBSTITUTE(INDEX($F$9:$F$2008,$W212),",",""))),""))</f>
        <v/>
      </c>
      <c r="AE212" s="29">
        <f>IF($W212="","",IFERROR(IF(ISNUMBER(INDEX($G$9:$G$2008,$W212)),INDEX($G$9:$G$2008,$W212),VALUE(SUBSTITUTE(INDEX($G$9:$G$2008,$W212),",",""))),""))</f>
        <v/>
      </c>
      <c r="AF212" s="29">
        <f>IF($W212="","",IFERROR(IF(ISNUMBER(INDEX($H$9:$H$2008,$W212)),INDEX($H$9:$H$2008,$W212),VALUE(SUBSTITUTE(INDEX($H$9:$H$2008,$W212),",",""))),""))</f>
        <v/>
      </c>
      <c r="AG212" s="29">
        <f>IF($W212="","",IFERROR(IF(ISNUMBER(INDEX($I$9:$I$2008,$W212)),INDEX($I$9:$I$2008,$W212),VALUE(SUBSTITUTE(INDEX($I$9:$I$2008,$W212),",",""))),""))</f>
        <v/>
      </c>
      <c r="AH212" s="29">
        <f>IF($W212="","",IFERROR(IF(ISNUMBER(INDEX($J$9:$J$2008,$W212)),INDEX($J$9:$J$2008,$W212),VALUE(SUBSTITUTE(INDEX($J$9:$J$2008,$W212),",",""))),""))</f>
        <v/>
      </c>
      <c r="AI212" s="29">
        <f>IF($W212="","",IFERROR(IF(ISNUMBER(INDEX($K$9:$K$2008,$W212)),INDEX($K$9:$K$2008,$W212),VALUE(SUBSTITUTE(INDEX($K$9:$K$2008,$W212),",",""))),""))</f>
        <v/>
      </c>
      <c r="AJ212" s="30">
        <f>IF($W212="","",IFERROR(IF(ISNUMBER(INDEX($L$9:$L$2008,$W212)),INDEX($L$9:$L$2008,$W212),VALUE(SUBSTITUTE(INDEX($L$9:$L$2008,$W212),",",""))),""))</f>
        <v/>
      </c>
      <c r="AK212" s="30">
        <f>IF($W212="","",IFERROR(IF(ISNUMBER(INDEX($M$9:$M$2008,$W212)),INDEX($M$9:$M$2008,$W212),VALUE(SUBSTITUTE(INDEX($M$9:$M$2008,$W212),",",""))),""))</f>
        <v/>
      </c>
      <c r="AL212" s="31">
        <f>IF($W212="","",IFERROR(IF(ISNUMBER(INDEX($P$9:$P$2008,$W212)),INDEX($P$9:$P$2008,$W212),VALUE(SUBSTITUTE(INDEX($P$9:$P$2008,$W212),"%",""))/100),""))</f>
        <v/>
      </c>
    </row>
    <row r="213">
      <c r="S213">
        <f>IF(AND(ISTEXT($A213),ISNUMBER(SEARCH(" - ",$A213)),ISERROR(SEARCH("Folio",$A213)),$D213=""),TRIM($A213),$S212)</f>
        <v/>
      </c>
      <c r="T213">
        <f>IF(AND(ISNUMBER(SEARCH("Folio",$A213)),$D213&lt;&gt;""),1,"")</f>
        <v/>
      </c>
      <c r="U213">
        <f>IF($T213=1,COUNTIF($T$9:$T213,1),"")</f>
        <v/>
      </c>
      <c r="V213">
        <f>IF(AND(ISTEXT($A213),LEFT($A214,3)="Pan"),1,"")</f>
        <v/>
      </c>
      <c r="W213" s="21">
        <f>IFERROR(MATCH(205,$U$9:$U$2008,0),"")</f>
        <v/>
      </c>
      <c r="X213" s="22">
        <f>IF($W213="","",IF($R$5&lt;&gt;"",$R$5,$R$6))</f>
        <v/>
      </c>
      <c r="Y213" s="22">
        <f>IF($W213="","",INDEX($S$9:$S$2008,$W213))</f>
        <v/>
      </c>
      <c r="Z213" s="22">
        <f>IF($W213="","",IFERROR(TRIM(LEFT(SUBSTITUTE(INDEX($A$9:$A$2008,$W213),CHAR(10)," "),SEARCH("Folio",SUBSTITUTE(INDEX($A$9:$A$2008,$W213),CHAR(10)," "))-1)),TRIM(SUBSTITUTE(INDEX($A$9:$A$2008,$W213),CHAR(10)," "))))</f>
        <v/>
      </c>
      <c r="AA213" s="22">
        <f>IF($W213="","",IFERROR(TRIM(SUBSTITUTE(MID(SUBSTITUTE(INDEX($A$9:$A$2008,$W213),CHAR(10)," "),SEARCH("Folio",SUBSTITUTE(INDEX($A$9:$A$2008,$W213),CHAR(10)," "))+5,200),":","")),""))</f>
        <v/>
      </c>
      <c r="AB213" s="23">
        <f>IF($W213="","",IF(ISNUMBER(INDEX($D$9:$D$2008,$W213)),INDEX($D$9:$D$2008,$W213),IFERROR(DATE(2000+VALUE(RIGHT(INDEX($D$9:$D$2008,$W213),2)),VALUE(MID(INDEX($D$9:$D$2008,$W213),4,2)),VALUE(LEFT(INDEX($D$9:$D$2008,$W213),2))),"")))</f>
        <v/>
      </c>
      <c r="AC213" s="24">
        <f>IF($W213="","",IFERROR(IF(ISNUMBER(INDEX($E$9:$E$2008,$W213)),INDEX($E$9:$E$2008,$W213),VALUE(SUBSTITUTE(INDEX($E$9:$E$2008,$W213),",",""))),""))</f>
        <v/>
      </c>
      <c r="AD213" s="24">
        <f>IF($W213="","",IFERROR(IF(ISNUMBER(INDEX($F$9:$F$2008,$W213)),INDEX($F$9:$F$2008,$W213),VALUE(SUBSTITUTE(INDEX($F$9:$F$2008,$W213),",",""))),""))</f>
        <v/>
      </c>
      <c r="AE213" s="24">
        <f>IF($W213="","",IFERROR(IF(ISNUMBER(INDEX($G$9:$G$2008,$W213)),INDEX($G$9:$G$2008,$W213),VALUE(SUBSTITUTE(INDEX($G$9:$G$2008,$W213),",",""))),""))</f>
        <v/>
      </c>
      <c r="AF213" s="24">
        <f>IF($W213="","",IFERROR(IF(ISNUMBER(INDEX($H$9:$H$2008,$W213)),INDEX($H$9:$H$2008,$W213),VALUE(SUBSTITUTE(INDEX($H$9:$H$2008,$W213),",",""))),""))</f>
        <v/>
      </c>
      <c r="AG213" s="24">
        <f>IF($W213="","",IFERROR(IF(ISNUMBER(INDEX($I$9:$I$2008,$W213)),INDEX($I$9:$I$2008,$W213),VALUE(SUBSTITUTE(INDEX($I$9:$I$2008,$W213),",",""))),""))</f>
        <v/>
      </c>
      <c r="AH213" s="24">
        <f>IF($W213="","",IFERROR(IF(ISNUMBER(INDEX($J$9:$J$2008,$W213)),INDEX($J$9:$J$2008,$W213),VALUE(SUBSTITUTE(INDEX($J$9:$J$2008,$W213),",",""))),""))</f>
        <v/>
      </c>
      <c r="AI213" s="24">
        <f>IF($W213="","",IFERROR(IF(ISNUMBER(INDEX($K$9:$K$2008,$W213)),INDEX($K$9:$K$2008,$W213),VALUE(SUBSTITUTE(INDEX($K$9:$K$2008,$W213),",",""))),""))</f>
        <v/>
      </c>
      <c r="AJ213" s="25">
        <f>IF($W213="","",IFERROR(IF(ISNUMBER(INDEX($L$9:$L$2008,$W213)),INDEX($L$9:$L$2008,$W213),VALUE(SUBSTITUTE(INDEX($L$9:$L$2008,$W213),",",""))),""))</f>
        <v/>
      </c>
      <c r="AK213" s="25">
        <f>IF($W213="","",IFERROR(IF(ISNUMBER(INDEX($M$9:$M$2008,$W213)),INDEX($M$9:$M$2008,$W213),VALUE(SUBSTITUTE(INDEX($M$9:$M$2008,$W213),",",""))),""))</f>
        <v/>
      </c>
      <c r="AL213" s="26">
        <f>IF($W213="","",IFERROR(IF(ISNUMBER(INDEX($P$9:$P$2008,$W213)),INDEX($P$9:$P$2008,$W213),VALUE(SUBSTITUTE(INDEX($P$9:$P$2008,$W213),"%",""))/100),""))</f>
        <v/>
      </c>
    </row>
    <row r="214">
      <c r="S214">
        <f>IF(AND(ISTEXT($A214),ISNUMBER(SEARCH(" - ",$A214)),ISERROR(SEARCH("Folio",$A214)),$D214=""),TRIM($A214),$S213)</f>
        <v/>
      </c>
      <c r="T214">
        <f>IF(AND(ISNUMBER(SEARCH("Folio",$A214)),$D214&lt;&gt;""),1,"")</f>
        <v/>
      </c>
      <c r="U214">
        <f>IF($T214=1,COUNTIF($T$9:$T214,1),"")</f>
        <v/>
      </c>
      <c r="V214">
        <f>IF(AND(ISTEXT($A214),LEFT($A215,3)="Pan"),1,"")</f>
        <v/>
      </c>
      <c r="W214" s="21">
        <f>IFERROR(MATCH(206,$U$9:$U$2008,0),"")</f>
        <v/>
      </c>
      <c r="X214" s="27">
        <f>IF($W214="","",IF($R$5&lt;&gt;"",$R$5,$R$6))</f>
        <v/>
      </c>
      <c r="Y214" s="27">
        <f>IF($W214="","",INDEX($S$9:$S$2008,$W214))</f>
        <v/>
      </c>
      <c r="Z214" s="27">
        <f>IF($W214="","",IFERROR(TRIM(LEFT(SUBSTITUTE(INDEX($A$9:$A$2008,$W214),CHAR(10)," "),SEARCH("Folio",SUBSTITUTE(INDEX($A$9:$A$2008,$W214),CHAR(10)," "))-1)),TRIM(SUBSTITUTE(INDEX($A$9:$A$2008,$W214),CHAR(10)," "))))</f>
        <v/>
      </c>
      <c r="AA214" s="27">
        <f>IF($W214="","",IFERROR(TRIM(SUBSTITUTE(MID(SUBSTITUTE(INDEX($A$9:$A$2008,$W214),CHAR(10)," "),SEARCH("Folio",SUBSTITUTE(INDEX($A$9:$A$2008,$W214),CHAR(10)," "))+5,200),":","")),""))</f>
        <v/>
      </c>
      <c r="AB214" s="28">
        <f>IF($W214="","",IF(ISNUMBER(INDEX($D$9:$D$2008,$W214)),INDEX($D$9:$D$2008,$W214),IFERROR(DATE(2000+VALUE(RIGHT(INDEX($D$9:$D$2008,$W214),2)),VALUE(MID(INDEX($D$9:$D$2008,$W214),4,2)),VALUE(LEFT(INDEX($D$9:$D$2008,$W214),2))),"")))</f>
        <v/>
      </c>
      <c r="AC214" s="29">
        <f>IF($W214="","",IFERROR(IF(ISNUMBER(INDEX($E$9:$E$2008,$W214)),INDEX($E$9:$E$2008,$W214),VALUE(SUBSTITUTE(INDEX($E$9:$E$2008,$W214),",",""))),""))</f>
        <v/>
      </c>
      <c r="AD214" s="29">
        <f>IF($W214="","",IFERROR(IF(ISNUMBER(INDEX($F$9:$F$2008,$W214)),INDEX($F$9:$F$2008,$W214),VALUE(SUBSTITUTE(INDEX($F$9:$F$2008,$W214),",",""))),""))</f>
        <v/>
      </c>
      <c r="AE214" s="29">
        <f>IF($W214="","",IFERROR(IF(ISNUMBER(INDEX($G$9:$G$2008,$W214)),INDEX($G$9:$G$2008,$W214),VALUE(SUBSTITUTE(INDEX($G$9:$G$2008,$W214),",",""))),""))</f>
        <v/>
      </c>
      <c r="AF214" s="29">
        <f>IF($W214="","",IFERROR(IF(ISNUMBER(INDEX($H$9:$H$2008,$W214)),INDEX($H$9:$H$2008,$W214),VALUE(SUBSTITUTE(INDEX($H$9:$H$2008,$W214),",",""))),""))</f>
        <v/>
      </c>
      <c r="AG214" s="29">
        <f>IF($W214="","",IFERROR(IF(ISNUMBER(INDEX($I$9:$I$2008,$W214)),INDEX($I$9:$I$2008,$W214),VALUE(SUBSTITUTE(INDEX($I$9:$I$2008,$W214),",",""))),""))</f>
        <v/>
      </c>
      <c r="AH214" s="29">
        <f>IF($W214="","",IFERROR(IF(ISNUMBER(INDEX($J$9:$J$2008,$W214)),INDEX($J$9:$J$2008,$W214),VALUE(SUBSTITUTE(INDEX($J$9:$J$2008,$W214),",",""))),""))</f>
        <v/>
      </c>
      <c r="AI214" s="29">
        <f>IF($W214="","",IFERROR(IF(ISNUMBER(INDEX($K$9:$K$2008,$W214)),INDEX($K$9:$K$2008,$W214),VALUE(SUBSTITUTE(INDEX($K$9:$K$2008,$W214),",",""))),""))</f>
        <v/>
      </c>
      <c r="AJ214" s="30">
        <f>IF($W214="","",IFERROR(IF(ISNUMBER(INDEX($L$9:$L$2008,$W214)),INDEX($L$9:$L$2008,$W214),VALUE(SUBSTITUTE(INDEX($L$9:$L$2008,$W214),",",""))),""))</f>
        <v/>
      </c>
      <c r="AK214" s="30">
        <f>IF($W214="","",IFERROR(IF(ISNUMBER(INDEX($M$9:$M$2008,$W214)),INDEX($M$9:$M$2008,$W214),VALUE(SUBSTITUTE(INDEX($M$9:$M$2008,$W214),",",""))),""))</f>
        <v/>
      </c>
      <c r="AL214" s="31">
        <f>IF($W214="","",IFERROR(IF(ISNUMBER(INDEX($P$9:$P$2008,$W214)),INDEX($P$9:$P$2008,$W214),VALUE(SUBSTITUTE(INDEX($P$9:$P$2008,$W214),"%",""))/100),""))</f>
        <v/>
      </c>
    </row>
    <row r="215">
      <c r="S215">
        <f>IF(AND(ISTEXT($A215),ISNUMBER(SEARCH(" - ",$A215)),ISERROR(SEARCH("Folio",$A215)),$D215=""),TRIM($A215),$S214)</f>
        <v/>
      </c>
      <c r="T215">
        <f>IF(AND(ISNUMBER(SEARCH("Folio",$A215)),$D215&lt;&gt;""),1,"")</f>
        <v/>
      </c>
      <c r="U215">
        <f>IF($T215=1,COUNTIF($T$9:$T215,1),"")</f>
        <v/>
      </c>
      <c r="V215">
        <f>IF(AND(ISTEXT($A215),LEFT($A216,3)="Pan"),1,"")</f>
        <v/>
      </c>
      <c r="W215" s="21">
        <f>IFERROR(MATCH(207,$U$9:$U$2008,0),"")</f>
        <v/>
      </c>
      <c r="X215" s="22">
        <f>IF($W215="","",IF($R$5&lt;&gt;"",$R$5,$R$6))</f>
        <v/>
      </c>
      <c r="Y215" s="22">
        <f>IF($W215="","",INDEX($S$9:$S$2008,$W215))</f>
        <v/>
      </c>
      <c r="Z215" s="22">
        <f>IF($W215="","",IFERROR(TRIM(LEFT(SUBSTITUTE(INDEX($A$9:$A$2008,$W215),CHAR(10)," "),SEARCH("Folio",SUBSTITUTE(INDEX($A$9:$A$2008,$W215),CHAR(10)," "))-1)),TRIM(SUBSTITUTE(INDEX($A$9:$A$2008,$W215),CHAR(10)," "))))</f>
        <v/>
      </c>
      <c r="AA215" s="22">
        <f>IF($W215="","",IFERROR(TRIM(SUBSTITUTE(MID(SUBSTITUTE(INDEX($A$9:$A$2008,$W215),CHAR(10)," "),SEARCH("Folio",SUBSTITUTE(INDEX($A$9:$A$2008,$W215),CHAR(10)," "))+5,200),":","")),""))</f>
        <v/>
      </c>
      <c r="AB215" s="23">
        <f>IF($W215="","",IF(ISNUMBER(INDEX($D$9:$D$2008,$W215)),INDEX($D$9:$D$2008,$W215),IFERROR(DATE(2000+VALUE(RIGHT(INDEX($D$9:$D$2008,$W215),2)),VALUE(MID(INDEX($D$9:$D$2008,$W215),4,2)),VALUE(LEFT(INDEX($D$9:$D$2008,$W215),2))),"")))</f>
        <v/>
      </c>
      <c r="AC215" s="24">
        <f>IF($W215="","",IFERROR(IF(ISNUMBER(INDEX($E$9:$E$2008,$W215)),INDEX($E$9:$E$2008,$W215),VALUE(SUBSTITUTE(INDEX($E$9:$E$2008,$W215),",",""))),""))</f>
        <v/>
      </c>
      <c r="AD215" s="24">
        <f>IF($W215="","",IFERROR(IF(ISNUMBER(INDEX($F$9:$F$2008,$W215)),INDEX($F$9:$F$2008,$W215),VALUE(SUBSTITUTE(INDEX($F$9:$F$2008,$W215),",",""))),""))</f>
        <v/>
      </c>
      <c r="AE215" s="24">
        <f>IF($W215="","",IFERROR(IF(ISNUMBER(INDEX($G$9:$G$2008,$W215)),INDEX($G$9:$G$2008,$W215),VALUE(SUBSTITUTE(INDEX($G$9:$G$2008,$W215),",",""))),""))</f>
        <v/>
      </c>
      <c r="AF215" s="24">
        <f>IF($W215="","",IFERROR(IF(ISNUMBER(INDEX($H$9:$H$2008,$W215)),INDEX($H$9:$H$2008,$W215),VALUE(SUBSTITUTE(INDEX($H$9:$H$2008,$W215),",",""))),""))</f>
        <v/>
      </c>
      <c r="AG215" s="24">
        <f>IF($W215="","",IFERROR(IF(ISNUMBER(INDEX($I$9:$I$2008,$W215)),INDEX($I$9:$I$2008,$W215),VALUE(SUBSTITUTE(INDEX($I$9:$I$2008,$W215),",",""))),""))</f>
        <v/>
      </c>
      <c r="AH215" s="24">
        <f>IF($W215="","",IFERROR(IF(ISNUMBER(INDEX($J$9:$J$2008,$W215)),INDEX($J$9:$J$2008,$W215),VALUE(SUBSTITUTE(INDEX($J$9:$J$2008,$W215),",",""))),""))</f>
        <v/>
      </c>
      <c r="AI215" s="24">
        <f>IF($W215="","",IFERROR(IF(ISNUMBER(INDEX($K$9:$K$2008,$W215)),INDEX($K$9:$K$2008,$W215),VALUE(SUBSTITUTE(INDEX($K$9:$K$2008,$W215),",",""))),""))</f>
        <v/>
      </c>
      <c r="AJ215" s="25">
        <f>IF($W215="","",IFERROR(IF(ISNUMBER(INDEX($L$9:$L$2008,$W215)),INDEX($L$9:$L$2008,$W215),VALUE(SUBSTITUTE(INDEX($L$9:$L$2008,$W215),",",""))),""))</f>
        <v/>
      </c>
      <c r="AK215" s="25">
        <f>IF($W215="","",IFERROR(IF(ISNUMBER(INDEX($M$9:$M$2008,$W215)),INDEX($M$9:$M$2008,$W215),VALUE(SUBSTITUTE(INDEX($M$9:$M$2008,$W215),",",""))),""))</f>
        <v/>
      </c>
      <c r="AL215" s="26">
        <f>IF($W215="","",IFERROR(IF(ISNUMBER(INDEX($P$9:$P$2008,$W215)),INDEX($P$9:$P$2008,$W215),VALUE(SUBSTITUTE(INDEX($P$9:$P$2008,$W215),"%",""))/100),""))</f>
        <v/>
      </c>
    </row>
    <row r="216">
      <c r="S216">
        <f>IF(AND(ISTEXT($A216),ISNUMBER(SEARCH(" - ",$A216)),ISERROR(SEARCH("Folio",$A216)),$D216=""),TRIM($A216),$S215)</f>
        <v/>
      </c>
      <c r="T216">
        <f>IF(AND(ISNUMBER(SEARCH("Folio",$A216)),$D216&lt;&gt;""),1,"")</f>
        <v/>
      </c>
      <c r="U216">
        <f>IF($T216=1,COUNTIF($T$9:$T216,1),"")</f>
        <v/>
      </c>
      <c r="V216">
        <f>IF(AND(ISTEXT($A216),LEFT($A217,3)="Pan"),1,"")</f>
        <v/>
      </c>
      <c r="W216" s="21">
        <f>IFERROR(MATCH(208,$U$9:$U$2008,0),"")</f>
        <v/>
      </c>
      <c r="X216" s="27">
        <f>IF($W216="","",IF($R$5&lt;&gt;"",$R$5,$R$6))</f>
        <v/>
      </c>
      <c r="Y216" s="27">
        <f>IF($W216="","",INDEX($S$9:$S$2008,$W216))</f>
        <v/>
      </c>
      <c r="Z216" s="27">
        <f>IF($W216="","",IFERROR(TRIM(LEFT(SUBSTITUTE(INDEX($A$9:$A$2008,$W216),CHAR(10)," "),SEARCH("Folio",SUBSTITUTE(INDEX($A$9:$A$2008,$W216),CHAR(10)," "))-1)),TRIM(SUBSTITUTE(INDEX($A$9:$A$2008,$W216),CHAR(10)," "))))</f>
        <v/>
      </c>
      <c r="AA216" s="27">
        <f>IF($W216="","",IFERROR(TRIM(SUBSTITUTE(MID(SUBSTITUTE(INDEX($A$9:$A$2008,$W216),CHAR(10)," "),SEARCH("Folio",SUBSTITUTE(INDEX($A$9:$A$2008,$W216),CHAR(10)," "))+5,200),":","")),""))</f>
        <v/>
      </c>
      <c r="AB216" s="28">
        <f>IF($W216="","",IF(ISNUMBER(INDEX($D$9:$D$2008,$W216)),INDEX($D$9:$D$2008,$W216),IFERROR(DATE(2000+VALUE(RIGHT(INDEX($D$9:$D$2008,$W216),2)),VALUE(MID(INDEX($D$9:$D$2008,$W216),4,2)),VALUE(LEFT(INDEX($D$9:$D$2008,$W216),2))),"")))</f>
        <v/>
      </c>
      <c r="AC216" s="29">
        <f>IF($W216="","",IFERROR(IF(ISNUMBER(INDEX($E$9:$E$2008,$W216)),INDEX($E$9:$E$2008,$W216),VALUE(SUBSTITUTE(INDEX($E$9:$E$2008,$W216),",",""))),""))</f>
        <v/>
      </c>
      <c r="AD216" s="29">
        <f>IF($W216="","",IFERROR(IF(ISNUMBER(INDEX($F$9:$F$2008,$W216)),INDEX($F$9:$F$2008,$W216),VALUE(SUBSTITUTE(INDEX($F$9:$F$2008,$W216),",",""))),""))</f>
        <v/>
      </c>
      <c r="AE216" s="29">
        <f>IF($W216="","",IFERROR(IF(ISNUMBER(INDEX($G$9:$G$2008,$W216)),INDEX($G$9:$G$2008,$W216),VALUE(SUBSTITUTE(INDEX($G$9:$G$2008,$W216),",",""))),""))</f>
        <v/>
      </c>
      <c r="AF216" s="29">
        <f>IF($W216="","",IFERROR(IF(ISNUMBER(INDEX($H$9:$H$2008,$W216)),INDEX($H$9:$H$2008,$W216),VALUE(SUBSTITUTE(INDEX($H$9:$H$2008,$W216),",",""))),""))</f>
        <v/>
      </c>
      <c r="AG216" s="29">
        <f>IF($W216="","",IFERROR(IF(ISNUMBER(INDEX($I$9:$I$2008,$W216)),INDEX($I$9:$I$2008,$W216),VALUE(SUBSTITUTE(INDEX($I$9:$I$2008,$W216),",",""))),""))</f>
        <v/>
      </c>
      <c r="AH216" s="29">
        <f>IF($W216="","",IFERROR(IF(ISNUMBER(INDEX($J$9:$J$2008,$W216)),INDEX($J$9:$J$2008,$W216),VALUE(SUBSTITUTE(INDEX($J$9:$J$2008,$W216),",",""))),""))</f>
        <v/>
      </c>
      <c r="AI216" s="29">
        <f>IF($W216="","",IFERROR(IF(ISNUMBER(INDEX($K$9:$K$2008,$W216)),INDEX($K$9:$K$2008,$W216),VALUE(SUBSTITUTE(INDEX($K$9:$K$2008,$W216),",",""))),""))</f>
        <v/>
      </c>
      <c r="AJ216" s="30">
        <f>IF($W216="","",IFERROR(IF(ISNUMBER(INDEX($L$9:$L$2008,$W216)),INDEX($L$9:$L$2008,$W216),VALUE(SUBSTITUTE(INDEX($L$9:$L$2008,$W216),",",""))),""))</f>
        <v/>
      </c>
      <c r="AK216" s="30">
        <f>IF($W216="","",IFERROR(IF(ISNUMBER(INDEX($M$9:$M$2008,$W216)),INDEX($M$9:$M$2008,$W216),VALUE(SUBSTITUTE(INDEX($M$9:$M$2008,$W216),",",""))),""))</f>
        <v/>
      </c>
      <c r="AL216" s="31">
        <f>IF($W216="","",IFERROR(IF(ISNUMBER(INDEX($P$9:$P$2008,$W216)),INDEX($P$9:$P$2008,$W216),VALUE(SUBSTITUTE(INDEX($P$9:$P$2008,$W216),"%",""))/100),""))</f>
        <v/>
      </c>
    </row>
    <row r="217">
      <c r="S217">
        <f>IF(AND(ISTEXT($A217),ISNUMBER(SEARCH(" - ",$A217)),ISERROR(SEARCH("Folio",$A217)),$D217=""),TRIM($A217),$S216)</f>
        <v/>
      </c>
      <c r="T217">
        <f>IF(AND(ISNUMBER(SEARCH("Folio",$A217)),$D217&lt;&gt;""),1,"")</f>
        <v/>
      </c>
      <c r="U217">
        <f>IF($T217=1,COUNTIF($T$9:$T217,1),"")</f>
        <v/>
      </c>
      <c r="V217">
        <f>IF(AND(ISTEXT($A217),LEFT($A218,3)="Pan"),1,"")</f>
        <v/>
      </c>
      <c r="W217" s="21">
        <f>IFERROR(MATCH(209,$U$9:$U$2008,0),"")</f>
        <v/>
      </c>
      <c r="X217" s="22">
        <f>IF($W217="","",IF($R$5&lt;&gt;"",$R$5,$R$6))</f>
        <v/>
      </c>
      <c r="Y217" s="22">
        <f>IF($W217="","",INDEX($S$9:$S$2008,$W217))</f>
        <v/>
      </c>
      <c r="Z217" s="22">
        <f>IF($W217="","",IFERROR(TRIM(LEFT(SUBSTITUTE(INDEX($A$9:$A$2008,$W217),CHAR(10)," "),SEARCH("Folio",SUBSTITUTE(INDEX($A$9:$A$2008,$W217),CHAR(10)," "))-1)),TRIM(SUBSTITUTE(INDEX($A$9:$A$2008,$W217),CHAR(10)," "))))</f>
        <v/>
      </c>
      <c r="AA217" s="22">
        <f>IF($W217="","",IFERROR(TRIM(SUBSTITUTE(MID(SUBSTITUTE(INDEX($A$9:$A$2008,$W217),CHAR(10)," "),SEARCH("Folio",SUBSTITUTE(INDEX($A$9:$A$2008,$W217),CHAR(10)," "))+5,200),":","")),""))</f>
        <v/>
      </c>
      <c r="AB217" s="23">
        <f>IF($W217="","",IF(ISNUMBER(INDEX($D$9:$D$2008,$W217)),INDEX($D$9:$D$2008,$W217),IFERROR(DATE(2000+VALUE(RIGHT(INDEX($D$9:$D$2008,$W217),2)),VALUE(MID(INDEX($D$9:$D$2008,$W217),4,2)),VALUE(LEFT(INDEX($D$9:$D$2008,$W217),2))),"")))</f>
        <v/>
      </c>
      <c r="AC217" s="24">
        <f>IF($W217="","",IFERROR(IF(ISNUMBER(INDEX($E$9:$E$2008,$W217)),INDEX($E$9:$E$2008,$W217),VALUE(SUBSTITUTE(INDEX($E$9:$E$2008,$W217),",",""))),""))</f>
        <v/>
      </c>
      <c r="AD217" s="24">
        <f>IF($W217="","",IFERROR(IF(ISNUMBER(INDEX($F$9:$F$2008,$W217)),INDEX($F$9:$F$2008,$W217),VALUE(SUBSTITUTE(INDEX($F$9:$F$2008,$W217),",",""))),""))</f>
        <v/>
      </c>
      <c r="AE217" s="24">
        <f>IF($W217="","",IFERROR(IF(ISNUMBER(INDEX($G$9:$G$2008,$W217)),INDEX($G$9:$G$2008,$W217),VALUE(SUBSTITUTE(INDEX($G$9:$G$2008,$W217),",",""))),""))</f>
        <v/>
      </c>
      <c r="AF217" s="24">
        <f>IF($W217="","",IFERROR(IF(ISNUMBER(INDEX($H$9:$H$2008,$W217)),INDEX($H$9:$H$2008,$W217),VALUE(SUBSTITUTE(INDEX($H$9:$H$2008,$W217),",",""))),""))</f>
        <v/>
      </c>
      <c r="AG217" s="24">
        <f>IF($W217="","",IFERROR(IF(ISNUMBER(INDEX($I$9:$I$2008,$W217)),INDEX($I$9:$I$2008,$W217),VALUE(SUBSTITUTE(INDEX($I$9:$I$2008,$W217),",",""))),""))</f>
        <v/>
      </c>
      <c r="AH217" s="24">
        <f>IF($W217="","",IFERROR(IF(ISNUMBER(INDEX($J$9:$J$2008,$W217)),INDEX($J$9:$J$2008,$W217),VALUE(SUBSTITUTE(INDEX($J$9:$J$2008,$W217),",",""))),""))</f>
        <v/>
      </c>
      <c r="AI217" s="24">
        <f>IF($W217="","",IFERROR(IF(ISNUMBER(INDEX($K$9:$K$2008,$W217)),INDEX($K$9:$K$2008,$W217),VALUE(SUBSTITUTE(INDEX($K$9:$K$2008,$W217),",",""))),""))</f>
        <v/>
      </c>
      <c r="AJ217" s="25">
        <f>IF($W217="","",IFERROR(IF(ISNUMBER(INDEX($L$9:$L$2008,$W217)),INDEX($L$9:$L$2008,$W217),VALUE(SUBSTITUTE(INDEX($L$9:$L$2008,$W217),",",""))),""))</f>
        <v/>
      </c>
      <c r="AK217" s="25">
        <f>IF($W217="","",IFERROR(IF(ISNUMBER(INDEX($M$9:$M$2008,$W217)),INDEX($M$9:$M$2008,$W217),VALUE(SUBSTITUTE(INDEX($M$9:$M$2008,$W217),",",""))),""))</f>
        <v/>
      </c>
      <c r="AL217" s="26">
        <f>IF($W217="","",IFERROR(IF(ISNUMBER(INDEX($P$9:$P$2008,$W217)),INDEX($P$9:$P$2008,$W217),VALUE(SUBSTITUTE(INDEX($P$9:$P$2008,$W217),"%",""))/100),""))</f>
        <v/>
      </c>
    </row>
    <row r="218">
      <c r="S218">
        <f>IF(AND(ISTEXT($A218),ISNUMBER(SEARCH(" - ",$A218)),ISERROR(SEARCH("Folio",$A218)),$D218=""),TRIM($A218),$S217)</f>
        <v/>
      </c>
      <c r="T218">
        <f>IF(AND(ISNUMBER(SEARCH("Folio",$A218)),$D218&lt;&gt;""),1,"")</f>
        <v/>
      </c>
      <c r="U218">
        <f>IF($T218=1,COUNTIF($T$9:$T218,1),"")</f>
        <v/>
      </c>
      <c r="V218">
        <f>IF(AND(ISTEXT($A218),LEFT($A219,3)="Pan"),1,"")</f>
        <v/>
      </c>
      <c r="W218" s="21">
        <f>IFERROR(MATCH(210,$U$9:$U$2008,0),"")</f>
        <v/>
      </c>
      <c r="X218" s="27">
        <f>IF($W218="","",IF($R$5&lt;&gt;"",$R$5,$R$6))</f>
        <v/>
      </c>
      <c r="Y218" s="27">
        <f>IF($W218="","",INDEX($S$9:$S$2008,$W218))</f>
        <v/>
      </c>
      <c r="Z218" s="27">
        <f>IF($W218="","",IFERROR(TRIM(LEFT(SUBSTITUTE(INDEX($A$9:$A$2008,$W218),CHAR(10)," "),SEARCH("Folio",SUBSTITUTE(INDEX($A$9:$A$2008,$W218),CHAR(10)," "))-1)),TRIM(SUBSTITUTE(INDEX($A$9:$A$2008,$W218),CHAR(10)," "))))</f>
        <v/>
      </c>
      <c r="AA218" s="27">
        <f>IF($W218="","",IFERROR(TRIM(SUBSTITUTE(MID(SUBSTITUTE(INDEX($A$9:$A$2008,$W218),CHAR(10)," "),SEARCH("Folio",SUBSTITUTE(INDEX($A$9:$A$2008,$W218),CHAR(10)," "))+5,200),":","")),""))</f>
        <v/>
      </c>
      <c r="AB218" s="28">
        <f>IF($W218="","",IF(ISNUMBER(INDEX($D$9:$D$2008,$W218)),INDEX($D$9:$D$2008,$W218),IFERROR(DATE(2000+VALUE(RIGHT(INDEX($D$9:$D$2008,$W218),2)),VALUE(MID(INDEX($D$9:$D$2008,$W218),4,2)),VALUE(LEFT(INDEX($D$9:$D$2008,$W218),2))),"")))</f>
        <v/>
      </c>
      <c r="AC218" s="29">
        <f>IF($W218="","",IFERROR(IF(ISNUMBER(INDEX($E$9:$E$2008,$W218)),INDEX($E$9:$E$2008,$W218),VALUE(SUBSTITUTE(INDEX($E$9:$E$2008,$W218),",",""))),""))</f>
        <v/>
      </c>
      <c r="AD218" s="29">
        <f>IF($W218="","",IFERROR(IF(ISNUMBER(INDEX($F$9:$F$2008,$W218)),INDEX($F$9:$F$2008,$W218),VALUE(SUBSTITUTE(INDEX($F$9:$F$2008,$W218),",",""))),""))</f>
        <v/>
      </c>
      <c r="AE218" s="29">
        <f>IF($W218="","",IFERROR(IF(ISNUMBER(INDEX($G$9:$G$2008,$W218)),INDEX($G$9:$G$2008,$W218),VALUE(SUBSTITUTE(INDEX($G$9:$G$2008,$W218),",",""))),""))</f>
        <v/>
      </c>
      <c r="AF218" s="29">
        <f>IF($W218="","",IFERROR(IF(ISNUMBER(INDEX($H$9:$H$2008,$W218)),INDEX($H$9:$H$2008,$W218),VALUE(SUBSTITUTE(INDEX($H$9:$H$2008,$W218),",",""))),""))</f>
        <v/>
      </c>
      <c r="AG218" s="29">
        <f>IF($W218="","",IFERROR(IF(ISNUMBER(INDEX($I$9:$I$2008,$W218)),INDEX($I$9:$I$2008,$W218),VALUE(SUBSTITUTE(INDEX($I$9:$I$2008,$W218),",",""))),""))</f>
        <v/>
      </c>
      <c r="AH218" s="29">
        <f>IF($W218="","",IFERROR(IF(ISNUMBER(INDEX($J$9:$J$2008,$W218)),INDEX($J$9:$J$2008,$W218),VALUE(SUBSTITUTE(INDEX($J$9:$J$2008,$W218),",",""))),""))</f>
        <v/>
      </c>
      <c r="AI218" s="29">
        <f>IF($W218="","",IFERROR(IF(ISNUMBER(INDEX($K$9:$K$2008,$W218)),INDEX($K$9:$K$2008,$W218),VALUE(SUBSTITUTE(INDEX($K$9:$K$2008,$W218),",",""))),""))</f>
        <v/>
      </c>
      <c r="AJ218" s="30">
        <f>IF($W218="","",IFERROR(IF(ISNUMBER(INDEX($L$9:$L$2008,$W218)),INDEX($L$9:$L$2008,$W218),VALUE(SUBSTITUTE(INDEX($L$9:$L$2008,$W218),",",""))),""))</f>
        <v/>
      </c>
      <c r="AK218" s="30">
        <f>IF($W218="","",IFERROR(IF(ISNUMBER(INDEX($M$9:$M$2008,$W218)),INDEX($M$9:$M$2008,$W218),VALUE(SUBSTITUTE(INDEX($M$9:$M$2008,$W218),",",""))),""))</f>
        <v/>
      </c>
      <c r="AL218" s="31">
        <f>IF($W218="","",IFERROR(IF(ISNUMBER(INDEX($P$9:$P$2008,$W218)),INDEX($P$9:$P$2008,$W218),VALUE(SUBSTITUTE(INDEX($P$9:$P$2008,$W218),"%",""))/100),""))</f>
        <v/>
      </c>
    </row>
    <row r="219">
      <c r="S219">
        <f>IF(AND(ISTEXT($A219),ISNUMBER(SEARCH(" - ",$A219)),ISERROR(SEARCH("Folio",$A219)),$D219=""),TRIM($A219),$S218)</f>
        <v/>
      </c>
      <c r="T219">
        <f>IF(AND(ISNUMBER(SEARCH("Folio",$A219)),$D219&lt;&gt;""),1,"")</f>
        <v/>
      </c>
      <c r="U219">
        <f>IF($T219=1,COUNTIF($T$9:$T219,1),"")</f>
        <v/>
      </c>
      <c r="V219">
        <f>IF(AND(ISTEXT($A219),LEFT($A220,3)="Pan"),1,"")</f>
        <v/>
      </c>
      <c r="W219" s="21">
        <f>IFERROR(MATCH(211,$U$9:$U$2008,0),"")</f>
        <v/>
      </c>
      <c r="X219" s="22">
        <f>IF($W219="","",IF($R$5&lt;&gt;"",$R$5,$R$6))</f>
        <v/>
      </c>
      <c r="Y219" s="22">
        <f>IF($W219="","",INDEX($S$9:$S$2008,$W219))</f>
        <v/>
      </c>
      <c r="Z219" s="22">
        <f>IF($W219="","",IFERROR(TRIM(LEFT(SUBSTITUTE(INDEX($A$9:$A$2008,$W219),CHAR(10)," "),SEARCH("Folio",SUBSTITUTE(INDEX($A$9:$A$2008,$W219),CHAR(10)," "))-1)),TRIM(SUBSTITUTE(INDEX($A$9:$A$2008,$W219),CHAR(10)," "))))</f>
        <v/>
      </c>
      <c r="AA219" s="22">
        <f>IF($W219="","",IFERROR(TRIM(SUBSTITUTE(MID(SUBSTITUTE(INDEX($A$9:$A$2008,$W219),CHAR(10)," "),SEARCH("Folio",SUBSTITUTE(INDEX($A$9:$A$2008,$W219),CHAR(10)," "))+5,200),":","")),""))</f>
        <v/>
      </c>
      <c r="AB219" s="23">
        <f>IF($W219="","",IF(ISNUMBER(INDEX($D$9:$D$2008,$W219)),INDEX($D$9:$D$2008,$W219),IFERROR(DATE(2000+VALUE(RIGHT(INDEX($D$9:$D$2008,$W219),2)),VALUE(MID(INDEX($D$9:$D$2008,$W219),4,2)),VALUE(LEFT(INDEX($D$9:$D$2008,$W219),2))),"")))</f>
        <v/>
      </c>
      <c r="AC219" s="24">
        <f>IF($W219="","",IFERROR(IF(ISNUMBER(INDEX($E$9:$E$2008,$W219)),INDEX($E$9:$E$2008,$W219),VALUE(SUBSTITUTE(INDEX($E$9:$E$2008,$W219),",",""))),""))</f>
        <v/>
      </c>
      <c r="AD219" s="24">
        <f>IF($W219="","",IFERROR(IF(ISNUMBER(INDEX($F$9:$F$2008,$W219)),INDEX($F$9:$F$2008,$W219),VALUE(SUBSTITUTE(INDEX($F$9:$F$2008,$W219),",",""))),""))</f>
        <v/>
      </c>
      <c r="AE219" s="24">
        <f>IF($W219="","",IFERROR(IF(ISNUMBER(INDEX($G$9:$G$2008,$W219)),INDEX($G$9:$G$2008,$W219),VALUE(SUBSTITUTE(INDEX($G$9:$G$2008,$W219),",",""))),""))</f>
        <v/>
      </c>
      <c r="AF219" s="24">
        <f>IF($W219="","",IFERROR(IF(ISNUMBER(INDEX($H$9:$H$2008,$W219)),INDEX($H$9:$H$2008,$W219),VALUE(SUBSTITUTE(INDEX($H$9:$H$2008,$W219),",",""))),""))</f>
        <v/>
      </c>
      <c r="AG219" s="24">
        <f>IF($W219="","",IFERROR(IF(ISNUMBER(INDEX($I$9:$I$2008,$W219)),INDEX($I$9:$I$2008,$W219),VALUE(SUBSTITUTE(INDEX($I$9:$I$2008,$W219),",",""))),""))</f>
        <v/>
      </c>
      <c r="AH219" s="24">
        <f>IF($W219="","",IFERROR(IF(ISNUMBER(INDEX($J$9:$J$2008,$W219)),INDEX($J$9:$J$2008,$W219),VALUE(SUBSTITUTE(INDEX($J$9:$J$2008,$W219),",",""))),""))</f>
        <v/>
      </c>
      <c r="AI219" s="24">
        <f>IF($W219="","",IFERROR(IF(ISNUMBER(INDEX($K$9:$K$2008,$W219)),INDEX($K$9:$K$2008,$W219),VALUE(SUBSTITUTE(INDEX($K$9:$K$2008,$W219),",",""))),""))</f>
        <v/>
      </c>
      <c r="AJ219" s="25">
        <f>IF($W219="","",IFERROR(IF(ISNUMBER(INDEX($L$9:$L$2008,$W219)),INDEX($L$9:$L$2008,$W219),VALUE(SUBSTITUTE(INDEX($L$9:$L$2008,$W219),",",""))),""))</f>
        <v/>
      </c>
      <c r="AK219" s="25">
        <f>IF($W219="","",IFERROR(IF(ISNUMBER(INDEX($M$9:$M$2008,$W219)),INDEX($M$9:$M$2008,$W219),VALUE(SUBSTITUTE(INDEX($M$9:$M$2008,$W219),",",""))),""))</f>
        <v/>
      </c>
      <c r="AL219" s="26">
        <f>IF($W219="","",IFERROR(IF(ISNUMBER(INDEX($P$9:$P$2008,$W219)),INDEX($P$9:$P$2008,$W219),VALUE(SUBSTITUTE(INDEX($P$9:$P$2008,$W219),"%",""))/100),""))</f>
        <v/>
      </c>
    </row>
    <row r="220">
      <c r="S220">
        <f>IF(AND(ISTEXT($A220),ISNUMBER(SEARCH(" - ",$A220)),ISERROR(SEARCH("Folio",$A220)),$D220=""),TRIM($A220),$S219)</f>
        <v/>
      </c>
      <c r="T220">
        <f>IF(AND(ISNUMBER(SEARCH("Folio",$A220)),$D220&lt;&gt;""),1,"")</f>
        <v/>
      </c>
      <c r="U220">
        <f>IF($T220=1,COUNTIF($T$9:$T220,1),"")</f>
        <v/>
      </c>
      <c r="V220">
        <f>IF(AND(ISTEXT($A220),LEFT($A221,3)="Pan"),1,"")</f>
        <v/>
      </c>
      <c r="W220" s="21">
        <f>IFERROR(MATCH(212,$U$9:$U$2008,0),"")</f>
        <v/>
      </c>
      <c r="X220" s="27">
        <f>IF($W220="","",IF($R$5&lt;&gt;"",$R$5,$R$6))</f>
        <v/>
      </c>
      <c r="Y220" s="27">
        <f>IF($W220="","",INDEX($S$9:$S$2008,$W220))</f>
        <v/>
      </c>
      <c r="Z220" s="27">
        <f>IF($W220="","",IFERROR(TRIM(LEFT(SUBSTITUTE(INDEX($A$9:$A$2008,$W220),CHAR(10)," "),SEARCH("Folio",SUBSTITUTE(INDEX($A$9:$A$2008,$W220),CHAR(10)," "))-1)),TRIM(SUBSTITUTE(INDEX($A$9:$A$2008,$W220),CHAR(10)," "))))</f>
        <v/>
      </c>
      <c r="AA220" s="27">
        <f>IF($W220="","",IFERROR(TRIM(SUBSTITUTE(MID(SUBSTITUTE(INDEX($A$9:$A$2008,$W220),CHAR(10)," "),SEARCH("Folio",SUBSTITUTE(INDEX($A$9:$A$2008,$W220),CHAR(10)," "))+5,200),":","")),""))</f>
        <v/>
      </c>
      <c r="AB220" s="28">
        <f>IF($W220="","",IF(ISNUMBER(INDEX($D$9:$D$2008,$W220)),INDEX($D$9:$D$2008,$W220),IFERROR(DATE(2000+VALUE(RIGHT(INDEX($D$9:$D$2008,$W220),2)),VALUE(MID(INDEX($D$9:$D$2008,$W220),4,2)),VALUE(LEFT(INDEX($D$9:$D$2008,$W220),2))),"")))</f>
        <v/>
      </c>
      <c r="AC220" s="29">
        <f>IF($W220="","",IFERROR(IF(ISNUMBER(INDEX($E$9:$E$2008,$W220)),INDEX($E$9:$E$2008,$W220),VALUE(SUBSTITUTE(INDEX($E$9:$E$2008,$W220),",",""))),""))</f>
        <v/>
      </c>
      <c r="AD220" s="29">
        <f>IF($W220="","",IFERROR(IF(ISNUMBER(INDEX($F$9:$F$2008,$W220)),INDEX($F$9:$F$2008,$W220),VALUE(SUBSTITUTE(INDEX($F$9:$F$2008,$W220),",",""))),""))</f>
        <v/>
      </c>
      <c r="AE220" s="29">
        <f>IF($W220="","",IFERROR(IF(ISNUMBER(INDEX($G$9:$G$2008,$W220)),INDEX($G$9:$G$2008,$W220),VALUE(SUBSTITUTE(INDEX($G$9:$G$2008,$W220),",",""))),""))</f>
        <v/>
      </c>
      <c r="AF220" s="29">
        <f>IF($W220="","",IFERROR(IF(ISNUMBER(INDEX($H$9:$H$2008,$W220)),INDEX($H$9:$H$2008,$W220),VALUE(SUBSTITUTE(INDEX($H$9:$H$2008,$W220),",",""))),""))</f>
        <v/>
      </c>
      <c r="AG220" s="29">
        <f>IF($W220="","",IFERROR(IF(ISNUMBER(INDEX($I$9:$I$2008,$W220)),INDEX($I$9:$I$2008,$W220),VALUE(SUBSTITUTE(INDEX($I$9:$I$2008,$W220),",",""))),""))</f>
        <v/>
      </c>
      <c r="AH220" s="29">
        <f>IF($W220="","",IFERROR(IF(ISNUMBER(INDEX($J$9:$J$2008,$W220)),INDEX($J$9:$J$2008,$W220),VALUE(SUBSTITUTE(INDEX($J$9:$J$2008,$W220),",",""))),""))</f>
        <v/>
      </c>
      <c r="AI220" s="29">
        <f>IF($W220="","",IFERROR(IF(ISNUMBER(INDEX($K$9:$K$2008,$W220)),INDEX($K$9:$K$2008,$W220),VALUE(SUBSTITUTE(INDEX($K$9:$K$2008,$W220),",",""))),""))</f>
        <v/>
      </c>
      <c r="AJ220" s="30">
        <f>IF($W220="","",IFERROR(IF(ISNUMBER(INDEX($L$9:$L$2008,$W220)),INDEX($L$9:$L$2008,$W220),VALUE(SUBSTITUTE(INDEX($L$9:$L$2008,$W220),",",""))),""))</f>
        <v/>
      </c>
      <c r="AK220" s="30">
        <f>IF($W220="","",IFERROR(IF(ISNUMBER(INDEX($M$9:$M$2008,$W220)),INDEX($M$9:$M$2008,$W220),VALUE(SUBSTITUTE(INDEX($M$9:$M$2008,$W220),",",""))),""))</f>
        <v/>
      </c>
      <c r="AL220" s="31">
        <f>IF($W220="","",IFERROR(IF(ISNUMBER(INDEX($P$9:$P$2008,$W220)),INDEX($P$9:$P$2008,$W220),VALUE(SUBSTITUTE(INDEX($P$9:$P$2008,$W220),"%",""))/100),""))</f>
        <v/>
      </c>
    </row>
    <row r="221">
      <c r="S221">
        <f>IF(AND(ISTEXT($A221),ISNUMBER(SEARCH(" - ",$A221)),ISERROR(SEARCH("Folio",$A221)),$D221=""),TRIM($A221),$S220)</f>
        <v/>
      </c>
      <c r="T221">
        <f>IF(AND(ISNUMBER(SEARCH("Folio",$A221)),$D221&lt;&gt;""),1,"")</f>
        <v/>
      </c>
      <c r="U221">
        <f>IF($T221=1,COUNTIF($T$9:$T221,1),"")</f>
        <v/>
      </c>
      <c r="V221">
        <f>IF(AND(ISTEXT($A221),LEFT($A222,3)="Pan"),1,"")</f>
        <v/>
      </c>
      <c r="W221" s="21">
        <f>IFERROR(MATCH(213,$U$9:$U$2008,0),"")</f>
        <v/>
      </c>
      <c r="X221" s="22">
        <f>IF($W221="","",IF($R$5&lt;&gt;"",$R$5,$R$6))</f>
        <v/>
      </c>
      <c r="Y221" s="22">
        <f>IF($W221="","",INDEX($S$9:$S$2008,$W221))</f>
        <v/>
      </c>
      <c r="Z221" s="22">
        <f>IF($W221="","",IFERROR(TRIM(LEFT(SUBSTITUTE(INDEX($A$9:$A$2008,$W221),CHAR(10)," "),SEARCH("Folio",SUBSTITUTE(INDEX($A$9:$A$2008,$W221),CHAR(10)," "))-1)),TRIM(SUBSTITUTE(INDEX($A$9:$A$2008,$W221),CHAR(10)," "))))</f>
        <v/>
      </c>
      <c r="AA221" s="22">
        <f>IF($W221="","",IFERROR(TRIM(SUBSTITUTE(MID(SUBSTITUTE(INDEX($A$9:$A$2008,$W221),CHAR(10)," "),SEARCH("Folio",SUBSTITUTE(INDEX($A$9:$A$2008,$W221),CHAR(10)," "))+5,200),":","")),""))</f>
        <v/>
      </c>
      <c r="AB221" s="23">
        <f>IF($W221="","",IF(ISNUMBER(INDEX($D$9:$D$2008,$W221)),INDEX($D$9:$D$2008,$W221),IFERROR(DATE(2000+VALUE(RIGHT(INDEX($D$9:$D$2008,$W221),2)),VALUE(MID(INDEX($D$9:$D$2008,$W221),4,2)),VALUE(LEFT(INDEX($D$9:$D$2008,$W221),2))),"")))</f>
        <v/>
      </c>
      <c r="AC221" s="24">
        <f>IF($W221="","",IFERROR(IF(ISNUMBER(INDEX($E$9:$E$2008,$W221)),INDEX($E$9:$E$2008,$W221),VALUE(SUBSTITUTE(INDEX($E$9:$E$2008,$W221),",",""))),""))</f>
        <v/>
      </c>
      <c r="AD221" s="24">
        <f>IF($W221="","",IFERROR(IF(ISNUMBER(INDEX($F$9:$F$2008,$W221)),INDEX($F$9:$F$2008,$W221),VALUE(SUBSTITUTE(INDEX($F$9:$F$2008,$W221),",",""))),""))</f>
        <v/>
      </c>
      <c r="AE221" s="24">
        <f>IF($W221="","",IFERROR(IF(ISNUMBER(INDEX($G$9:$G$2008,$W221)),INDEX($G$9:$G$2008,$W221),VALUE(SUBSTITUTE(INDEX($G$9:$G$2008,$W221),",",""))),""))</f>
        <v/>
      </c>
      <c r="AF221" s="24">
        <f>IF($W221="","",IFERROR(IF(ISNUMBER(INDEX($H$9:$H$2008,$W221)),INDEX($H$9:$H$2008,$W221),VALUE(SUBSTITUTE(INDEX($H$9:$H$2008,$W221),",",""))),""))</f>
        <v/>
      </c>
      <c r="AG221" s="24">
        <f>IF($W221="","",IFERROR(IF(ISNUMBER(INDEX($I$9:$I$2008,$W221)),INDEX($I$9:$I$2008,$W221),VALUE(SUBSTITUTE(INDEX($I$9:$I$2008,$W221),",",""))),""))</f>
        <v/>
      </c>
      <c r="AH221" s="24">
        <f>IF($W221="","",IFERROR(IF(ISNUMBER(INDEX($J$9:$J$2008,$W221)),INDEX($J$9:$J$2008,$W221),VALUE(SUBSTITUTE(INDEX($J$9:$J$2008,$W221),",",""))),""))</f>
        <v/>
      </c>
      <c r="AI221" s="24">
        <f>IF($W221="","",IFERROR(IF(ISNUMBER(INDEX($K$9:$K$2008,$W221)),INDEX($K$9:$K$2008,$W221),VALUE(SUBSTITUTE(INDEX($K$9:$K$2008,$W221),",",""))),""))</f>
        <v/>
      </c>
      <c r="AJ221" s="25">
        <f>IF($W221="","",IFERROR(IF(ISNUMBER(INDEX($L$9:$L$2008,$W221)),INDEX($L$9:$L$2008,$W221),VALUE(SUBSTITUTE(INDEX($L$9:$L$2008,$W221),",",""))),""))</f>
        <v/>
      </c>
      <c r="AK221" s="25">
        <f>IF($W221="","",IFERROR(IF(ISNUMBER(INDEX($M$9:$M$2008,$W221)),INDEX($M$9:$M$2008,$W221),VALUE(SUBSTITUTE(INDEX($M$9:$M$2008,$W221),",",""))),""))</f>
        <v/>
      </c>
      <c r="AL221" s="26">
        <f>IF($W221="","",IFERROR(IF(ISNUMBER(INDEX($P$9:$P$2008,$W221)),INDEX($P$9:$P$2008,$W221),VALUE(SUBSTITUTE(INDEX($P$9:$P$2008,$W221),"%",""))/100),""))</f>
        <v/>
      </c>
    </row>
    <row r="222">
      <c r="S222">
        <f>IF(AND(ISTEXT($A222),ISNUMBER(SEARCH(" - ",$A222)),ISERROR(SEARCH("Folio",$A222)),$D222=""),TRIM($A222),$S221)</f>
        <v/>
      </c>
      <c r="T222">
        <f>IF(AND(ISNUMBER(SEARCH("Folio",$A222)),$D222&lt;&gt;""),1,"")</f>
        <v/>
      </c>
      <c r="U222">
        <f>IF($T222=1,COUNTIF($T$9:$T222,1),"")</f>
        <v/>
      </c>
      <c r="V222">
        <f>IF(AND(ISTEXT($A222),LEFT($A223,3)="Pan"),1,"")</f>
        <v/>
      </c>
      <c r="W222" s="21">
        <f>IFERROR(MATCH(214,$U$9:$U$2008,0),"")</f>
        <v/>
      </c>
      <c r="X222" s="27">
        <f>IF($W222="","",IF($R$5&lt;&gt;"",$R$5,$R$6))</f>
        <v/>
      </c>
      <c r="Y222" s="27">
        <f>IF($W222="","",INDEX($S$9:$S$2008,$W222))</f>
        <v/>
      </c>
      <c r="Z222" s="27">
        <f>IF($W222="","",IFERROR(TRIM(LEFT(SUBSTITUTE(INDEX($A$9:$A$2008,$W222),CHAR(10)," "),SEARCH("Folio",SUBSTITUTE(INDEX($A$9:$A$2008,$W222),CHAR(10)," "))-1)),TRIM(SUBSTITUTE(INDEX($A$9:$A$2008,$W222),CHAR(10)," "))))</f>
        <v/>
      </c>
      <c r="AA222" s="27">
        <f>IF($W222="","",IFERROR(TRIM(SUBSTITUTE(MID(SUBSTITUTE(INDEX($A$9:$A$2008,$W222),CHAR(10)," "),SEARCH("Folio",SUBSTITUTE(INDEX($A$9:$A$2008,$W222),CHAR(10)," "))+5,200),":","")),""))</f>
        <v/>
      </c>
      <c r="AB222" s="28">
        <f>IF($W222="","",IF(ISNUMBER(INDEX($D$9:$D$2008,$W222)),INDEX($D$9:$D$2008,$W222),IFERROR(DATE(2000+VALUE(RIGHT(INDEX($D$9:$D$2008,$W222),2)),VALUE(MID(INDEX($D$9:$D$2008,$W222),4,2)),VALUE(LEFT(INDEX($D$9:$D$2008,$W222),2))),"")))</f>
        <v/>
      </c>
      <c r="AC222" s="29">
        <f>IF($W222="","",IFERROR(IF(ISNUMBER(INDEX($E$9:$E$2008,$W222)),INDEX($E$9:$E$2008,$W222),VALUE(SUBSTITUTE(INDEX($E$9:$E$2008,$W222),",",""))),""))</f>
        <v/>
      </c>
      <c r="AD222" s="29">
        <f>IF($W222="","",IFERROR(IF(ISNUMBER(INDEX($F$9:$F$2008,$W222)),INDEX($F$9:$F$2008,$W222),VALUE(SUBSTITUTE(INDEX($F$9:$F$2008,$W222),",",""))),""))</f>
        <v/>
      </c>
      <c r="AE222" s="29">
        <f>IF($W222="","",IFERROR(IF(ISNUMBER(INDEX($G$9:$G$2008,$W222)),INDEX($G$9:$G$2008,$W222),VALUE(SUBSTITUTE(INDEX($G$9:$G$2008,$W222),",",""))),""))</f>
        <v/>
      </c>
      <c r="AF222" s="29">
        <f>IF($W222="","",IFERROR(IF(ISNUMBER(INDEX($H$9:$H$2008,$W222)),INDEX($H$9:$H$2008,$W222),VALUE(SUBSTITUTE(INDEX($H$9:$H$2008,$W222),",",""))),""))</f>
        <v/>
      </c>
      <c r="AG222" s="29">
        <f>IF($W222="","",IFERROR(IF(ISNUMBER(INDEX($I$9:$I$2008,$W222)),INDEX($I$9:$I$2008,$W222),VALUE(SUBSTITUTE(INDEX($I$9:$I$2008,$W222),",",""))),""))</f>
        <v/>
      </c>
      <c r="AH222" s="29">
        <f>IF($W222="","",IFERROR(IF(ISNUMBER(INDEX($J$9:$J$2008,$W222)),INDEX($J$9:$J$2008,$W222),VALUE(SUBSTITUTE(INDEX($J$9:$J$2008,$W222),",",""))),""))</f>
        <v/>
      </c>
      <c r="AI222" s="29">
        <f>IF($W222="","",IFERROR(IF(ISNUMBER(INDEX($K$9:$K$2008,$W222)),INDEX($K$9:$K$2008,$W222),VALUE(SUBSTITUTE(INDEX($K$9:$K$2008,$W222),",",""))),""))</f>
        <v/>
      </c>
      <c r="AJ222" s="30">
        <f>IF($W222="","",IFERROR(IF(ISNUMBER(INDEX($L$9:$L$2008,$W222)),INDEX($L$9:$L$2008,$W222),VALUE(SUBSTITUTE(INDEX($L$9:$L$2008,$W222),",",""))),""))</f>
        <v/>
      </c>
      <c r="AK222" s="30">
        <f>IF($W222="","",IFERROR(IF(ISNUMBER(INDEX($M$9:$M$2008,$W222)),INDEX($M$9:$M$2008,$W222),VALUE(SUBSTITUTE(INDEX($M$9:$M$2008,$W222),",",""))),""))</f>
        <v/>
      </c>
      <c r="AL222" s="31">
        <f>IF($W222="","",IFERROR(IF(ISNUMBER(INDEX($P$9:$P$2008,$W222)),INDEX($P$9:$P$2008,$W222),VALUE(SUBSTITUTE(INDEX($P$9:$P$2008,$W222),"%",""))/100),""))</f>
        <v/>
      </c>
    </row>
    <row r="223">
      <c r="S223">
        <f>IF(AND(ISTEXT($A223),ISNUMBER(SEARCH(" - ",$A223)),ISERROR(SEARCH("Folio",$A223)),$D223=""),TRIM($A223),$S222)</f>
        <v/>
      </c>
      <c r="T223">
        <f>IF(AND(ISNUMBER(SEARCH("Folio",$A223)),$D223&lt;&gt;""),1,"")</f>
        <v/>
      </c>
      <c r="U223">
        <f>IF($T223=1,COUNTIF($T$9:$T223,1),"")</f>
        <v/>
      </c>
      <c r="V223">
        <f>IF(AND(ISTEXT($A223),LEFT($A224,3)="Pan"),1,"")</f>
        <v/>
      </c>
      <c r="W223" s="21">
        <f>IFERROR(MATCH(215,$U$9:$U$2008,0),"")</f>
        <v/>
      </c>
      <c r="X223" s="22">
        <f>IF($W223="","",IF($R$5&lt;&gt;"",$R$5,$R$6))</f>
        <v/>
      </c>
      <c r="Y223" s="22">
        <f>IF($W223="","",INDEX($S$9:$S$2008,$W223))</f>
        <v/>
      </c>
      <c r="Z223" s="22">
        <f>IF($W223="","",IFERROR(TRIM(LEFT(SUBSTITUTE(INDEX($A$9:$A$2008,$W223),CHAR(10)," "),SEARCH("Folio",SUBSTITUTE(INDEX($A$9:$A$2008,$W223),CHAR(10)," "))-1)),TRIM(SUBSTITUTE(INDEX($A$9:$A$2008,$W223),CHAR(10)," "))))</f>
        <v/>
      </c>
      <c r="AA223" s="22">
        <f>IF($W223="","",IFERROR(TRIM(SUBSTITUTE(MID(SUBSTITUTE(INDEX($A$9:$A$2008,$W223),CHAR(10)," "),SEARCH("Folio",SUBSTITUTE(INDEX($A$9:$A$2008,$W223),CHAR(10)," "))+5,200),":","")),""))</f>
        <v/>
      </c>
      <c r="AB223" s="23">
        <f>IF($W223="","",IF(ISNUMBER(INDEX($D$9:$D$2008,$W223)),INDEX($D$9:$D$2008,$W223),IFERROR(DATE(2000+VALUE(RIGHT(INDEX($D$9:$D$2008,$W223),2)),VALUE(MID(INDEX($D$9:$D$2008,$W223),4,2)),VALUE(LEFT(INDEX($D$9:$D$2008,$W223),2))),"")))</f>
        <v/>
      </c>
      <c r="AC223" s="24">
        <f>IF($W223="","",IFERROR(IF(ISNUMBER(INDEX($E$9:$E$2008,$W223)),INDEX($E$9:$E$2008,$W223),VALUE(SUBSTITUTE(INDEX($E$9:$E$2008,$W223),",",""))),""))</f>
        <v/>
      </c>
      <c r="AD223" s="24">
        <f>IF($W223="","",IFERROR(IF(ISNUMBER(INDEX($F$9:$F$2008,$W223)),INDEX($F$9:$F$2008,$W223),VALUE(SUBSTITUTE(INDEX($F$9:$F$2008,$W223),",",""))),""))</f>
        <v/>
      </c>
      <c r="AE223" s="24">
        <f>IF($W223="","",IFERROR(IF(ISNUMBER(INDEX($G$9:$G$2008,$W223)),INDEX($G$9:$G$2008,$W223),VALUE(SUBSTITUTE(INDEX($G$9:$G$2008,$W223),",",""))),""))</f>
        <v/>
      </c>
      <c r="AF223" s="24">
        <f>IF($W223="","",IFERROR(IF(ISNUMBER(INDEX($H$9:$H$2008,$W223)),INDEX($H$9:$H$2008,$W223),VALUE(SUBSTITUTE(INDEX($H$9:$H$2008,$W223),",",""))),""))</f>
        <v/>
      </c>
      <c r="AG223" s="24">
        <f>IF($W223="","",IFERROR(IF(ISNUMBER(INDEX($I$9:$I$2008,$W223)),INDEX($I$9:$I$2008,$W223),VALUE(SUBSTITUTE(INDEX($I$9:$I$2008,$W223),",",""))),""))</f>
        <v/>
      </c>
      <c r="AH223" s="24">
        <f>IF($W223="","",IFERROR(IF(ISNUMBER(INDEX($J$9:$J$2008,$W223)),INDEX($J$9:$J$2008,$W223),VALUE(SUBSTITUTE(INDEX($J$9:$J$2008,$W223),",",""))),""))</f>
        <v/>
      </c>
      <c r="AI223" s="24">
        <f>IF($W223="","",IFERROR(IF(ISNUMBER(INDEX($K$9:$K$2008,$W223)),INDEX($K$9:$K$2008,$W223),VALUE(SUBSTITUTE(INDEX($K$9:$K$2008,$W223),",",""))),""))</f>
        <v/>
      </c>
      <c r="AJ223" s="25">
        <f>IF($W223="","",IFERROR(IF(ISNUMBER(INDEX($L$9:$L$2008,$W223)),INDEX($L$9:$L$2008,$W223),VALUE(SUBSTITUTE(INDEX($L$9:$L$2008,$W223),",",""))),""))</f>
        <v/>
      </c>
      <c r="AK223" s="25">
        <f>IF($W223="","",IFERROR(IF(ISNUMBER(INDEX($M$9:$M$2008,$W223)),INDEX($M$9:$M$2008,$W223),VALUE(SUBSTITUTE(INDEX($M$9:$M$2008,$W223),",",""))),""))</f>
        <v/>
      </c>
      <c r="AL223" s="26">
        <f>IF($W223="","",IFERROR(IF(ISNUMBER(INDEX($P$9:$P$2008,$W223)),INDEX($P$9:$P$2008,$W223),VALUE(SUBSTITUTE(INDEX($P$9:$P$2008,$W223),"%",""))/100),""))</f>
        <v/>
      </c>
    </row>
    <row r="224">
      <c r="S224">
        <f>IF(AND(ISTEXT($A224),ISNUMBER(SEARCH(" - ",$A224)),ISERROR(SEARCH("Folio",$A224)),$D224=""),TRIM($A224),$S223)</f>
        <v/>
      </c>
      <c r="T224">
        <f>IF(AND(ISNUMBER(SEARCH("Folio",$A224)),$D224&lt;&gt;""),1,"")</f>
        <v/>
      </c>
      <c r="U224">
        <f>IF($T224=1,COUNTIF($T$9:$T224,1),"")</f>
        <v/>
      </c>
      <c r="V224">
        <f>IF(AND(ISTEXT($A224),LEFT($A225,3)="Pan"),1,"")</f>
        <v/>
      </c>
      <c r="W224" s="21">
        <f>IFERROR(MATCH(216,$U$9:$U$2008,0),"")</f>
        <v/>
      </c>
      <c r="X224" s="27">
        <f>IF($W224="","",IF($R$5&lt;&gt;"",$R$5,$R$6))</f>
        <v/>
      </c>
      <c r="Y224" s="27">
        <f>IF($W224="","",INDEX($S$9:$S$2008,$W224))</f>
        <v/>
      </c>
      <c r="Z224" s="27">
        <f>IF($W224="","",IFERROR(TRIM(LEFT(SUBSTITUTE(INDEX($A$9:$A$2008,$W224),CHAR(10)," "),SEARCH("Folio",SUBSTITUTE(INDEX($A$9:$A$2008,$W224),CHAR(10)," "))-1)),TRIM(SUBSTITUTE(INDEX($A$9:$A$2008,$W224),CHAR(10)," "))))</f>
        <v/>
      </c>
      <c r="AA224" s="27">
        <f>IF($W224="","",IFERROR(TRIM(SUBSTITUTE(MID(SUBSTITUTE(INDEX($A$9:$A$2008,$W224),CHAR(10)," "),SEARCH("Folio",SUBSTITUTE(INDEX($A$9:$A$2008,$W224),CHAR(10)," "))+5,200),":","")),""))</f>
        <v/>
      </c>
      <c r="AB224" s="28">
        <f>IF($W224="","",IF(ISNUMBER(INDEX($D$9:$D$2008,$W224)),INDEX($D$9:$D$2008,$W224),IFERROR(DATE(2000+VALUE(RIGHT(INDEX($D$9:$D$2008,$W224),2)),VALUE(MID(INDEX($D$9:$D$2008,$W224),4,2)),VALUE(LEFT(INDEX($D$9:$D$2008,$W224),2))),"")))</f>
        <v/>
      </c>
      <c r="AC224" s="29">
        <f>IF($W224="","",IFERROR(IF(ISNUMBER(INDEX($E$9:$E$2008,$W224)),INDEX($E$9:$E$2008,$W224),VALUE(SUBSTITUTE(INDEX($E$9:$E$2008,$W224),",",""))),""))</f>
        <v/>
      </c>
      <c r="AD224" s="29">
        <f>IF($W224="","",IFERROR(IF(ISNUMBER(INDEX($F$9:$F$2008,$W224)),INDEX($F$9:$F$2008,$W224),VALUE(SUBSTITUTE(INDEX($F$9:$F$2008,$W224),",",""))),""))</f>
        <v/>
      </c>
      <c r="AE224" s="29">
        <f>IF($W224="","",IFERROR(IF(ISNUMBER(INDEX($G$9:$G$2008,$W224)),INDEX($G$9:$G$2008,$W224),VALUE(SUBSTITUTE(INDEX($G$9:$G$2008,$W224),",",""))),""))</f>
        <v/>
      </c>
      <c r="AF224" s="29">
        <f>IF($W224="","",IFERROR(IF(ISNUMBER(INDEX($H$9:$H$2008,$W224)),INDEX($H$9:$H$2008,$W224),VALUE(SUBSTITUTE(INDEX($H$9:$H$2008,$W224),",",""))),""))</f>
        <v/>
      </c>
      <c r="AG224" s="29">
        <f>IF($W224="","",IFERROR(IF(ISNUMBER(INDEX($I$9:$I$2008,$W224)),INDEX($I$9:$I$2008,$W224),VALUE(SUBSTITUTE(INDEX($I$9:$I$2008,$W224),",",""))),""))</f>
        <v/>
      </c>
      <c r="AH224" s="29">
        <f>IF($W224="","",IFERROR(IF(ISNUMBER(INDEX($J$9:$J$2008,$W224)),INDEX($J$9:$J$2008,$W224),VALUE(SUBSTITUTE(INDEX($J$9:$J$2008,$W224),",",""))),""))</f>
        <v/>
      </c>
      <c r="AI224" s="29">
        <f>IF($W224="","",IFERROR(IF(ISNUMBER(INDEX($K$9:$K$2008,$W224)),INDEX($K$9:$K$2008,$W224),VALUE(SUBSTITUTE(INDEX($K$9:$K$2008,$W224),",",""))),""))</f>
        <v/>
      </c>
      <c r="AJ224" s="30">
        <f>IF($W224="","",IFERROR(IF(ISNUMBER(INDEX($L$9:$L$2008,$W224)),INDEX($L$9:$L$2008,$W224),VALUE(SUBSTITUTE(INDEX($L$9:$L$2008,$W224),",",""))),""))</f>
        <v/>
      </c>
      <c r="AK224" s="30">
        <f>IF($W224="","",IFERROR(IF(ISNUMBER(INDEX($M$9:$M$2008,$W224)),INDEX($M$9:$M$2008,$W224),VALUE(SUBSTITUTE(INDEX($M$9:$M$2008,$W224),",",""))),""))</f>
        <v/>
      </c>
      <c r="AL224" s="31">
        <f>IF($W224="","",IFERROR(IF(ISNUMBER(INDEX($P$9:$P$2008,$W224)),INDEX($P$9:$P$2008,$W224),VALUE(SUBSTITUTE(INDEX($P$9:$P$2008,$W224),"%",""))/100),""))</f>
        <v/>
      </c>
    </row>
    <row r="225">
      <c r="S225">
        <f>IF(AND(ISTEXT($A225),ISNUMBER(SEARCH(" - ",$A225)),ISERROR(SEARCH("Folio",$A225)),$D225=""),TRIM($A225),$S224)</f>
        <v/>
      </c>
      <c r="T225">
        <f>IF(AND(ISNUMBER(SEARCH("Folio",$A225)),$D225&lt;&gt;""),1,"")</f>
        <v/>
      </c>
      <c r="U225">
        <f>IF($T225=1,COUNTIF($T$9:$T225,1),"")</f>
        <v/>
      </c>
      <c r="V225">
        <f>IF(AND(ISTEXT($A225),LEFT($A226,3)="Pan"),1,"")</f>
        <v/>
      </c>
      <c r="W225" s="21">
        <f>IFERROR(MATCH(217,$U$9:$U$2008,0),"")</f>
        <v/>
      </c>
      <c r="X225" s="22">
        <f>IF($W225="","",IF($R$5&lt;&gt;"",$R$5,$R$6))</f>
        <v/>
      </c>
      <c r="Y225" s="22">
        <f>IF($W225="","",INDEX($S$9:$S$2008,$W225))</f>
        <v/>
      </c>
      <c r="Z225" s="22">
        <f>IF($W225="","",IFERROR(TRIM(LEFT(SUBSTITUTE(INDEX($A$9:$A$2008,$W225),CHAR(10)," "),SEARCH("Folio",SUBSTITUTE(INDEX($A$9:$A$2008,$W225),CHAR(10)," "))-1)),TRIM(SUBSTITUTE(INDEX($A$9:$A$2008,$W225),CHAR(10)," "))))</f>
        <v/>
      </c>
      <c r="AA225" s="22">
        <f>IF($W225="","",IFERROR(TRIM(SUBSTITUTE(MID(SUBSTITUTE(INDEX($A$9:$A$2008,$W225),CHAR(10)," "),SEARCH("Folio",SUBSTITUTE(INDEX($A$9:$A$2008,$W225),CHAR(10)," "))+5,200),":","")),""))</f>
        <v/>
      </c>
      <c r="AB225" s="23">
        <f>IF($W225="","",IF(ISNUMBER(INDEX($D$9:$D$2008,$W225)),INDEX($D$9:$D$2008,$W225),IFERROR(DATE(2000+VALUE(RIGHT(INDEX($D$9:$D$2008,$W225),2)),VALUE(MID(INDEX($D$9:$D$2008,$W225),4,2)),VALUE(LEFT(INDEX($D$9:$D$2008,$W225),2))),"")))</f>
        <v/>
      </c>
      <c r="AC225" s="24">
        <f>IF($W225="","",IFERROR(IF(ISNUMBER(INDEX($E$9:$E$2008,$W225)),INDEX($E$9:$E$2008,$W225),VALUE(SUBSTITUTE(INDEX($E$9:$E$2008,$W225),",",""))),""))</f>
        <v/>
      </c>
      <c r="AD225" s="24">
        <f>IF($W225="","",IFERROR(IF(ISNUMBER(INDEX($F$9:$F$2008,$W225)),INDEX($F$9:$F$2008,$W225),VALUE(SUBSTITUTE(INDEX($F$9:$F$2008,$W225),",",""))),""))</f>
        <v/>
      </c>
      <c r="AE225" s="24">
        <f>IF($W225="","",IFERROR(IF(ISNUMBER(INDEX($G$9:$G$2008,$W225)),INDEX($G$9:$G$2008,$W225),VALUE(SUBSTITUTE(INDEX($G$9:$G$2008,$W225),",",""))),""))</f>
        <v/>
      </c>
      <c r="AF225" s="24">
        <f>IF($W225="","",IFERROR(IF(ISNUMBER(INDEX($H$9:$H$2008,$W225)),INDEX($H$9:$H$2008,$W225),VALUE(SUBSTITUTE(INDEX($H$9:$H$2008,$W225),",",""))),""))</f>
        <v/>
      </c>
      <c r="AG225" s="24">
        <f>IF($W225="","",IFERROR(IF(ISNUMBER(INDEX($I$9:$I$2008,$W225)),INDEX($I$9:$I$2008,$W225),VALUE(SUBSTITUTE(INDEX($I$9:$I$2008,$W225),",",""))),""))</f>
        <v/>
      </c>
      <c r="AH225" s="24">
        <f>IF($W225="","",IFERROR(IF(ISNUMBER(INDEX($J$9:$J$2008,$W225)),INDEX($J$9:$J$2008,$W225),VALUE(SUBSTITUTE(INDEX($J$9:$J$2008,$W225),",",""))),""))</f>
        <v/>
      </c>
      <c r="AI225" s="24">
        <f>IF($W225="","",IFERROR(IF(ISNUMBER(INDEX($K$9:$K$2008,$W225)),INDEX($K$9:$K$2008,$W225),VALUE(SUBSTITUTE(INDEX($K$9:$K$2008,$W225),",",""))),""))</f>
        <v/>
      </c>
      <c r="AJ225" s="25">
        <f>IF($W225="","",IFERROR(IF(ISNUMBER(INDEX($L$9:$L$2008,$W225)),INDEX($L$9:$L$2008,$W225),VALUE(SUBSTITUTE(INDEX($L$9:$L$2008,$W225),",",""))),""))</f>
        <v/>
      </c>
      <c r="AK225" s="25">
        <f>IF($W225="","",IFERROR(IF(ISNUMBER(INDEX($M$9:$M$2008,$W225)),INDEX($M$9:$M$2008,$W225),VALUE(SUBSTITUTE(INDEX($M$9:$M$2008,$W225),",",""))),""))</f>
        <v/>
      </c>
      <c r="AL225" s="26">
        <f>IF($W225="","",IFERROR(IF(ISNUMBER(INDEX($P$9:$P$2008,$W225)),INDEX($P$9:$P$2008,$W225),VALUE(SUBSTITUTE(INDEX($P$9:$P$2008,$W225),"%",""))/100),""))</f>
        <v/>
      </c>
    </row>
    <row r="226">
      <c r="S226">
        <f>IF(AND(ISTEXT($A226),ISNUMBER(SEARCH(" - ",$A226)),ISERROR(SEARCH("Folio",$A226)),$D226=""),TRIM($A226),$S225)</f>
        <v/>
      </c>
      <c r="T226">
        <f>IF(AND(ISNUMBER(SEARCH("Folio",$A226)),$D226&lt;&gt;""),1,"")</f>
        <v/>
      </c>
      <c r="U226">
        <f>IF($T226=1,COUNTIF($T$9:$T226,1),"")</f>
        <v/>
      </c>
      <c r="V226">
        <f>IF(AND(ISTEXT($A226),LEFT($A227,3)="Pan"),1,"")</f>
        <v/>
      </c>
      <c r="W226" s="21">
        <f>IFERROR(MATCH(218,$U$9:$U$2008,0),"")</f>
        <v/>
      </c>
      <c r="X226" s="27">
        <f>IF($W226="","",IF($R$5&lt;&gt;"",$R$5,$R$6))</f>
        <v/>
      </c>
      <c r="Y226" s="27">
        <f>IF($W226="","",INDEX($S$9:$S$2008,$W226))</f>
        <v/>
      </c>
      <c r="Z226" s="27">
        <f>IF($W226="","",IFERROR(TRIM(LEFT(SUBSTITUTE(INDEX($A$9:$A$2008,$W226),CHAR(10)," "),SEARCH("Folio",SUBSTITUTE(INDEX($A$9:$A$2008,$W226),CHAR(10)," "))-1)),TRIM(SUBSTITUTE(INDEX($A$9:$A$2008,$W226),CHAR(10)," "))))</f>
        <v/>
      </c>
      <c r="AA226" s="27">
        <f>IF($W226="","",IFERROR(TRIM(SUBSTITUTE(MID(SUBSTITUTE(INDEX($A$9:$A$2008,$W226),CHAR(10)," "),SEARCH("Folio",SUBSTITUTE(INDEX($A$9:$A$2008,$W226),CHAR(10)," "))+5,200),":","")),""))</f>
        <v/>
      </c>
      <c r="AB226" s="28">
        <f>IF($W226="","",IF(ISNUMBER(INDEX($D$9:$D$2008,$W226)),INDEX($D$9:$D$2008,$W226),IFERROR(DATE(2000+VALUE(RIGHT(INDEX($D$9:$D$2008,$W226),2)),VALUE(MID(INDEX($D$9:$D$2008,$W226),4,2)),VALUE(LEFT(INDEX($D$9:$D$2008,$W226),2))),"")))</f>
        <v/>
      </c>
      <c r="AC226" s="29">
        <f>IF($W226="","",IFERROR(IF(ISNUMBER(INDEX($E$9:$E$2008,$W226)),INDEX($E$9:$E$2008,$W226),VALUE(SUBSTITUTE(INDEX($E$9:$E$2008,$W226),",",""))),""))</f>
        <v/>
      </c>
      <c r="AD226" s="29">
        <f>IF($W226="","",IFERROR(IF(ISNUMBER(INDEX($F$9:$F$2008,$W226)),INDEX($F$9:$F$2008,$W226),VALUE(SUBSTITUTE(INDEX($F$9:$F$2008,$W226),",",""))),""))</f>
        <v/>
      </c>
      <c r="AE226" s="29">
        <f>IF($W226="","",IFERROR(IF(ISNUMBER(INDEX($G$9:$G$2008,$W226)),INDEX($G$9:$G$2008,$W226),VALUE(SUBSTITUTE(INDEX($G$9:$G$2008,$W226),",",""))),""))</f>
        <v/>
      </c>
      <c r="AF226" s="29">
        <f>IF($W226="","",IFERROR(IF(ISNUMBER(INDEX($H$9:$H$2008,$W226)),INDEX($H$9:$H$2008,$W226),VALUE(SUBSTITUTE(INDEX($H$9:$H$2008,$W226),",",""))),""))</f>
        <v/>
      </c>
      <c r="AG226" s="29">
        <f>IF($W226="","",IFERROR(IF(ISNUMBER(INDEX($I$9:$I$2008,$W226)),INDEX($I$9:$I$2008,$W226),VALUE(SUBSTITUTE(INDEX($I$9:$I$2008,$W226),",",""))),""))</f>
        <v/>
      </c>
      <c r="AH226" s="29">
        <f>IF($W226="","",IFERROR(IF(ISNUMBER(INDEX($J$9:$J$2008,$W226)),INDEX($J$9:$J$2008,$W226),VALUE(SUBSTITUTE(INDEX($J$9:$J$2008,$W226),",",""))),""))</f>
        <v/>
      </c>
      <c r="AI226" s="29">
        <f>IF($W226="","",IFERROR(IF(ISNUMBER(INDEX($K$9:$K$2008,$W226)),INDEX($K$9:$K$2008,$W226),VALUE(SUBSTITUTE(INDEX($K$9:$K$2008,$W226),",",""))),""))</f>
        <v/>
      </c>
      <c r="AJ226" s="30">
        <f>IF($W226="","",IFERROR(IF(ISNUMBER(INDEX($L$9:$L$2008,$W226)),INDEX($L$9:$L$2008,$W226),VALUE(SUBSTITUTE(INDEX($L$9:$L$2008,$W226),",",""))),""))</f>
        <v/>
      </c>
      <c r="AK226" s="30">
        <f>IF($W226="","",IFERROR(IF(ISNUMBER(INDEX($M$9:$M$2008,$W226)),INDEX($M$9:$M$2008,$W226),VALUE(SUBSTITUTE(INDEX($M$9:$M$2008,$W226),",",""))),""))</f>
        <v/>
      </c>
      <c r="AL226" s="31">
        <f>IF($W226="","",IFERROR(IF(ISNUMBER(INDEX($P$9:$P$2008,$W226)),INDEX($P$9:$P$2008,$W226),VALUE(SUBSTITUTE(INDEX($P$9:$P$2008,$W226),"%",""))/100),""))</f>
        <v/>
      </c>
    </row>
    <row r="227">
      <c r="S227">
        <f>IF(AND(ISTEXT($A227),ISNUMBER(SEARCH(" - ",$A227)),ISERROR(SEARCH("Folio",$A227)),$D227=""),TRIM($A227),$S226)</f>
        <v/>
      </c>
      <c r="T227">
        <f>IF(AND(ISNUMBER(SEARCH("Folio",$A227)),$D227&lt;&gt;""),1,"")</f>
        <v/>
      </c>
      <c r="U227">
        <f>IF($T227=1,COUNTIF($T$9:$T227,1),"")</f>
        <v/>
      </c>
      <c r="V227">
        <f>IF(AND(ISTEXT($A227),LEFT($A228,3)="Pan"),1,"")</f>
        <v/>
      </c>
      <c r="W227" s="21">
        <f>IFERROR(MATCH(219,$U$9:$U$2008,0),"")</f>
        <v/>
      </c>
      <c r="X227" s="22">
        <f>IF($W227="","",IF($R$5&lt;&gt;"",$R$5,$R$6))</f>
        <v/>
      </c>
      <c r="Y227" s="22">
        <f>IF($W227="","",INDEX($S$9:$S$2008,$W227))</f>
        <v/>
      </c>
      <c r="Z227" s="22">
        <f>IF($W227="","",IFERROR(TRIM(LEFT(SUBSTITUTE(INDEX($A$9:$A$2008,$W227),CHAR(10)," "),SEARCH("Folio",SUBSTITUTE(INDEX($A$9:$A$2008,$W227),CHAR(10)," "))-1)),TRIM(SUBSTITUTE(INDEX($A$9:$A$2008,$W227),CHAR(10)," "))))</f>
        <v/>
      </c>
      <c r="AA227" s="22">
        <f>IF($W227="","",IFERROR(TRIM(SUBSTITUTE(MID(SUBSTITUTE(INDEX($A$9:$A$2008,$W227),CHAR(10)," "),SEARCH("Folio",SUBSTITUTE(INDEX($A$9:$A$2008,$W227),CHAR(10)," "))+5,200),":","")),""))</f>
        <v/>
      </c>
      <c r="AB227" s="23">
        <f>IF($W227="","",IF(ISNUMBER(INDEX($D$9:$D$2008,$W227)),INDEX($D$9:$D$2008,$W227),IFERROR(DATE(2000+VALUE(RIGHT(INDEX($D$9:$D$2008,$W227),2)),VALUE(MID(INDEX($D$9:$D$2008,$W227),4,2)),VALUE(LEFT(INDEX($D$9:$D$2008,$W227),2))),"")))</f>
        <v/>
      </c>
      <c r="AC227" s="24">
        <f>IF($W227="","",IFERROR(IF(ISNUMBER(INDEX($E$9:$E$2008,$W227)),INDEX($E$9:$E$2008,$W227),VALUE(SUBSTITUTE(INDEX($E$9:$E$2008,$W227),",",""))),""))</f>
        <v/>
      </c>
      <c r="AD227" s="24">
        <f>IF($W227="","",IFERROR(IF(ISNUMBER(INDEX($F$9:$F$2008,$W227)),INDEX($F$9:$F$2008,$W227),VALUE(SUBSTITUTE(INDEX($F$9:$F$2008,$W227),",",""))),""))</f>
        <v/>
      </c>
      <c r="AE227" s="24">
        <f>IF($W227="","",IFERROR(IF(ISNUMBER(INDEX($G$9:$G$2008,$W227)),INDEX($G$9:$G$2008,$W227),VALUE(SUBSTITUTE(INDEX($G$9:$G$2008,$W227),",",""))),""))</f>
        <v/>
      </c>
      <c r="AF227" s="24">
        <f>IF($W227="","",IFERROR(IF(ISNUMBER(INDEX($H$9:$H$2008,$W227)),INDEX($H$9:$H$2008,$W227),VALUE(SUBSTITUTE(INDEX($H$9:$H$2008,$W227),",",""))),""))</f>
        <v/>
      </c>
      <c r="AG227" s="24">
        <f>IF($W227="","",IFERROR(IF(ISNUMBER(INDEX($I$9:$I$2008,$W227)),INDEX($I$9:$I$2008,$W227),VALUE(SUBSTITUTE(INDEX($I$9:$I$2008,$W227),",",""))),""))</f>
        <v/>
      </c>
      <c r="AH227" s="24">
        <f>IF($W227="","",IFERROR(IF(ISNUMBER(INDEX($J$9:$J$2008,$W227)),INDEX($J$9:$J$2008,$W227),VALUE(SUBSTITUTE(INDEX($J$9:$J$2008,$W227),",",""))),""))</f>
        <v/>
      </c>
      <c r="AI227" s="24">
        <f>IF($W227="","",IFERROR(IF(ISNUMBER(INDEX($K$9:$K$2008,$W227)),INDEX($K$9:$K$2008,$W227),VALUE(SUBSTITUTE(INDEX($K$9:$K$2008,$W227),",",""))),""))</f>
        <v/>
      </c>
      <c r="AJ227" s="25">
        <f>IF($W227="","",IFERROR(IF(ISNUMBER(INDEX($L$9:$L$2008,$W227)),INDEX($L$9:$L$2008,$W227),VALUE(SUBSTITUTE(INDEX($L$9:$L$2008,$W227),",",""))),""))</f>
        <v/>
      </c>
      <c r="AK227" s="25">
        <f>IF($W227="","",IFERROR(IF(ISNUMBER(INDEX($M$9:$M$2008,$W227)),INDEX($M$9:$M$2008,$W227),VALUE(SUBSTITUTE(INDEX($M$9:$M$2008,$W227),",",""))),""))</f>
        <v/>
      </c>
      <c r="AL227" s="26">
        <f>IF($W227="","",IFERROR(IF(ISNUMBER(INDEX($P$9:$P$2008,$W227)),INDEX($P$9:$P$2008,$W227),VALUE(SUBSTITUTE(INDEX($P$9:$P$2008,$W227),"%",""))/100),""))</f>
        <v/>
      </c>
    </row>
    <row r="228">
      <c r="S228">
        <f>IF(AND(ISTEXT($A228),ISNUMBER(SEARCH(" - ",$A228)),ISERROR(SEARCH("Folio",$A228)),$D228=""),TRIM($A228),$S227)</f>
        <v/>
      </c>
      <c r="T228">
        <f>IF(AND(ISNUMBER(SEARCH("Folio",$A228)),$D228&lt;&gt;""),1,"")</f>
        <v/>
      </c>
      <c r="U228">
        <f>IF($T228=1,COUNTIF($T$9:$T228,1),"")</f>
        <v/>
      </c>
      <c r="V228">
        <f>IF(AND(ISTEXT($A228),LEFT($A229,3)="Pan"),1,"")</f>
        <v/>
      </c>
      <c r="W228" s="21">
        <f>IFERROR(MATCH(220,$U$9:$U$2008,0),"")</f>
        <v/>
      </c>
      <c r="X228" s="27">
        <f>IF($W228="","",IF($R$5&lt;&gt;"",$R$5,$R$6))</f>
        <v/>
      </c>
      <c r="Y228" s="27">
        <f>IF($W228="","",INDEX($S$9:$S$2008,$W228))</f>
        <v/>
      </c>
      <c r="Z228" s="27">
        <f>IF($W228="","",IFERROR(TRIM(LEFT(SUBSTITUTE(INDEX($A$9:$A$2008,$W228),CHAR(10)," "),SEARCH("Folio",SUBSTITUTE(INDEX($A$9:$A$2008,$W228),CHAR(10)," "))-1)),TRIM(SUBSTITUTE(INDEX($A$9:$A$2008,$W228),CHAR(10)," "))))</f>
        <v/>
      </c>
      <c r="AA228" s="27">
        <f>IF($W228="","",IFERROR(TRIM(SUBSTITUTE(MID(SUBSTITUTE(INDEX($A$9:$A$2008,$W228),CHAR(10)," "),SEARCH("Folio",SUBSTITUTE(INDEX($A$9:$A$2008,$W228),CHAR(10)," "))+5,200),":","")),""))</f>
        <v/>
      </c>
      <c r="AB228" s="28">
        <f>IF($W228="","",IF(ISNUMBER(INDEX($D$9:$D$2008,$W228)),INDEX($D$9:$D$2008,$W228),IFERROR(DATE(2000+VALUE(RIGHT(INDEX($D$9:$D$2008,$W228),2)),VALUE(MID(INDEX($D$9:$D$2008,$W228),4,2)),VALUE(LEFT(INDEX($D$9:$D$2008,$W228),2))),"")))</f>
        <v/>
      </c>
      <c r="AC228" s="29">
        <f>IF($W228="","",IFERROR(IF(ISNUMBER(INDEX($E$9:$E$2008,$W228)),INDEX($E$9:$E$2008,$W228),VALUE(SUBSTITUTE(INDEX($E$9:$E$2008,$W228),",",""))),""))</f>
        <v/>
      </c>
      <c r="AD228" s="29">
        <f>IF($W228="","",IFERROR(IF(ISNUMBER(INDEX($F$9:$F$2008,$W228)),INDEX($F$9:$F$2008,$W228),VALUE(SUBSTITUTE(INDEX($F$9:$F$2008,$W228),",",""))),""))</f>
        <v/>
      </c>
      <c r="AE228" s="29">
        <f>IF($W228="","",IFERROR(IF(ISNUMBER(INDEX($G$9:$G$2008,$W228)),INDEX($G$9:$G$2008,$W228),VALUE(SUBSTITUTE(INDEX($G$9:$G$2008,$W228),",",""))),""))</f>
        <v/>
      </c>
      <c r="AF228" s="29">
        <f>IF($W228="","",IFERROR(IF(ISNUMBER(INDEX($H$9:$H$2008,$W228)),INDEX($H$9:$H$2008,$W228),VALUE(SUBSTITUTE(INDEX($H$9:$H$2008,$W228),",",""))),""))</f>
        <v/>
      </c>
      <c r="AG228" s="29">
        <f>IF($W228="","",IFERROR(IF(ISNUMBER(INDEX($I$9:$I$2008,$W228)),INDEX($I$9:$I$2008,$W228),VALUE(SUBSTITUTE(INDEX($I$9:$I$2008,$W228),",",""))),""))</f>
        <v/>
      </c>
      <c r="AH228" s="29">
        <f>IF($W228="","",IFERROR(IF(ISNUMBER(INDEX($J$9:$J$2008,$W228)),INDEX($J$9:$J$2008,$W228),VALUE(SUBSTITUTE(INDEX($J$9:$J$2008,$W228),",",""))),""))</f>
        <v/>
      </c>
      <c r="AI228" s="29">
        <f>IF($W228="","",IFERROR(IF(ISNUMBER(INDEX($K$9:$K$2008,$W228)),INDEX($K$9:$K$2008,$W228),VALUE(SUBSTITUTE(INDEX($K$9:$K$2008,$W228),",",""))),""))</f>
        <v/>
      </c>
      <c r="AJ228" s="30">
        <f>IF($W228="","",IFERROR(IF(ISNUMBER(INDEX($L$9:$L$2008,$W228)),INDEX($L$9:$L$2008,$W228),VALUE(SUBSTITUTE(INDEX($L$9:$L$2008,$W228),",",""))),""))</f>
        <v/>
      </c>
      <c r="AK228" s="30">
        <f>IF($W228="","",IFERROR(IF(ISNUMBER(INDEX($M$9:$M$2008,$W228)),INDEX($M$9:$M$2008,$W228),VALUE(SUBSTITUTE(INDEX($M$9:$M$2008,$W228),",",""))),""))</f>
        <v/>
      </c>
      <c r="AL228" s="31">
        <f>IF($W228="","",IFERROR(IF(ISNUMBER(INDEX($P$9:$P$2008,$W228)),INDEX($P$9:$P$2008,$W228),VALUE(SUBSTITUTE(INDEX($P$9:$P$2008,$W228),"%",""))/100),""))</f>
        <v/>
      </c>
    </row>
    <row r="229">
      <c r="S229">
        <f>IF(AND(ISTEXT($A229),ISNUMBER(SEARCH(" - ",$A229)),ISERROR(SEARCH("Folio",$A229)),$D229=""),TRIM($A229),$S228)</f>
        <v/>
      </c>
      <c r="T229">
        <f>IF(AND(ISNUMBER(SEARCH("Folio",$A229)),$D229&lt;&gt;""),1,"")</f>
        <v/>
      </c>
      <c r="U229">
        <f>IF($T229=1,COUNTIF($T$9:$T229,1),"")</f>
        <v/>
      </c>
      <c r="V229">
        <f>IF(AND(ISTEXT($A229),LEFT($A230,3)="Pan"),1,"")</f>
        <v/>
      </c>
      <c r="W229" s="21">
        <f>IFERROR(MATCH(221,$U$9:$U$2008,0),"")</f>
        <v/>
      </c>
      <c r="X229" s="22">
        <f>IF($W229="","",IF($R$5&lt;&gt;"",$R$5,$R$6))</f>
        <v/>
      </c>
      <c r="Y229" s="22">
        <f>IF($W229="","",INDEX($S$9:$S$2008,$W229))</f>
        <v/>
      </c>
      <c r="Z229" s="22">
        <f>IF($W229="","",IFERROR(TRIM(LEFT(SUBSTITUTE(INDEX($A$9:$A$2008,$W229),CHAR(10)," "),SEARCH("Folio",SUBSTITUTE(INDEX($A$9:$A$2008,$W229),CHAR(10)," "))-1)),TRIM(SUBSTITUTE(INDEX($A$9:$A$2008,$W229),CHAR(10)," "))))</f>
        <v/>
      </c>
      <c r="AA229" s="22">
        <f>IF($W229="","",IFERROR(TRIM(SUBSTITUTE(MID(SUBSTITUTE(INDEX($A$9:$A$2008,$W229),CHAR(10)," "),SEARCH("Folio",SUBSTITUTE(INDEX($A$9:$A$2008,$W229),CHAR(10)," "))+5,200),":","")),""))</f>
        <v/>
      </c>
      <c r="AB229" s="23">
        <f>IF($W229="","",IF(ISNUMBER(INDEX($D$9:$D$2008,$W229)),INDEX($D$9:$D$2008,$W229),IFERROR(DATE(2000+VALUE(RIGHT(INDEX($D$9:$D$2008,$W229),2)),VALUE(MID(INDEX($D$9:$D$2008,$W229),4,2)),VALUE(LEFT(INDEX($D$9:$D$2008,$W229),2))),"")))</f>
        <v/>
      </c>
      <c r="AC229" s="24">
        <f>IF($W229="","",IFERROR(IF(ISNUMBER(INDEX($E$9:$E$2008,$W229)),INDEX($E$9:$E$2008,$W229),VALUE(SUBSTITUTE(INDEX($E$9:$E$2008,$W229),",",""))),""))</f>
        <v/>
      </c>
      <c r="AD229" s="24">
        <f>IF($W229="","",IFERROR(IF(ISNUMBER(INDEX($F$9:$F$2008,$W229)),INDEX($F$9:$F$2008,$W229),VALUE(SUBSTITUTE(INDEX($F$9:$F$2008,$W229),",",""))),""))</f>
        <v/>
      </c>
      <c r="AE229" s="24">
        <f>IF($W229="","",IFERROR(IF(ISNUMBER(INDEX($G$9:$G$2008,$W229)),INDEX($G$9:$G$2008,$W229),VALUE(SUBSTITUTE(INDEX($G$9:$G$2008,$W229),",",""))),""))</f>
        <v/>
      </c>
      <c r="AF229" s="24">
        <f>IF($W229="","",IFERROR(IF(ISNUMBER(INDEX($H$9:$H$2008,$W229)),INDEX($H$9:$H$2008,$W229),VALUE(SUBSTITUTE(INDEX($H$9:$H$2008,$W229),",",""))),""))</f>
        <v/>
      </c>
      <c r="AG229" s="24">
        <f>IF($W229="","",IFERROR(IF(ISNUMBER(INDEX($I$9:$I$2008,$W229)),INDEX($I$9:$I$2008,$W229),VALUE(SUBSTITUTE(INDEX($I$9:$I$2008,$W229),",",""))),""))</f>
        <v/>
      </c>
      <c r="AH229" s="24">
        <f>IF($W229="","",IFERROR(IF(ISNUMBER(INDEX($J$9:$J$2008,$W229)),INDEX($J$9:$J$2008,$W229),VALUE(SUBSTITUTE(INDEX($J$9:$J$2008,$W229),",",""))),""))</f>
        <v/>
      </c>
      <c r="AI229" s="24">
        <f>IF($W229="","",IFERROR(IF(ISNUMBER(INDEX($K$9:$K$2008,$W229)),INDEX($K$9:$K$2008,$W229),VALUE(SUBSTITUTE(INDEX($K$9:$K$2008,$W229),",",""))),""))</f>
        <v/>
      </c>
      <c r="AJ229" s="25">
        <f>IF($W229="","",IFERROR(IF(ISNUMBER(INDEX($L$9:$L$2008,$W229)),INDEX($L$9:$L$2008,$W229),VALUE(SUBSTITUTE(INDEX($L$9:$L$2008,$W229),",",""))),""))</f>
        <v/>
      </c>
      <c r="AK229" s="25">
        <f>IF($W229="","",IFERROR(IF(ISNUMBER(INDEX($M$9:$M$2008,$W229)),INDEX($M$9:$M$2008,$W229),VALUE(SUBSTITUTE(INDEX($M$9:$M$2008,$W229),",",""))),""))</f>
        <v/>
      </c>
      <c r="AL229" s="26">
        <f>IF($W229="","",IFERROR(IF(ISNUMBER(INDEX($P$9:$P$2008,$W229)),INDEX($P$9:$P$2008,$W229),VALUE(SUBSTITUTE(INDEX($P$9:$P$2008,$W229),"%",""))/100),""))</f>
        <v/>
      </c>
    </row>
    <row r="230">
      <c r="S230">
        <f>IF(AND(ISTEXT($A230),ISNUMBER(SEARCH(" - ",$A230)),ISERROR(SEARCH("Folio",$A230)),$D230=""),TRIM($A230),$S229)</f>
        <v/>
      </c>
      <c r="T230">
        <f>IF(AND(ISNUMBER(SEARCH("Folio",$A230)),$D230&lt;&gt;""),1,"")</f>
        <v/>
      </c>
      <c r="U230">
        <f>IF($T230=1,COUNTIF($T$9:$T230,1),"")</f>
        <v/>
      </c>
      <c r="V230">
        <f>IF(AND(ISTEXT($A230),LEFT($A231,3)="Pan"),1,"")</f>
        <v/>
      </c>
      <c r="W230" s="21">
        <f>IFERROR(MATCH(222,$U$9:$U$2008,0),"")</f>
        <v/>
      </c>
      <c r="X230" s="27">
        <f>IF($W230="","",IF($R$5&lt;&gt;"",$R$5,$R$6))</f>
        <v/>
      </c>
      <c r="Y230" s="27">
        <f>IF($W230="","",INDEX($S$9:$S$2008,$W230))</f>
        <v/>
      </c>
      <c r="Z230" s="27">
        <f>IF($W230="","",IFERROR(TRIM(LEFT(SUBSTITUTE(INDEX($A$9:$A$2008,$W230),CHAR(10)," "),SEARCH("Folio",SUBSTITUTE(INDEX($A$9:$A$2008,$W230),CHAR(10)," "))-1)),TRIM(SUBSTITUTE(INDEX($A$9:$A$2008,$W230),CHAR(10)," "))))</f>
        <v/>
      </c>
      <c r="AA230" s="27">
        <f>IF($W230="","",IFERROR(TRIM(SUBSTITUTE(MID(SUBSTITUTE(INDEX($A$9:$A$2008,$W230),CHAR(10)," "),SEARCH("Folio",SUBSTITUTE(INDEX($A$9:$A$2008,$W230),CHAR(10)," "))+5,200),":","")),""))</f>
        <v/>
      </c>
      <c r="AB230" s="28">
        <f>IF($W230="","",IF(ISNUMBER(INDEX($D$9:$D$2008,$W230)),INDEX($D$9:$D$2008,$W230),IFERROR(DATE(2000+VALUE(RIGHT(INDEX($D$9:$D$2008,$W230),2)),VALUE(MID(INDEX($D$9:$D$2008,$W230),4,2)),VALUE(LEFT(INDEX($D$9:$D$2008,$W230),2))),"")))</f>
        <v/>
      </c>
      <c r="AC230" s="29">
        <f>IF($W230="","",IFERROR(IF(ISNUMBER(INDEX($E$9:$E$2008,$W230)),INDEX($E$9:$E$2008,$W230),VALUE(SUBSTITUTE(INDEX($E$9:$E$2008,$W230),",",""))),""))</f>
        <v/>
      </c>
      <c r="AD230" s="29">
        <f>IF($W230="","",IFERROR(IF(ISNUMBER(INDEX($F$9:$F$2008,$W230)),INDEX($F$9:$F$2008,$W230),VALUE(SUBSTITUTE(INDEX($F$9:$F$2008,$W230),",",""))),""))</f>
        <v/>
      </c>
      <c r="AE230" s="29">
        <f>IF($W230="","",IFERROR(IF(ISNUMBER(INDEX($G$9:$G$2008,$W230)),INDEX($G$9:$G$2008,$W230),VALUE(SUBSTITUTE(INDEX($G$9:$G$2008,$W230),",",""))),""))</f>
        <v/>
      </c>
      <c r="AF230" s="29">
        <f>IF($W230="","",IFERROR(IF(ISNUMBER(INDEX($H$9:$H$2008,$W230)),INDEX($H$9:$H$2008,$W230),VALUE(SUBSTITUTE(INDEX($H$9:$H$2008,$W230),",",""))),""))</f>
        <v/>
      </c>
      <c r="AG230" s="29">
        <f>IF($W230="","",IFERROR(IF(ISNUMBER(INDEX($I$9:$I$2008,$W230)),INDEX($I$9:$I$2008,$W230),VALUE(SUBSTITUTE(INDEX($I$9:$I$2008,$W230),",",""))),""))</f>
        <v/>
      </c>
      <c r="AH230" s="29">
        <f>IF($W230="","",IFERROR(IF(ISNUMBER(INDEX($J$9:$J$2008,$W230)),INDEX($J$9:$J$2008,$W230),VALUE(SUBSTITUTE(INDEX($J$9:$J$2008,$W230),",",""))),""))</f>
        <v/>
      </c>
      <c r="AI230" s="29">
        <f>IF($W230="","",IFERROR(IF(ISNUMBER(INDEX($K$9:$K$2008,$W230)),INDEX($K$9:$K$2008,$W230),VALUE(SUBSTITUTE(INDEX($K$9:$K$2008,$W230),",",""))),""))</f>
        <v/>
      </c>
      <c r="AJ230" s="30">
        <f>IF($W230="","",IFERROR(IF(ISNUMBER(INDEX($L$9:$L$2008,$W230)),INDEX($L$9:$L$2008,$W230),VALUE(SUBSTITUTE(INDEX($L$9:$L$2008,$W230),",",""))),""))</f>
        <v/>
      </c>
      <c r="AK230" s="30">
        <f>IF($W230="","",IFERROR(IF(ISNUMBER(INDEX($M$9:$M$2008,$W230)),INDEX($M$9:$M$2008,$W230),VALUE(SUBSTITUTE(INDEX($M$9:$M$2008,$W230),",",""))),""))</f>
        <v/>
      </c>
      <c r="AL230" s="31">
        <f>IF($W230="","",IFERROR(IF(ISNUMBER(INDEX($P$9:$P$2008,$W230)),INDEX($P$9:$P$2008,$W230),VALUE(SUBSTITUTE(INDEX($P$9:$P$2008,$W230),"%",""))/100),""))</f>
        <v/>
      </c>
    </row>
    <row r="231">
      <c r="S231">
        <f>IF(AND(ISTEXT($A231),ISNUMBER(SEARCH(" - ",$A231)),ISERROR(SEARCH("Folio",$A231)),$D231=""),TRIM($A231),$S230)</f>
        <v/>
      </c>
      <c r="T231">
        <f>IF(AND(ISNUMBER(SEARCH("Folio",$A231)),$D231&lt;&gt;""),1,"")</f>
        <v/>
      </c>
      <c r="U231">
        <f>IF($T231=1,COUNTIF($T$9:$T231,1),"")</f>
        <v/>
      </c>
      <c r="V231">
        <f>IF(AND(ISTEXT($A231),LEFT($A232,3)="Pan"),1,"")</f>
        <v/>
      </c>
      <c r="W231" s="21">
        <f>IFERROR(MATCH(223,$U$9:$U$2008,0),"")</f>
        <v/>
      </c>
      <c r="X231" s="22">
        <f>IF($W231="","",IF($R$5&lt;&gt;"",$R$5,$R$6))</f>
        <v/>
      </c>
      <c r="Y231" s="22">
        <f>IF($W231="","",INDEX($S$9:$S$2008,$W231))</f>
        <v/>
      </c>
      <c r="Z231" s="22">
        <f>IF($W231="","",IFERROR(TRIM(LEFT(SUBSTITUTE(INDEX($A$9:$A$2008,$W231),CHAR(10)," "),SEARCH("Folio",SUBSTITUTE(INDEX($A$9:$A$2008,$W231),CHAR(10)," "))-1)),TRIM(SUBSTITUTE(INDEX($A$9:$A$2008,$W231),CHAR(10)," "))))</f>
        <v/>
      </c>
      <c r="AA231" s="22">
        <f>IF($W231="","",IFERROR(TRIM(SUBSTITUTE(MID(SUBSTITUTE(INDEX($A$9:$A$2008,$W231),CHAR(10)," "),SEARCH("Folio",SUBSTITUTE(INDEX($A$9:$A$2008,$W231),CHAR(10)," "))+5,200),":","")),""))</f>
        <v/>
      </c>
      <c r="AB231" s="23">
        <f>IF($W231="","",IF(ISNUMBER(INDEX($D$9:$D$2008,$W231)),INDEX($D$9:$D$2008,$W231),IFERROR(DATE(2000+VALUE(RIGHT(INDEX($D$9:$D$2008,$W231),2)),VALUE(MID(INDEX($D$9:$D$2008,$W231),4,2)),VALUE(LEFT(INDEX($D$9:$D$2008,$W231),2))),"")))</f>
        <v/>
      </c>
      <c r="AC231" s="24">
        <f>IF($W231="","",IFERROR(IF(ISNUMBER(INDEX($E$9:$E$2008,$W231)),INDEX($E$9:$E$2008,$W231),VALUE(SUBSTITUTE(INDEX($E$9:$E$2008,$W231),",",""))),""))</f>
        <v/>
      </c>
      <c r="AD231" s="24">
        <f>IF($W231="","",IFERROR(IF(ISNUMBER(INDEX($F$9:$F$2008,$W231)),INDEX($F$9:$F$2008,$W231),VALUE(SUBSTITUTE(INDEX($F$9:$F$2008,$W231),",",""))),""))</f>
        <v/>
      </c>
      <c r="AE231" s="24">
        <f>IF($W231="","",IFERROR(IF(ISNUMBER(INDEX($G$9:$G$2008,$W231)),INDEX($G$9:$G$2008,$W231),VALUE(SUBSTITUTE(INDEX($G$9:$G$2008,$W231),",",""))),""))</f>
        <v/>
      </c>
      <c r="AF231" s="24">
        <f>IF($W231="","",IFERROR(IF(ISNUMBER(INDEX($H$9:$H$2008,$W231)),INDEX($H$9:$H$2008,$W231),VALUE(SUBSTITUTE(INDEX($H$9:$H$2008,$W231),",",""))),""))</f>
        <v/>
      </c>
      <c r="AG231" s="24">
        <f>IF($W231="","",IFERROR(IF(ISNUMBER(INDEX($I$9:$I$2008,$W231)),INDEX($I$9:$I$2008,$W231),VALUE(SUBSTITUTE(INDEX($I$9:$I$2008,$W231),",",""))),""))</f>
        <v/>
      </c>
      <c r="AH231" s="24">
        <f>IF($W231="","",IFERROR(IF(ISNUMBER(INDEX($J$9:$J$2008,$W231)),INDEX($J$9:$J$2008,$W231),VALUE(SUBSTITUTE(INDEX($J$9:$J$2008,$W231),",",""))),""))</f>
        <v/>
      </c>
      <c r="AI231" s="24">
        <f>IF($W231="","",IFERROR(IF(ISNUMBER(INDEX($K$9:$K$2008,$W231)),INDEX($K$9:$K$2008,$W231),VALUE(SUBSTITUTE(INDEX($K$9:$K$2008,$W231),",",""))),""))</f>
        <v/>
      </c>
      <c r="AJ231" s="25">
        <f>IF($W231="","",IFERROR(IF(ISNUMBER(INDEX($L$9:$L$2008,$W231)),INDEX($L$9:$L$2008,$W231),VALUE(SUBSTITUTE(INDEX($L$9:$L$2008,$W231),",",""))),""))</f>
        <v/>
      </c>
      <c r="AK231" s="25">
        <f>IF($W231="","",IFERROR(IF(ISNUMBER(INDEX($M$9:$M$2008,$W231)),INDEX($M$9:$M$2008,$W231),VALUE(SUBSTITUTE(INDEX($M$9:$M$2008,$W231),",",""))),""))</f>
        <v/>
      </c>
      <c r="AL231" s="26">
        <f>IF($W231="","",IFERROR(IF(ISNUMBER(INDEX($P$9:$P$2008,$W231)),INDEX($P$9:$P$2008,$W231),VALUE(SUBSTITUTE(INDEX($P$9:$P$2008,$W231),"%",""))/100),""))</f>
        <v/>
      </c>
    </row>
    <row r="232">
      <c r="S232">
        <f>IF(AND(ISTEXT($A232),ISNUMBER(SEARCH(" - ",$A232)),ISERROR(SEARCH("Folio",$A232)),$D232=""),TRIM($A232),$S231)</f>
        <v/>
      </c>
      <c r="T232">
        <f>IF(AND(ISNUMBER(SEARCH("Folio",$A232)),$D232&lt;&gt;""),1,"")</f>
        <v/>
      </c>
      <c r="U232">
        <f>IF($T232=1,COUNTIF($T$9:$T232,1),"")</f>
        <v/>
      </c>
      <c r="V232">
        <f>IF(AND(ISTEXT($A232),LEFT($A233,3)="Pan"),1,"")</f>
        <v/>
      </c>
      <c r="W232" s="21">
        <f>IFERROR(MATCH(224,$U$9:$U$2008,0),"")</f>
        <v/>
      </c>
      <c r="X232" s="27">
        <f>IF($W232="","",IF($R$5&lt;&gt;"",$R$5,$R$6))</f>
        <v/>
      </c>
      <c r="Y232" s="27">
        <f>IF($W232="","",INDEX($S$9:$S$2008,$W232))</f>
        <v/>
      </c>
      <c r="Z232" s="27">
        <f>IF($W232="","",IFERROR(TRIM(LEFT(SUBSTITUTE(INDEX($A$9:$A$2008,$W232),CHAR(10)," "),SEARCH("Folio",SUBSTITUTE(INDEX($A$9:$A$2008,$W232),CHAR(10)," "))-1)),TRIM(SUBSTITUTE(INDEX($A$9:$A$2008,$W232),CHAR(10)," "))))</f>
        <v/>
      </c>
      <c r="AA232" s="27">
        <f>IF($W232="","",IFERROR(TRIM(SUBSTITUTE(MID(SUBSTITUTE(INDEX($A$9:$A$2008,$W232),CHAR(10)," "),SEARCH("Folio",SUBSTITUTE(INDEX($A$9:$A$2008,$W232),CHAR(10)," "))+5,200),":","")),""))</f>
        <v/>
      </c>
      <c r="AB232" s="28">
        <f>IF($W232="","",IF(ISNUMBER(INDEX($D$9:$D$2008,$W232)),INDEX($D$9:$D$2008,$W232),IFERROR(DATE(2000+VALUE(RIGHT(INDEX($D$9:$D$2008,$W232),2)),VALUE(MID(INDEX($D$9:$D$2008,$W232),4,2)),VALUE(LEFT(INDEX($D$9:$D$2008,$W232),2))),"")))</f>
        <v/>
      </c>
      <c r="AC232" s="29">
        <f>IF($W232="","",IFERROR(IF(ISNUMBER(INDEX($E$9:$E$2008,$W232)),INDEX($E$9:$E$2008,$W232),VALUE(SUBSTITUTE(INDEX($E$9:$E$2008,$W232),",",""))),""))</f>
        <v/>
      </c>
      <c r="AD232" s="29">
        <f>IF($W232="","",IFERROR(IF(ISNUMBER(INDEX($F$9:$F$2008,$W232)),INDEX($F$9:$F$2008,$W232),VALUE(SUBSTITUTE(INDEX($F$9:$F$2008,$W232),",",""))),""))</f>
        <v/>
      </c>
      <c r="AE232" s="29">
        <f>IF($W232="","",IFERROR(IF(ISNUMBER(INDEX($G$9:$G$2008,$W232)),INDEX($G$9:$G$2008,$W232),VALUE(SUBSTITUTE(INDEX($G$9:$G$2008,$W232),",",""))),""))</f>
        <v/>
      </c>
      <c r="AF232" s="29">
        <f>IF($W232="","",IFERROR(IF(ISNUMBER(INDEX($H$9:$H$2008,$W232)),INDEX($H$9:$H$2008,$W232),VALUE(SUBSTITUTE(INDEX($H$9:$H$2008,$W232),",",""))),""))</f>
        <v/>
      </c>
      <c r="AG232" s="29">
        <f>IF($W232="","",IFERROR(IF(ISNUMBER(INDEX($I$9:$I$2008,$W232)),INDEX($I$9:$I$2008,$W232),VALUE(SUBSTITUTE(INDEX($I$9:$I$2008,$W232),",",""))),""))</f>
        <v/>
      </c>
      <c r="AH232" s="29">
        <f>IF($W232="","",IFERROR(IF(ISNUMBER(INDEX($J$9:$J$2008,$W232)),INDEX($J$9:$J$2008,$W232),VALUE(SUBSTITUTE(INDEX($J$9:$J$2008,$W232),",",""))),""))</f>
        <v/>
      </c>
      <c r="AI232" s="29">
        <f>IF($W232="","",IFERROR(IF(ISNUMBER(INDEX($K$9:$K$2008,$W232)),INDEX($K$9:$K$2008,$W232),VALUE(SUBSTITUTE(INDEX($K$9:$K$2008,$W232),",",""))),""))</f>
        <v/>
      </c>
      <c r="AJ232" s="30">
        <f>IF($W232="","",IFERROR(IF(ISNUMBER(INDEX($L$9:$L$2008,$W232)),INDEX($L$9:$L$2008,$W232),VALUE(SUBSTITUTE(INDEX($L$9:$L$2008,$W232),",",""))),""))</f>
        <v/>
      </c>
      <c r="AK232" s="30">
        <f>IF($W232="","",IFERROR(IF(ISNUMBER(INDEX($M$9:$M$2008,$W232)),INDEX($M$9:$M$2008,$W232),VALUE(SUBSTITUTE(INDEX($M$9:$M$2008,$W232),",",""))),""))</f>
        <v/>
      </c>
      <c r="AL232" s="31">
        <f>IF($W232="","",IFERROR(IF(ISNUMBER(INDEX($P$9:$P$2008,$W232)),INDEX($P$9:$P$2008,$W232),VALUE(SUBSTITUTE(INDEX($P$9:$P$2008,$W232),"%",""))/100),""))</f>
        <v/>
      </c>
    </row>
    <row r="233">
      <c r="S233">
        <f>IF(AND(ISTEXT($A233),ISNUMBER(SEARCH(" - ",$A233)),ISERROR(SEARCH("Folio",$A233)),$D233=""),TRIM($A233),$S232)</f>
        <v/>
      </c>
      <c r="T233">
        <f>IF(AND(ISNUMBER(SEARCH("Folio",$A233)),$D233&lt;&gt;""),1,"")</f>
        <v/>
      </c>
      <c r="U233">
        <f>IF($T233=1,COUNTIF($T$9:$T233,1),"")</f>
        <v/>
      </c>
      <c r="V233">
        <f>IF(AND(ISTEXT($A233),LEFT($A234,3)="Pan"),1,"")</f>
        <v/>
      </c>
      <c r="W233" s="21">
        <f>IFERROR(MATCH(225,$U$9:$U$2008,0),"")</f>
        <v/>
      </c>
      <c r="X233" s="22">
        <f>IF($W233="","",IF($R$5&lt;&gt;"",$R$5,$R$6))</f>
        <v/>
      </c>
      <c r="Y233" s="22">
        <f>IF($W233="","",INDEX($S$9:$S$2008,$W233))</f>
        <v/>
      </c>
      <c r="Z233" s="22">
        <f>IF($W233="","",IFERROR(TRIM(LEFT(SUBSTITUTE(INDEX($A$9:$A$2008,$W233),CHAR(10)," "),SEARCH("Folio",SUBSTITUTE(INDEX($A$9:$A$2008,$W233),CHAR(10)," "))-1)),TRIM(SUBSTITUTE(INDEX($A$9:$A$2008,$W233),CHAR(10)," "))))</f>
        <v/>
      </c>
      <c r="AA233" s="22">
        <f>IF($W233="","",IFERROR(TRIM(SUBSTITUTE(MID(SUBSTITUTE(INDEX($A$9:$A$2008,$W233),CHAR(10)," "),SEARCH("Folio",SUBSTITUTE(INDEX($A$9:$A$2008,$W233),CHAR(10)," "))+5,200),":","")),""))</f>
        <v/>
      </c>
      <c r="AB233" s="23">
        <f>IF($W233="","",IF(ISNUMBER(INDEX($D$9:$D$2008,$W233)),INDEX($D$9:$D$2008,$W233),IFERROR(DATE(2000+VALUE(RIGHT(INDEX($D$9:$D$2008,$W233),2)),VALUE(MID(INDEX($D$9:$D$2008,$W233),4,2)),VALUE(LEFT(INDEX($D$9:$D$2008,$W233),2))),"")))</f>
        <v/>
      </c>
      <c r="AC233" s="24">
        <f>IF($W233="","",IFERROR(IF(ISNUMBER(INDEX($E$9:$E$2008,$W233)),INDEX($E$9:$E$2008,$W233),VALUE(SUBSTITUTE(INDEX($E$9:$E$2008,$W233),",",""))),""))</f>
        <v/>
      </c>
      <c r="AD233" s="24">
        <f>IF($W233="","",IFERROR(IF(ISNUMBER(INDEX($F$9:$F$2008,$W233)),INDEX($F$9:$F$2008,$W233),VALUE(SUBSTITUTE(INDEX($F$9:$F$2008,$W233),",",""))),""))</f>
        <v/>
      </c>
      <c r="AE233" s="24">
        <f>IF($W233="","",IFERROR(IF(ISNUMBER(INDEX($G$9:$G$2008,$W233)),INDEX($G$9:$G$2008,$W233),VALUE(SUBSTITUTE(INDEX($G$9:$G$2008,$W233),",",""))),""))</f>
        <v/>
      </c>
      <c r="AF233" s="24">
        <f>IF($W233="","",IFERROR(IF(ISNUMBER(INDEX($H$9:$H$2008,$W233)),INDEX($H$9:$H$2008,$W233),VALUE(SUBSTITUTE(INDEX($H$9:$H$2008,$W233),",",""))),""))</f>
        <v/>
      </c>
      <c r="AG233" s="24">
        <f>IF($W233="","",IFERROR(IF(ISNUMBER(INDEX($I$9:$I$2008,$W233)),INDEX($I$9:$I$2008,$W233),VALUE(SUBSTITUTE(INDEX($I$9:$I$2008,$W233),",",""))),""))</f>
        <v/>
      </c>
      <c r="AH233" s="24">
        <f>IF($W233="","",IFERROR(IF(ISNUMBER(INDEX($J$9:$J$2008,$W233)),INDEX($J$9:$J$2008,$W233),VALUE(SUBSTITUTE(INDEX($J$9:$J$2008,$W233),",",""))),""))</f>
        <v/>
      </c>
      <c r="AI233" s="24">
        <f>IF($W233="","",IFERROR(IF(ISNUMBER(INDEX($K$9:$K$2008,$W233)),INDEX($K$9:$K$2008,$W233),VALUE(SUBSTITUTE(INDEX($K$9:$K$2008,$W233),",",""))),""))</f>
        <v/>
      </c>
      <c r="AJ233" s="25">
        <f>IF($W233="","",IFERROR(IF(ISNUMBER(INDEX($L$9:$L$2008,$W233)),INDEX($L$9:$L$2008,$W233),VALUE(SUBSTITUTE(INDEX($L$9:$L$2008,$W233),",",""))),""))</f>
        <v/>
      </c>
      <c r="AK233" s="25">
        <f>IF($W233="","",IFERROR(IF(ISNUMBER(INDEX($M$9:$M$2008,$W233)),INDEX($M$9:$M$2008,$W233),VALUE(SUBSTITUTE(INDEX($M$9:$M$2008,$W233),",",""))),""))</f>
        <v/>
      </c>
      <c r="AL233" s="26">
        <f>IF($W233="","",IFERROR(IF(ISNUMBER(INDEX($P$9:$P$2008,$W233)),INDEX($P$9:$P$2008,$W233),VALUE(SUBSTITUTE(INDEX($P$9:$P$2008,$W233),"%",""))/100),""))</f>
        <v/>
      </c>
    </row>
    <row r="234">
      <c r="S234">
        <f>IF(AND(ISTEXT($A234),ISNUMBER(SEARCH(" - ",$A234)),ISERROR(SEARCH("Folio",$A234)),$D234=""),TRIM($A234),$S233)</f>
        <v/>
      </c>
      <c r="T234">
        <f>IF(AND(ISNUMBER(SEARCH("Folio",$A234)),$D234&lt;&gt;""),1,"")</f>
        <v/>
      </c>
      <c r="U234">
        <f>IF($T234=1,COUNTIF($T$9:$T234,1),"")</f>
        <v/>
      </c>
      <c r="V234">
        <f>IF(AND(ISTEXT($A234),LEFT($A235,3)="Pan"),1,"")</f>
        <v/>
      </c>
      <c r="W234" s="21">
        <f>IFERROR(MATCH(226,$U$9:$U$2008,0),"")</f>
        <v/>
      </c>
      <c r="X234" s="27">
        <f>IF($W234="","",IF($R$5&lt;&gt;"",$R$5,$R$6))</f>
        <v/>
      </c>
      <c r="Y234" s="27">
        <f>IF($W234="","",INDEX($S$9:$S$2008,$W234))</f>
        <v/>
      </c>
      <c r="Z234" s="27">
        <f>IF($W234="","",IFERROR(TRIM(LEFT(SUBSTITUTE(INDEX($A$9:$A$2008,$W234),CHAR(10)," "),SEARCH("Folio",SUBSTITUTE(INDEX($A$9:$A$2008,$W234),CHAR(10)," "))-1)),TRIM(SUBSTITUTE(INDEX($A$9:$A$2008,$W234),CHAR(10)," "))))</f>
        <v/>
      </c>
      <c r="AA234" s="27">
        <f>IF($W234="","",IFERROR(TRIM(SUBSTITUTE(MID(SUBSTITUTE(INDEX($A$9:$A$2008,$W234),CHAR(10)," "),SEARCH("Folio",SUBSTITUTE(INDEX($A$9:$A$2008,$W234),CHAR(10)," "))+5,200),":","")),""))</f>
        <v/>
      </c>
      <c r="AB234" s="28">
        <f>IF($W234="","",IF(ISNUMBER(INDEX($D$9:$D$2008,$W234)),INDEX($D$9:$D$2008,$W234),IFERROR(DATE(2000+VALUE(RIGHT(INDEX($D$9:$D$2008,$W234),2)),VALUE(MID(INDEX($D$9:$D$2008,$W234),4,2)),VALUE(LEFT(INDEX($D$9:$D$2008,$W234),2))),"")))</f>
        <v/>
      </c>
      <c r="AC234" s="29">
        <f>IF($W234="","",IFERROR(IF(ISNUMBER(INDEX($E$9:$E$2008,$W234)),INDEX($E$9:$E$2008,$W234),VALUE(SUBSTITUTE(INDEX($E$9:$E$2008,$W234),",",""))),""))</f>
        <v/>
      </c>
      <c r="AD234" s="29">
        <f>IF($W234="","",IFERROR(IF(ISNUMBER(INDEX($F$9:$F$2008,$W234)),INDEX($F$9:$F$2008,$W234),VALUE(SUBSTITUTE(INDEX($F$9:$F$2008,$W234),",",""))),""))</f>
        <v/>
      </c>
      <c r="AE234" s="29">
        <f>IF($W234="","",IFERROR(IF(ISNUMBER(INDEX($G$9:$G$2008,$W234)),INDEX($G$9:$G$2008,$W234),VALUE(SUBSTITUTE(INDEX($G$9:$G$2008,$W234),",",""))),""))</f>
        <v/>
      </c>
      <c r="AF234" s="29">
        <f>IF($W234="","",IFERROR(IF(ISNUMBER(INDEX($H$9:$H$2008,$W234)),INDEX($H$9:$H$2008,$W234),VALUE(SUBSTITUTE(INDEX($H$9:$H$2008,$W234),",",""))),""))</f>
        <v/>
      </c>
      <c r="AG234" s="29">
        <f>IF($W234="","",IFERROR(IF(ISNUMBER(INDEX($I$9:$I$2008,$W234)),INDEX($I$9:$I$2008,$W234),VALUE(SUBSTITUTE(INDEX($I$9:$I$2008,$W234),",",""))),""))</f>
        <v/>
      </c>
      <c r="AH234" s="29">
        <f>IF($W234="","",IFERROR(IF(ISNUMBER(INDEX($J$9:$J$2008,$W234)),INDEX($J$9:$J$2008,$W234),VALUE(SUBSTITUTE(INDEX($J$9:$J$2008,$W234),",",""))),""))</f>
        <v/>
      </c>
      <c r="AI234" s="29">
        <f>IF($W234="","",IFERROR(IF(ISNUMBER(INDEX($K$9:$K$2008,$W234)),INDEX($K$9:$K$2008,$W234),VALUE(SUBSTITUTE(INDEX($K$9:$K$2008,$W234),",",""))),""))</f>
        <v/>
      </c>
      <c r="AJ234" s="30">
        <f>IF($W234="","",IFERROR(IF(ISNUMBER(INDEX($L$9:$L$2008,$W234)),INDEX($L$9:$L$2008,$W234),VALUE(SUBSTITUTE(INDEX($L$9:$L$2008,$W234),",",""))),""))</f>
        <v/>
      </c>
      <c r="AK234" s="30">
        <f>IF($W234="","",IFERROR(IF(ISNUMBER(INDEX($M$9:$M$2008,$W234)),INDEX($M$9:$M$2008,$W234),VALUE(SUBSTITUTE(INDEX($M$9:$M$2008,$W234),",",""))),""))</f>
        <v/>
      </c>
      <c r="AL234" s="31">
        <f>IF($W234="","",IFERROR(IF(ISNUMBER(INDEX($P$9:$P$2008,$W234)),INDEX($P$9:$P$2008,$W234),VALUE(SUBSTITUTE(INDEX($P$9:$P$2008,$W234),"%",""))/100),""))</f>
        <v/>
      </c>
    </row>
    <row r="235">
      <c r="S235">
        <f>IF(AND(ISTEXT($A235),ISNUMBER(SEARCH(" - ",$A235)),ISERROR(SEARCH("Folio",$A235)),$D235=""),TRIM($A235),$S234)</f>
        <v/>
      </c>
      <c r="T235">
        <f>IF(AND(ISNUMBER(SEARCH("Folio",$A235)),$D235&lt;&gt;""),1,"")</f>
        <v/>
      </c>
      <c r="U235">
        <f>IF($T235=1,COUNTIF($T$9:$T235,1),"")</f>
        <v/>
      </c>
      <c r="V235">
        <f>IF(AND(ISTEXT($A235),LEFT($A236,3)="Pan"),1,"")</f>
        <v/>
      </c>
      <c r="W235" s="21">
        <f>IFERROR(MATCH(227,$U$9:$U$2008,0),"")</f>
        <v/>
      </c>
      <c r="X235" s="22">
        <f>IF($W235="","",IF($R$5&lt;&gt;"",$R$5,$R$6))</f>
        <v/>
      </c>
      <c r="Y235" s="22">
        <f>IF($W235="","",INDEX($S$9:$S$2008,$W235))</f>
        <v/>
      </c>
      <c r="Z235" s="22">
        <f>IF($W235="","",IFERROR(TRIM(LEFT(SUBSTITUTE(INDEX($A$9:$A$2008,$W235),CHAR(10)," "),SEARCH("Folio",SUBSTITUTE(INDEX($A$9:$A$2008,$W235),CHAR(10)," "))-1)),TRIM(SUBSTITUTE(INDEX($A$9:$A$2008,$W235),CHAR(10)," "))))</f>
        <v/>
      </c>
      <c r="AA235" s="22">
        <f>IF($W235="","",IFERROR(TRIM(SUBSTITUTE(MID(SUBSTITUTE(INDEX($A$9:$A$2008,$W235),CHAR(10)," "),SEARCH("Folio",SUBSTITUTE(INDEX($A$9:$A$2008,$W235),CHAR(10)," "))+5,200),":","")),""))</f>
        <v/>
      </c>
      <c r="AB235" s="23">
        <f>IF($W235="","",IF(ISNUMBER(INDEX($D$9:$D$2008,$W235)),INDEX($D$9:$D$2008,$W235),IFERROR(DATE(2000+VALUE(RIGHT(INDEX($D$9:$D$2008,$W235),2)),VALUE(MID(INDEX($D$9:$D$2008,$W235),4,2)),VALUE(LEFT(INDEX($D$9:$D$2008,$W235),2))),"")))</f>
        <v/>
      </c>
      <c r="AC235" s="24">
        <f>IF($W235="","",IFERROR(IF(ISNUMBER(INDEX($E$9:$E$2008,$W235)),INDEX($E$9:$E$2008,$W235),VALUE(SUBSTITUTE(INDEX($E$9:$E$2008,$W235),",",""))),""))</f>
        <v/>
      </c>
      <c r="AD235" s="24">
        <f>IF($W235="","",IFERROR(IF(ISNUMBER(INDEX($F$9:$F$2008,$W235)),INDEX($F$9:$F$2008,$W235),VALUE(SUBSTITUTE(INDEX($F$9:$F$2008,$W235),",",""))),""))</f>
        <v/>
      </c>
      <c r="AE235" s="24">
        <f>IF($W235="","",IFERROR(IF(ISNUMBER(INDEX($G$9:$G$2008,$W235)),INDEX($G$9:$G$2008,$W235),VALUE(SUBSTITUTE(INDEX($G$9:$G$2008,$W235),",",""))),""))</f>
        <v/>
      </c>
      <c r="AF235" s="24">
        <f>IF($W235="","",IFERROR(IF(ISNUMBER(INDEX($H$9:$H$2008,$W235)),INDEX($H$9:$H$2008,$W235),VALUE(SUBSTITUTE(INDEX($H$9:$H$2008,$W235),",",""))),""))</f>
        <v/>
      </c>
      <c r="AG235" s="24">
        <f>IF($W235="","",IFERROR(IF(ISNUMBER(INDEX($I$9:$I$2008,$W235)),INDEX($I$9:$I$2008,$W235),VALUE(SUBSTITUTE(INDEX($I$9:$I$2008,$W235),",",""))),""))</f>
        <v/>
      </c>
      <c r="AH235" s="24">
        <f>IF($W235="","",IFERROR(IF(ISNUMBER(INDEX($J$9:$J$2008,$W235)),INDEX($J$9:$J$2008,$W235),VALUE(SUBSTITUTE(INDEX($J$9:$J$2008,$W235),",",""))),""))</f>
        <v/>
      </c>
      <c r="AI235" s="24">
        <f>IF($W235="","",IFERROR(IF(ISNUMBER(INDEX($K$9:$K$2008,$W235)),INDEX($K$9:$K$2008,$W235),VALUE(SUBSTITUTE(INDEX($K$9:$K$2008,$W235),",",""))),""))</f>
        <v/>
      </c>
      <c r="AJ235" s="25">
        <f>IF($W235="","",IFERROR(IF(ISNUMBER(INDEX($L$9:$L$2008,$W235)),INDEX($L$9:$L$2008,$W235),VALUE(SUBSTITUTE(INDEX($L$9:$L$2008,$W235),",",""))),""))</f>
        <v/>
      </c>
      <c r="AK235" s="25">
        <f>IF($W235="","",IFERROR(IF(ISNUMBER(INDEX($M$9:$M$2008,$W235)),INDEX($M$9:$M$2008,$W235),VALUE(SUBSTITUTE(INDEX($M$9:$M$2008,$W235),",",""))),""))</f>
        <v/>
      </c>
      <c r="AL235" s="26">
        <f>IF($W235="","",IFERROR(IF(ISNUMBER(INDEX($P$9:$P$2008,$W235)),INDEX($P$9:$P$2008,$W235),VALUE(SUBSTITUTE(INDEX($P$9:$P$2008,$W235),"%",""))/100),""))</f>
        <v/>
      </c>
    </row>
    <row r="236">
      <c r="S236">
        <f>IF(AND(ISTEXT($A236),ISNUMBER(SEARCH(" - ",$A236)),ISERROR(SEARCH("Folio",$A236)),$D236=""),TRIM($A236),$S235)</f>
        <v/>
      </c>
      <c r="T236">
        <f>IF(AND(ISNUMBER(SEARCH("Folio",$A236)),$D236&lt;&gt;""),1,"")</f>
        <v/>
      </c>
      <c r="U236">
        <f>IF($T236=1,COUNTIF($T$9:$T236,1),"")</f>
        <v/>
      </c>
      <c r="V236">
        <f>IF(AND(ISTEXT($A236),LEFT($A237,3)="Pan"),1,"")</f>
        <v/>
      </c>
      <c r="W236" s="21">
        <f>IFERROR(MATCH(228,$U$9:$U$2008,0),"")</f>
        <v/>
      </c>
      <c r="X236" s="27">
        <f>IF($W236="","",IF($R$5&lt;&gt;"",$R$5,$R$6))</f>
        <v/>
      </c>
      <c r="Y236" s="27">
        <f>IF($W236="","",INDEX($S$9:$S$2008,$W236))</f>
        <v/>
      </c>
      <c r="Z236" s="27">
        <f>IF($W236="","",IFERROR(TRIM(LEFT(SUBSTITUTE(INDEX($A$9:$A$2008,$W236),CHAR(10)," "),SEARCH("Folio",SUBSTITUTE(INDEX($A$9:$A$2008,$W236),CHAR(10)," "))-1)),TRIM(SUBSTITUTE(INDEX($A$9:$A$2008,$W236),CHAR(10)," "))))</f>
        <v/>
      </c>
      <c r="AA236" s="27">
        <f>IF($W236="","",IFERROR(TRIM(SUBSTITUTE(MID(SUBSTITUTE(INDEX($A$9:$A$2008,$W236),CHAR(10)," "),SEARCH("Folio",SUBSTITUTE(INDEX($A$9:$A$2008,$W236),CHAR(10)," "))+5,200),":","")),""))</f>
        <v/>
      </c>
      <c r="AB236" s="28">
        <f>IF($W236="","",IF(ISNUMBER(INDEX($D$9:$D$2008,$W236)),INDEX($D$9:$D$2008,$W236),IFERROR(DATE(2000+VALUE(RIGHT(INDEX($D$9:$D$2008,$W236),2)),VALUE(MID(INDEX($D$9:$D$2008,$W236),4,2)),VALUE(LEFT(INDEX($D$9:$D$2008,$W236),2))),"")))</f>
        <v/>
      </c>
      <c r="AC236" s="29">
        <f>IF($W236="","",IFERROR(IF(ISNUMBER(INDEX($E$9:$E$2008,$W236)),INDEX($E$9:$E$2008,$W236),VALUE(SUBSTITUTE(INDEX($E$9:$E$2008,$W236),",",""))),""))</f>
        <v/>
      </c>
      <c r="AD236" s="29">
        <f>IF($W236="","",IFERROR(IF(ISNUMBER(INDEX($F$9:$F$2008,$W236)),INDEX($F$9:$F$2008,$W236),VALUE(SUBSTITUTE(INDEX($F$9:$F$2008,$W236),",",""))),""))</f>
        <v/>
      </c>
      <c r="AE236" s="29">
        <f>IF($W236="","",IFERROR(IF(ISNUMBER(INDEX($G$9:$G$2008,$W236)),INDEX($G$9:$G$2008,$W236),VALUE(SUBSTITUTE(INDEX($G$9:$G$2008,$W236),",",""))),""))</f>
        <v/>
      </c>
      <c r="AF236" s="29">
        <f>IF($W236="","",IFERROR(IF(ISNUMBER(INDEX($H$9:$H$2008,$W236)),INDEX($H$9:$H$2008,$W236),VALUE(SUBSTITUTE(INDEX($H$9:$H$2008,$W236),",",""))),""))</f>
        <v/>
      </c>
      <c r="AG236" s="29">
        <f>IF($W236="","",IFERROR(IF(ISNUMBER(INDEX($I$9:$I$2008,$W236)),INDEX($I$9:$I$2008,$W236),VALUE(SUBSTITUTE(INDEX($I$9:$I$2008,$W236),",",""))),""))</f>
        <v/>
      </c>
      <c r="AH236" s="29">
        <f>IF($W236="","",IFERROR(IF(ISNUMBER(INDEX($J$9:$J$2008,$W236)),INDEX($J$9:$J$2008,$W236),VALUE(SUBSTITUTE(INDEX($J$9:$J$2008,$W236),",",""))),""))</f>
        <v/>
      </c>
      <c r="AI236" s="29">
        <f>IF($W236="","",IFERROR(IF(ISNUMBER(INDEX($K$9:$K$2008,$W236)),INDEX($K$9:$K$2008,$W236),VALUE(SUBSTITUTE(INDEX($K$9:$K$2008,$W236),",",""))),""))</f>
        <v/>
      </c>
      <c r="AJ236" s="30">
        <f>IF($W236="","",IFERROR(IF(ISNUMBER(INDEX($L$9:$L$2008,$W236)),INDEX($L$9:$L$2008,$W236),VALUE(SUBSTITUTE(INDEX($L$9:$L$2008,$W236),",",""))),""))</f>
        <v/>
      </c>
      <c r="AK236" s="30">
        <f>IF($W236="","",IFERROR(IF(ISNUMBER(INDEX($M$9:$M$2008,$W236)),INDEX($M$9:$M$2008,$W236),VALUE(SUBSTITUTE(INDEX($M$9:$M$2008,$W236),",",""))),""))</f>
        <v/>
      </c>
      <c r="AL236" s="31">
        <f>IF($W236="","",IFERROR(IF(ISNUMBER(INDEX($P$9:$P$2008,$W236)),INDEX($P$9:$P$2008,$W236),VALUE(SUBSTITUTE(INDEX($P$9:$P$2008,$W236),"%",""))/100),""))</f>
        <v/>
      </c>
    </row>
    <row r="237">
      <c r="S237">
        <f>IF(AND(ISTEXT($A237),ISNUMBER(SEARCH(" - ",$A237)),ISERROR(SEARCH("Folio",$A237)),$D237=""),TRIM($A237),$S236)</f>
        <v/>
      </c>
      <c r="T237">
        <f>IF(AND(ISNUMBER(SEARCH("Folio",$A237)),$D237&lt;&gt;""),1,"")</f>
        <v/>
      </c>
      <c r="U237">
        <f>IF($T237=1,COUNTIF($T$9:$T237,1),"")</f>
        <v/>
      </c>
      <c r="V237">
        <f>IF(AND(ISTEXT($A237),LEFT($A238,3)="Pan"),1,"")</f>
        <v/>
      </c>
      <c r="W237" s="21">
        <f>IFERROR(MATCH(229,$U$9:$U$2008,0),"")</f>
        <v/>
      </c>
      <c r="X237" s="22">
        <f>IF($W237="","",IF($R$5&lt;&gt;"",$R$5,$R$6))</f>
        <v/>
      </c>
      <c r="Y237" s="22">
        <f>IF($W237="","",INDEX($S$9:$S$2008,$W237))</f>
        <v/>
      </c>
      <c r="Z237" s="22">
        <f>IF($W237="","",IFERROR(TRIM(LEFT(SUBSTITUTE(INDEX($A$9:$A$2008,$W237),CHAR(10)," "),SEARCH("Folio",SUBSTITUTE(INDEX($A$9:$A$2008,$W237),CHAR(10)," "))-1)),TRIM(SUBSTITUTE(INDEX($A$9:$A$2008,$W237),CHAR(10)," "))))</f>
        <v/>
      </c>
      <c r="AA237" s="22">
        <f>IF($W237="","",IFERROR(TRIM(SUBSTITUTE(MID(SUBSTITUTE(INDEX($A$9:$A$2008,$W237),CHAR(10)," "),SEARCH("Folio",SUBSTITUTE(INDEX($A$9:$A$2008,$W237),CHAR(10)," "))+5,200),":","")),""))</f>
        <v/>
      </c>
      <c r="AB237" s="23">
        <f>IF($W237="","",IF(ISNUMBER(INDEX($D$9:$D$2008,$W237)),INDEX($D$9:$D$2008,$W237),IFERROR(DATE(2000+VALUE(RIGHT(INDEX($D$9:$D$2008,$W237),2)),VALUE(MID(INDEX($D$9:$D$2008,$W237),4,2)),VALUE(LEFT(INDEX($D$9:$D$2008,$W237),2))),"")))</f>
        <v/>
      </c>
      <c r="AC237" s="24">
        <f>IF($W237="","",IFERROR(IF(ISNUMBER(INDEX($E$9:$E$2008,$W237)),INDEX($E$9:$E$2008,$W237),VALUE(SUBSTITUTE(INDEX($E$9:$E$2008,$W237),",",""))),""))</f>
        <v/>
      </c>
      <c r="AD237" s="24">
        <f>IF($W237="","",IFERROR(IF(ISNUMBER(INDEX($F$9:$F$2008,$W237)),INDEX($F$9:$F$2008,$W237),VALUE(SUBSTITUTE(INDEX($F$9:$F$2008,$W237),",",""))),""))</f>
        <v/>
      </c>
      <c r="AE237" s="24">
        <f>IF($W237="","",IFERROR(IF(ISNUMBER(INDEX($G$9:$G$2008,$W237)),INDEX($G$9:$G$2008,$W237),VALUE(SUBSTITUTE(INDEX($G$9:$G$2008,$W237),",",""))),""))</f>
        <v/>
      </c>
      <c r="AF237" s="24">
        <f>IF($W237="","",IFERROR(IF(ISNUMBER(INDEX($H$9:$H$2008,$W237)),INDEX($H$9:$H$2008,$W237),VALUE(SUBSTITUTE(INDEX($H$9:$H$2008,$W237),",",""))),""))</f>
        <v/>
      </c>
      <c r="AG237" s="24">
        <f>IF($W237="","",IFERROR(IF(ISNUMBER(INDEX($I$9:$I$2008,$W237)),INDEX($I$9:$I$2008,$W237),VALUE(SUBSTITUTE(INDEX($I$9:$I$2008,$W237),",",""))),""))</f>
        <v/>
      </c>
      <c r="AH237" s="24">
        <f>IF($W237="","",IFERROR(IF(ISNUMBER(INDEX($J$9:$J$2008,$W237)),INDEX($J$9:$J$2008,$W237),VALUE(SUBSTITUTE(INDEX($J$9:$J$2008,$W237),",",""))),""))</f>
        <v/>
      </c>
      <c r="AI237" s="24">
        <f>IF($W237="","",IFERROR(IF(ISNUMBER(INDEX($K$9:$K$2008,$W237)),INDEX($K$9:$K$2008,$W237),VALUE(SUBSTITUTE(INDEX($K$9:$K$2008,$W237),",",""))),""))</f>
        <v/>
      </c>
      <c r="AJ237" s="25">
        <f>IF($W237="","",IFERROR(IF(ISNUMBER(INDEX($L$9:$L$2008,$W237)),INDEX($L$9:$L$2008,$W237),VALUE(SUBSTITUTE(INDEX($L$9:$L$2008,$W237),",",""))),""))</f>
        <v/>
      </c>
      <c r="AK237" s="25">
        <f>IF($W237="","",IFERROR(IF(ISNUMBER(INDEX($M$9:$M$2008,$W237)),INDEX($M$9:$M$2008,$W237),VALUE(SUBSTITUTE(INDEX($M$9:$M$2008,$W237),",",""))),""))</f>
        <v/>
      </c>
      <c r="AL237" s="26">
        <f>IF($W237="","",IFERROR(IF(ISNUMBER(INDEX($P$9:$P$2008,$W237)),INDEX($P$9:$P$2008,$W237),VALUE(SUBSTITUTE(INDEX($P$9:$P$2008,$W237),"%",""))/100),""))</f>
        <v/>
      </c>
    </row>
    <row r="238">
      <c r="S238">
        <f>IF(AND(ISTEXT($A238),ISNUMBER(SEARCH(" - ",$A238)),ISERROR(SEARCH("Folio",$A238)),$D238=""),TRIM($A238),$S237)</f>
        <v/>
      </c>
      <c r="T238">
        <f>IF(AND(ISNUMBER(SEARCH("Folio",$A238)),$D238&lt;&gt;""),1,"")</f>
        <v/>
      </c>
      <c r="U238">
        <f>IF($T238=1,COUNTIF($T$9:$T238,1),"")</f>
        <v/>
      </c>
      <c r="V238">
        <f>IF(AND(ISTEXT($A238),LEFT($A239,3)="Pan"),1,"")</f>
        <v/>
      </c>
      <c r="W238" s="21">
        <f>IFERROR(MATCH(230,$U$9:$U$2008,0),"")</f>
        <v/>
      </c>
      <c r="X238" s="27">
        <f>IF($W238="","",IF($R$5&lt;&gt;"",$R$5,$R$6))</f>
        <v/>
      </c>
      <c r="Y238" s="27">
        <f>IF($W238="","",INDEX($S$9:$S$2008,$W238))</f>
        <v/>
      </c>
      <c r="Z238" s="27">
        <f>IF($W238="","",IFERROR(TRIM(LEFT(SUBSTITUTE(INDEX($A$9:$A$2008,$W238),CHAR(10)," "),SEARCH("Folio",SUBSTITUTE(INDEX($A$9:$A$2008,$W238),CHAR(10)," "))-1)),TRIM(SUBSTITUTE(INDEX($A$9:$A$2008,$W238),CHAR(10)," "))))</f>
        <v/>
      </c>
      <c r="AA238" s="27">
        <f>IF($W238="","",IFERROR(TRIM(SUBSTITUTE(MID(SUBSTITUTE(INDEX($A$9:$A$2008,$W238),CHAR(10)," "),SEARCH("Folio",SUBSTITUTE(INDEX($A$9:$A$2008,$W238),CHAR(10)," "))+5,200),":","")),""))</f>
        <v/>
      </c>
      <c r="AB238" s="28">
        <f>IF($W238="","",IF(ISNUMBER(INDEX($D$9:$D$2008,$W238)),INDEX($D$9:$D$2008,$W238),IFERROR(DATE(2000+VALUE(RIGHT(INDEX($D$9:$D$2008,$W238),2)),VALUE(MID(INDEX($D$9:$D$2008,$W238),4,2)),VALUE(LEFT(INDEX($D$9:$D$2008,$W238),2))),"")))</f>
        <v/>
      </c>
      <c r="AC238" s="29">
        <f>IF($W238="","",IFERROR(IF(ISNUMBER(INDEX($E$9:$E$2008,$W238)),INDEX($E$9:$E$2008,$W238),VALUE(SUBSTITUTE(INDEX($E$9:$E$2008,$W238),",",""))),""))</f>
        <v/>
      </c>
      <c r="AD238" s="29">
        <f>IF($W238="","",IFERROR(IF(ISNUMBER(INDEX($F$9:$F$2008,$W238)),INDEX($F$9:$F$2008,$W238),VALUE(SUBSTITUTE(INDEX($F$9:$F$2008,$W238),",",""))),""))</f>
        <v/>
      </c>
      <c r="AE238" s="29">
        <f>IF($W238="","",IFERROR(IF(ISNUMBER(INDEX($G$9:$G$2008,$W238)),INDEX($G$9:$G$2008,$W238),VALUE(SUBSTITUTE(INDEX($G$9:$G$2008,$W238),",",""))),""))</f>
        <v/>
      </c>
      <c r="AF238" s="29">
        <f>IF($W238="","",IFERROR(IF(ISNUMBER(INDEX($H$9:$H$2008,$W238)),INDEX($H$9:$H$2008,$W238),VALUE(SUBSTITUTE(INDEX($H$9:$H$2008,$W238),",",""))),""))</f>
        <v/>
      </c>
      <c r="AG238" s="29">
        <f>IF($W238="","",IFERROR(IF(ISNUMBER(INDEX($I$9:$I$2008,$W238)),INDEX($I$9:$I$2008,$W238),VALUE(SUBSTITUTE(INDEX($I$9:$I$2008,$W238),",",""))),""))</f>
        <v/>
      </c>
      <c r="AH238" s="29">
        <f>IF($W238="","",IFERROR(IF(ISNUMBER(INDEX($J$9:$J$2008,$W238)),INDEX($J$9:$J$2008,$W238),VALUE(SUBSTITUTE(INDEX($J$9:$J$2008,$W238),",",""))),""))</f>
        <v/>
      </c>
      <c r="AI238" s="29">
        <f>IF($W238="","",IFERROR(IF(ISNUMBER(INDEX($K$9:$K$2008,$W238)),INDEX($K$9:$K$2008,$W238),VALUE(SUBSTITUTE(INDEX($K$9:$K$2008,$W238),",",""))),""))</f>
        <v/>
      </c>
      <c r="AJ238" s="30">
        <f>IF($W238="","",IFERROR(IF(ISNUMBER(INDEX($L$9:$L$2008,$W238)),INDEX($L$9:$L$2008,$W238),VALUE(SUBSTITUTE(INDEX($L$9:$L$2008,$W238),",",""))),""))</f>
        <v/>
      </c>
      <c r="AK238" s="30">
        <f>IF($W238="","",IFERROR(IF(ISNUMBER(INDEX($M$9:$M$2008,$W238)),INDEX($M$9:$M$2008,$W238),VALUE(SUBSTITUTE(INDEX($M$9:$M$2008,$W238),",",""))),""))</f>
        <v/>
      </c>
      <c r="AL238" s="31">
        <f>IF($W238="","",IFERROR(IF(ISNUMBER(INDEX($P$9:$P$2008,$W238)),INDEX($P$9:$P$2008,$W238),VALUE(SUBSTITUTE(INDEX($P$9:$P$2008,$W238),"%",""))/100),""))</f>
        <v/>
      </c>
    </row>
    <row r="239">
      <c r="S239">
        <f>IF(AND(ISTEXT($A239),ISNUMBER(SEARCH(" - ",$A239)),ISERROR(SEARCH("Folio",$A239)),$D239=""),TRIM($A239),$S238)</f>
        <v/>
      </c>
      <c r="T239">
        <f>IF(AND(ISNUMBER(SEARCH("Folio",$A239)),$D239&lt;&gt;""),1,"")</f>
        <v/>
      </c>
      <c r="U239">
        <f>IF($T239=1,COUNTIF($T$9:$T239,1),"")</f>
        <v/>
      </c>
      <c r="V239">
        <f>IF(AND(ISTEXT($A239),LEFT($A240,3)="Pan"),1,"")</f>
        <v/>
      </c>
      <c r="W239" s="21">
        <f>IFERROR(MATCH(231,$U$9:$U$2008,0),"")</f>
        <v/>
      </c>
      <c r="X239" s="22">
        <f>IF($W239="","",IF($R$5&lt;&gt;"",$R$5,$R$6))</f>
        <v/>
      </c>
      <c r="Y239" s="22">
        <f>IF($W239="","",INDEX($S$9:$S$2008,$W239))</f>
        <v/>
      </c>
      <c r="Z239" s="22">
        <f>IF($W239="","",IFERROR(TRIM(LEFT(SUBSTITUTE(INDEX($A$9:$A$2008,$W239),CHAR(10)," "),SEARCH("Folio",SUBSTITUTE(INDEX($A$9:$A$2008,$W239),CHAR(10)," "))-1)),TRIM(SUBSTITUTE(INDEX($A$9:$A$2008,$W239),CHAR(10)," "))))</f>
        <v/>
      </c>
      <c r="AA239" s="22">
        <f>IF($W239="","",IFERROR(TRIM(SUBSTITUTE(MID(SUBSTITUTE(INDEX($A$9:$A$2008,$W239),CHAR(10)," "),SEARCH("Folio",SUBSTITUTE(INDEX($A$9:$A$2008,$W239),CHAR(10)," "))+5,200),":","")),""))</f>
        <v/>
      </c>
      <c r="AB239" s="23">
        <f>IF($W239="","",IF(ISNUMBER(INDEX($D$9:$D$2008,$W239)),INDEX($D$9:$D$2008,$W239),IFERROR(DATE(2000+VALUE(RIGHT(INDEX($D$9:$D$2008,$W239),2)),VALUE(MID(INDEX($D$9:$D$2008,$W239),4,2)),VALUE(LEFT(INDEX($D$9:$D$2008,$W239),2))),"")))</f>
        <v/>
      </c>
      <c r="AC239" s="24">
        <f>IF($W239="","",IFERROR(IF(ISNUMBER(INDEX($E$9:$E$2008,$W239)),INDEX($E$9:$E$2008,$W239),VALUE(SUBSTITUTE(INDEX($E$9:$E$2008,$W239),",",""))),""))</f>
        <v/>
      </c>
      <c r="AD239" s="24">
        <f>IF($W239="","",IFERROR(IF(ISNUMBER(INDEX($F$9:$F$2008,$W239)),INDEX($F$9:$F$2008,$W239),VALUE(SUBSTITUTE(INDEX($F$9:$F$2008,$W239),",",""))),""))</f>
        <v/>
      </c>
      <c r="AE239" s="24">
        <f>IF($W239="","",IFERROR(IF(ISNUMBER(INDEX($G$9:$G$2008,$W239)),INDEX($G$9:$G$2008,$W239),VALUE(SUBSTITUTE(INDEX($G$9:$G$2008,$W239),",",""))),""))</f>
        <v/>
      </c>
      <c r="AF239" s="24">
        <f>IF($W239="","",IFERROR(IF(ISNUMBER(INDEX($H$9:$H$2008,$W239)),INDEX($H$9:$H$2008,$W239),VALUE(SUBSTITUTE(INDEX($H$9:$H$2008,$W239),",",""))),""))</f>
        <v/>
      </c>
      <c r="AG239" s="24">
        <f>IF($W239="","",IFERROR(IF(ISNUMBER(INDEX($I$9:$I$2008,$W239)),INDEX($I$9:$I$2008,$W239),VALUE(SUBSTITUTE(INDEX($I$9:$I$2008,$W239),",",""))),""))</f>
        <v/>
      </c>
      <c r="AH239" s="24">
        <f>IF($W239="","",IFERROR(IF(ISNUMBER(INDEX($J$9:$J$2008,$W239)),INDEX($J$9:$J$2008,$W239),VALUE(SUBSTITUTE(INDEX($J$9:$J$2008,$W239),",",""))),""))</f>
        <v/>
      </c>
      <c r="AI239" s="24">
        <f>IF($W239="","",IFERROR(IF(ISNUMBER(INDEX($K$9:$K$2008,$W239)),INDEX($K$9:$K$2008,$W239),VALUE(SUBSTITUTE(INDEX($K$9:$K$2008,$W239),",",""))),""))</f>
        <v/>
      </c>
      <c r="AJ239" s="25">
        <f>IF($W239="","",IFERROR(IF(ISNUMBER(INDEX($L$9:$L$2008,$W239)),INDEX($L$9:$L$2008,$W239),VALUE(SUBSTITUTE(INDEX($L$9:$L$2008,$W239),",",""))),""))</f>
        <v/>
      </c>
      <c r="AK239" s="25">
        <f>IF($W239="","",IFERROR(IF(ISNUMBER(INDEX($M$9:$M$2008,$W239)),INDEX($M$9:$M$2008,$W239),VALUE(SUBSTITUTE(INDEX($M$9:$M$2008,$W239),",",""))),""))</f>
        <v/>
      </c>
      <c r="AL239" s="26">
        <f>IF($W239="","",IFERROR(IF(ISNUMBER(INDEX($P$9:$P$2008,$W239)),INDEX($P$9:$P$2008,$W239),VALUE(SUBSTITUTE(INDEX($P$9:$P$2008,$W239),"%",""))/100),""))</f>
        <v/>
      </c>
    </row>
    <row r="240">
      <c r="S240">
        <f>IF(AND(ISTEXT($A240),ISNUMBER(SEARCH(" - ",$A240)),ISERROR(SEARCH("Folio",$A240)),$D240=""),TRIM($A240),$S239)</f>
        <v/>
      </c>
      <c r="T240">
        <f>IF(AND(ISNUMBER(SEARCH("Folio",$A240)),$D240&lt;&gt;""),1,"")</f>
        <v/>
      </c>
      <c r="U240">
        <f>IF($T240=1,COUNTIF($T$9:$T240,1),"")</f>
        <v/>
      </c>
      <c r="V240">
        <f>IF(AND(ISTEXT($A240),LEFT($A241,3)="Pan"),1,"")</f>
        <v/>
      </c>
      <c r="W240" s="21">
        <f>IFERROR(MATCH(232,$U$9:$U$2008,0),"")</f>
        <v/>
      </c>
      <c r="X240" s="27">
        <f>IF($W240="","",IF($R$5&lt;&gt;"",$R$5,$R$6))</f>
        <v/>
      </c>
      <c r="Y240" s="27">
        <f>IF($W240="","",INDEX($S$9:$S$2008,$W240))</f>
        <v/>
      </c>
      <c r="Z240" s="27">
        <f>IF($W240="","",IFERROR(TRIM(LEFT(SUBSTITUTE(INDEX($A$9:$A$2008,$W240),CHAR(10)," "),SEARCH("Folio",SUBSTITUTE(INDEX($A$9:$A$2008,$W240),CHAR(10)," "))-1)),TRIM(SUBSTITUTE(INDEX($A$9:$A$2008,$W240),CHAR(10)," "))))</f>
        <v/>
      </c>
      <c r="AA240" s="27">
        <f>IF($W240="","",IFERROR(TRIM(SUBSTITUTE(MID(SUBSTITUTE(INDEX($A$9:$A$2008,$W240),CHAR(10)," "),SEARCH("Folio",SUBSTITUTE(INDEX($A$9:$A$2008,$W240),CHAR(10)," "))+5,200),":","")),""))</f>
        <v/>
      </c>
      <c r="AB240" s="28">
        <f>IF($W240="","",IF(ISNUMBER(INDEX($D$9:$D$2008,$W240)),INDEX($D$9:$D$2008,$W240),IFERROR(DATE(2000+VALUE(RIGHT(INDEX($D$9:$D$2008,$W240),2)),VALUE(MID(INDEX($D$9:$D$2008,$W240),4,2)),VALUE(LEFT(INDEX($D$9:$D$2008,$W240),2))),"")))</f>
        <v/>
      </c>
      <c r="AC240" s="29">
        <f>IF($W240="","",IFERROR(IF(ISNUMBER(INDEX($E$9:$E$2008,$W240)),INDEX($E$9:$E$2008,$W240),VALUE(SUBSTITUTE(INDEX($E$9:$E$2008,$W240),",",""))),""))</f>
        <v/>
      </c>
      <c r="AD240" s="29">
        <f>IF($W240="","",IFERROR(IF(ISNUMBER(INDEX($F$9:$F$2008,$W240)),INDEX($F$9:$F$2008,$W240),VALUE(SUBSTITUTE(INDEX($F$9:$F$2008,$W240),",",""))),""))</f>
        <v/>
      </c>
      <c r="AE240" s="29">
        <f>IF($W240="","",IFERROR(IF(ISNUMBER(INDEX($G$9:$G$2008,$W240)),INDEX($G$9:$G$2008,$W240),VALUE(SUBSTITUTE(INDEX($G$9:$G$2008,$W240),",",""))),""))</f>
        <v/>
      </c>
      <c r="AF240" s="29">
        <f>IF($W240="","",IFERROR(IF(ISNUMBER(INDEX($H$9:$H$2008,$W240)),INDEX($H$9:$H$2008,$W240),VALUE(SUBSTITUTE(INDEX($H$9:$H$2008,$W240),",",""))),""))</f>
        <v/>
      </c>
      <c r="AG240" s="29">
        <f>IF($W240="","",IFERROR(IF(ISNUMBER(INDEX($I$9:$I$2008,$W240)),INDEX($I$9:$I$2008,$W240),VALUE(SUBSTITUTE(INDEX($I$9:$I$2008,$W240),",",""))),""))</f>
        <v/>
      </c>
      <c r="AH240" s="29">
        <f>IF($W240="","",IFERROR(IF(ISNUMBER(INDEX($J$9:$J$2008,$W240)),INDEX($J$9:$J$2008,$W240),VALUE(SUBSTITUTE(INDEX($J$9:$J$2008,$W240),",",""))),""))</f>
        <v/>
      </c>
      <c r="AI240" s="29">
        <f>IF($W240="","",IFERROR(IF(ISNUMBER(INDEX($K$9:$K$2008,$W240)),INDEX($K$9:$K$2008,$W240),VALUE(SUBSTITUTE(INDEX($K$9:$K$2008,$W240),",",""))),""))</f>
        <v/>
      </c>
      <c r="AJ240" s="30">
        <f>IF($W240="","",IFERROR(IF(ISNUMBER(INDEX($L$9:$L$2008,$W240)),INDEX($L$9:$L$2008,$W240),VALUE(SUBSTITUTE(INDEX($L$9:$L$2008,$W240),",",""))),""))</f>
        <v/>
      </c>
      <c r="AK240" s="30">
        <f>IF($W240="","",IFERROR(IF(ISNUMBER(INDEX($M$9:$M$2008,$W240)),INDEX($M$9:$M$2008,$W240),VALUE(SUBSTITUTE(INDEX($M$9:$M$2008,$W240),",",""))),""))</f>
        <v/>
      </c>
      <c r="AL240" s="31">
        <f>IF($W240="","",IFERROR(IF(ISNUMBER(INDEX($P$9:$P$2008,$W240)),INDEX($P$9:$P$2008,$W240),VALUE(SUBSTITUTE(INDEX($P$9:$P$2008,$W240),"%",""))/100),""))</f>
        <v/>
      </c>
    </row>
    <row r="241">
      <c r="S241">
        <f>IF(AND(ISTEXT($A241),ISNUMBER(SEARCH(" - ",$A241)),ISERROR(SEARCH("Folio",$A241)),$D241=""),TRIM($A241),$S240)</f>
        <v/>
      </c>
      <c r="T241">
        <f>IF(AND(ISNUMBER(SEARCH("Folio",$A241)),$D241&lt;&gt;""),1,"")</f>
        <v/>
      </c>
      <c r="U241">
        <f>IF($T241=1,COUNTIF($T$9:$T241,1),"")</f>
        <v/>
      </c>
      <c r="V241">
        <f>IF(AND(ISTEXT($A241),LEFT($A242,3)="Pan"),1,"")</f>
        <v/>
      </c>
      <c r="W241" s="21">
        <f>IFERROR(MATCH(233,$U$9:$U$2008,0),"")</f>
        <v/>
      </c>
      <c r="X241" s="22">
        <f>IF($W241="","",IF($R$5&lt;&gt;"",$R$5,$R$6))</f>
        <v/>
      </c>
      <c r="Y241" s="22">
        <f>IF($W241="","",INDEX($S$9:$S$2008,$W241))</f>
        <v/>
      </c>
      <c r="Z241" s="22">
        <f>IF($W241="","",IFERROR(TRIM(LEFT(SUBSTITUTE(INDEX($A$9:$A$2008,$W241),CHAR(10)," "),SEARCH("Folio",SUBSTITUTE(INDEX($A$9:$A$2008,$W241),CHAR(10)," "))-1)),TRIM(SUBSTITUTE(INDEX($A$9:$A$2008,$W241),CHAR(10)," "))))</f>
        <v/>
      </c>
      <c r="AA241" s="22">
        <f>IF($W241="","",IFERROR(TRIM(SUBSTITUTE(MID(SUBSTITUTE(INDEX($A$9:$A$2008,$W241),CHAR(10)," "),SEARCH("Folio",SUBSTITUTE(INDEX($A$9:$A$2008,$W241),CHAR(10)," "))+5,200),":","")),""))</f>
        <v/>
      </c>
      <c r="AB241" s="23">
        <f>IF($W241="","",IF(ISNUMBER(INDEX($D$9:$D$2008,$W241)),INDEX($D$9:$D$2008,$W241),IFERROR(DATE(2000+VALUE(RIGHT(INDEX($D$9:$D$2008,$W241),2)),VALUE(MID(INDEX($D$9:$D$2008,$W241),4,2)),VALUE(LEFT(INDEX($D$9:$D$2008,$W241),2))),"")))</f>
        <v/>
      </c>
      <c r="AC241" s="24">
        <f>IF($W241="","",IFERROR(IF(ISNUMBER(INDEX($E$9:$E$2008,$W241)),INDEX($E$9:$E$2008,$W241),VALUE(SUBSTITUTE(INDEX($E$9:$E$2008,$W241),",",""))),""))</f>
        <v/>
      </c>
      <c r="AD241" s="24">
        <f>IF($W241="","",IFERROR(IF(ISNUMBER(INDEX($F$9:$F$2008,$W241)),INDEX($F$9:$F$2008,$W241),VALUE(SUBSTITUTE(INDEX($F$9:$F$2008,$W241),",",""))),""))</f>
        <v/>
      </c>
      <c r="AE241" s="24">
        <f>IF($W241="","",IFERROR(IF(ISNUMBER(INDEX($G$9:$G$2008,$W241)),INDEX($G$9:$G$2008,$W241),VALUE(SUBSTITUTE(INDEX($G$9:$G$2008,$W241),",",""))),""))</f>
        <v/>
      </c>
      <c r="AF241" s="24">
        <f>IF($W241="","",IFERROR(IF(ISNUMBER(INDEX($H$9:$H$2008,$W241)),INDEX($H$9:$H$2008,$W241),VALUE(SUBSTITUTE(INDEX($H$9:$H$2008,$W241),",",""))),""))</f>
        <v/>
      </c>
      <c r="AG241" s="24">
        <f>IF($W241="","",IFERROR(IF(ISNUMBER(INDEX($I$9:$I$2008,$W241)),INDEX($I$9:$I$2008,$W241),VALUE(SUBSTITUTE(INDEX($I$9:$I$2008,$W241),",",""))),""))</f>
        <v/>
      </c>
      <c r="AH241" s="24">
        <f>IF($W241="","",IFERROR(IF(ISNUMBER(INDEX($J$9:$J$2008,$W241)),INDEX($J$9:$J$2008,$W241),VALUE(SUBSTITUTE(INDEX($J$9:$J$2008,$W241),",",""))),""))</f>
        <v/>
      </c>
      <c r="AI241" s="24">
        <f>IF($W241="","",IFERROR(IF(ISNUMBER(INDEX($K$9:$K$2008,$W241)),INDEX($K$9:$K$2008,$W241),VALUE(SUBSTITUTE(INDEX($K$9:$K$2008,$W241),",",""))),""))</f>
        <v/>
      </c>
      <c r="AJ241" s="25">
        <f>IF($W241="","",IFERROR(IF(ISNUMBER(INDEX($L$9:$L$2008,$W241)),INDEX($L$9:$L$2008,$W241),VALUE(SUBSTITUTE(INDEX($L$9:$L$2008,$W241),",",""))),""))</f>
        <v/>
      </c>
      <c r="AK241" s="25">
        <f>IF($W241="","",IFERROR(IF(ISNUMBER(INDEX($M$9:$M$2008,$W241)),INDEX($M$9:$M$2008,$W241),VALUE(SUBSTITUTE(INDEX($M$9:$M$2008,$W241),",",""))),""))</f>
        <v/>
      </c>
      <c r="AL241" s="26">
        <f>IF($W241="","",IFERROR(IF(ISNUMBER(INDEX($P$9:$P$2008,$W241)),INDEX($P$9:$P$2008,$W241),VALUE(SUBSTITUTE(INDEX($P$9:$P$2008,$W241),"%",""))/100),""))</f>
        <v/>
      </c>
    </row>
    <row r="242">
      <c r="S242">
        <f>IF(AND(ISTEXT($A242),ISNUMBER(SEARCH(" - ",$A242)),ISERROR(SEARCH("Folio",$A242)),$D242=""),TRIM($A242),$S241)</f>
        <v/>
      </c>
      <c r="T242">
        <f>IF(AND(ISNUMBER(SEARCH("Folio",$A242)),$D242&lt;&gt;""),1,"")</f>
        <v/>
      </c>
      <c r="U242">
        <f>IF($T242=1,COUNTIF($T$9:$T242,1),"")</f>
        <v/>
      </c>
      <c r="V242">
        <f>IF(AND(ISTEXT($A242),LEFT($A243,3)="Pan"),1,"")</f>
        <v/>
      </c>
      <c r="W242" s="21">
        <f>IFERROR(MATCH(234,$U$9:$U$2008,0),"")</f>
        <v/>
      </c>
      <c r="X242" s="27">
        <f>IF($W242="","",IF($R$5&lt;&gt;"",$R$5,$R$6))</f>
        <v/>
      </c>
      <c r="Y242" s="27">
        <f>IF($W242="","",INDEX($S$9:$S$2008,$W242))</f>
        <v/>
      </c>
      <c r="Z242" s="27">
        <f>IF($W242="","",IFERROR(TRIM(LEFT(SUBSTITUTE(INDEX($A$9:$A$2008,$W242),CHAR(10)," "),SEARCH("Folio",SUBSTITUTE(INDEX($A$9:$A$2008,$W242),CHAR(10)," "))-1)),TRIM(SUBSTITUTE(INDEX($A$9:$A$2008,$W242),CHAR(10)," "))))</f>
        <v/>
      </c>
      <c r="AA242" s="27">
        <f>IF($W242="","",IFERROR(TRIM(SUBSTITUTE(MID(SUBSTITUTE(INDEX($A$9:$A$2008,$W242),CHAR(10)," "),SEARCH("Folio",SUBSTITUTE(INDEX($A$9:$A$2008,$W242),CHAR(10)," "))+5,200),":","")),""))</f>
        <v/>
      </c>
      <c r="AB242" s="28">
        <f>IF($W242="","",IF(ISNUMBER(INDEX($D$9:$D$2008,$W242)),INDEX($D$9:$D$2008,$W242),IFERROR(DATE(2000+VALUE(RIGHT(INDEX($D$9:$D$2008,$W242),2)),VALUE(MID(INDEX($D$9:$D$2008,$W242),4,2)),VALUE(LEFT(INDEX($D$9:$D$2008,$W242),2))),"")))</f>
        <v/>
      </c>
      <c r="AC242" s="29">
        <f>IF($W242="","",IFERROR(IF(ISNUMBER(INDEX($E$9:$E$2008,$W242)),INDEX($E$9:$E$2008,$W242),VALUE(SUBSTITUTE(INDEX($E$9:$E$2008,$W242),",",""))),""))</f>
        <v/>
      </c>
      <c r="AD242" s="29">
        <f>IF($W242="","",IFERROR(IF(ISNUMBER(INDEX($F$9:$F$2008,$W242)),INDEX($F$9:$F$2008,$W242),VALUE(SUBSTITUTE(INDEX($F$9:$F$2008,$W242),",",""))),""))</f>
        <v/>
      </c>
      <c r="AE242" s="29">
        <f>IF($W242="","",IFERROR(IF(ISNUMBER(INDEX($G$9:$G$2008,$W242)),INDEX($G$9:$G$2008,$W242),VALUE(SUBSTITUTE(INDEX($G$9:$G$2008,$W242),",",""))),""))</f>
        <v/>
      </c>
      <c r="AF242" s="29">
        <f>IF($W242="","",IFERROR(IF(ISNUMBER(INDEX($H$9:$H$2008,$W242)),INDEX($H$9:$H$2008,$W242),VALUE(SUBSTITUTE(INDEX($H$9:$H$2008,$W242),",",""))),""))</f>
        <v/>
      </c>
      <c r="AG242" s="29">
        <f>IF($W242="","",IFERROR(IF(ISNUMBER(INDEX($I$9:$I$2008,$W242)),INDEX($I$9:$I$2008,$W242),VALUE(SUBSTITUTE(INDEX($I$9:$I$2008,$W242),",",""))),""))</f>
        <v/>
      </c>
      <c r="AH242" s="29">
        <f>IF($W242="","",IFERROR(IF(ISNUMBER(INDEX($J$9:$J$2008,$W242)),INDEX($J$9:$J$2008,$W242),VALUE(SUBSTITUTE(INDEX($J$9:$J$2008,$W242),",",""))),""))</f>
        <v/>
      </c>
      <c r="AI242" s="29">
        <f>IF($W242="","",IFERROR(IF(ISNUMBER(INDEX($K$9:$K$2008,$W242)),INDEX($K$9:$K$2008,$W242),VALUE(SUBSTITUTE(INDEX($K$9:$K$2008,$W242),",",""))),""))</f>
        <v/>
      </c>
      <c r="AJ242" s="30">
        <f>IF($W242="","",IFERROR(IF(ISNUMBER(INDEX($L$9:$L$2008,$W242)),INDEX($L$9:$L$2008,$W242),VALUE(SUBSTITUTE(INDEX($L$9:$L$2008,$W242),",",""))),""))</f>
        <v/>
      </c>
      <c r="AK242" s="30">
        <f>IF($W242="","",IFERROR(IF(ISNUMBER(INDEX($M$9:$M$2008,$W242)),INDEX($M$9:$M$2008,$W242),VALUE(SUBSTITUTE(INDEX($M$9:$M$2008,$W242),",",""))),""))</f>
        <v/>
      </c>
      <c r="AL242" s="31">
        <f>IF($W242="","",IFERROR(IF(ISNUMBER(INDEX($P$9:$P$2008,$W242)),INDEX($P$9:$P$2008,$W242),VALUE(SUBSTITUTE(INDEX($P$9:$P$2008,$W242),"%",""))/100),""))</f>
        <v/>
      </c>
    </row>
    <row r="243">
      <c r="S243">
        <f>IF(AND(ISTEXT($A243),ISNUMBER(SEARCH(" - ",$A243)),ISERROR(SEARCH("Folio",$A243)),$D243=""),TRIM($A243),$S242)</f>
        <v/>
      </c>
      <c r="T243">
        <f>IF(AND(ISNUMBER(SEARCH("Folio",$A243)),$D243&lt;&gt;""),1,"")</f>
        <v/>
      </c>
      <c r="U243">
        <f>IF($T243=1,COUNTIF($T$9:$T243,1),"")</f>
        <v/>
      </c>
      <c r="V243">
        <f>IF(AND(ISTEXT($A243),LEFT($A244,3)="Pan"),1,"")</f>
        <v/>
      </c>
      <c r="W243" s="21">
        <f>IFERROR(MATCH(235,$U$9:$U$2008,0),"")</f>
        <v/>
      </c>
      <c r="X243" s="22">
        <f>IF($W243="","",IF($R$5&lt;&gt;"",$R$5,$R$6))</f>
        <v/>
      </c>
      <c r="Y243" s="22">
        <f>IF($W243="","",INDEX($S$9:$S$2008,$W243))</f>
        <v/>
      </c>
      <c r="Z243" s="22">
        <f>IF($W243="","",IFERROR(TRIM(LEFT(SUBSTITUTE(INDEX($A$9:$A$2008,$W243),CHAR(10)," "),SEARCH("Folio",SUBSTITUTE(INDEX($A$9:$A$2008,$W243),CHAR(10)," "))-1)),TRIM(SUBSTITUTE(INDEX($A$9:$A$2008,$W243),CHAR(10)," "))))</f>
        <v/>
      </c>
      <c r="AA243" s="22">
        <f>IF($W243="","",IFERROR(TRIM(SUBSTITUTE(MID(SUBSTITUTE(INDEX($A$9:$A$2008,$W243),CHAR(10)," "),SEARCH("Folio",SUBSTITUTE(INDEX($A$9:$A$2008,$W243),CHAR(10)," "))+5,200),":","")),""))</f>
        <v/>
      </c>
      <c r="AB243" s="23">
        <f>IF($W243="","",IF(ISNUMBER(INDEX($D$9:$D$2008,$W243)),INDEX($D$9:$D$2008,$W243),IFERROR(DATE(2000+VALUE(RIGHT(INDEX($D$9:$D$2008,$W243),2)),VALUE(MID(INDEX($D$9:$D$2008,$W243),4,2)),VALUE(LEFT(INDEX($D$9:$D$2008,$W243),2))),"")))</f>
        <v/>
      </c>
      <c r="AC243" s="24">
        <f>IF($W243="","",IFERROR(IF(ISNUMBER(INDEX($E$9:$E$2008,$W243)),INDEX($E$9:$E$2008,$W243),VALUE(SUBSTITUTE(INDEX($E$9:$E$2008,$W243),",",""))),""))</f>
        <v/>
      </c>
      <c r="AD243" s="24">
        <f>IF($W243="","",IFERROR(IF(ISNUMBER(INDEX($F$9:$F$2008,$W243)),INDEX($F$9:$F$2008,$W243),VALUE(SUBSTITUTE(INDEX($F$9:$F$2008,$W243),",",""))),""))</f>
        <v/>
      </c>
      <c r="AE243" s="24">
        <f>IF($W243="","",IFERROR(IF(ISNUMBER(INDEX($G$9:$G$2008,$W243)),INDEX($G$9:$G$2008,$W243),VALUE(SUBSTITUTE(INDEX($G$9:$G$2008,$W243),",",""))),""))</f>
        <v/>
      </c>
      <c r="AF243" s="24">
        <f>IF($W243="","",IFERROR(IF(ISNUMBER(INDEX($H$9:$H$2008,$W243)),INDEX($H$9:$H$2008,$W243),VALUE(SUBSTITUTE(INDEX($H$9:$H$2008,$W243),",",""))),""))</f>
        <v/>
      </c>
      <c r="AG243" s="24">
        <f>IF($W243="","",IFERROR(IF(ISNUMBER(INDEX($I$9:$I$2008,$W243)),INDEX($I$9:$I$2008,$W243),VALUE(SUBSTITUTE(INDEX($I$9:$I$2008,$W243),",",""))),""))</f>
        <v/>
      </c>
      <c r="AH243" s="24">
        <f>IF($W243="","",IFERROR(IF(ISNUMBER(INDEX($J$9:$J$2008,$W243)),INDEX($J$9:$J$2008,$W243),VALUE(SUBSTITUTE(INDEX($J$9:$J$2008,$W243),",",""))),""))</f>
        <v/>
      </c>
      <c r="AI243" s="24">
        <f>IF($W243="","",IFERROR(IF(ISNUMBER(INDEX($K$9:$K$2008,$W243)),INDEX($K$9:$K$2008,$W243),VALUE(SUBSTITUTE(INDEX($K$9:$K$2008,$W243),",",""))),""))</f>
        <v/>
      </c>
      <c r="AJ243" s="25">
        <f>IF($W243="","",IFERROR(IF(ISNUMBER(INDEX($L$9:$L$2008,$W243)),INDEX($L$9:$L$2008,$W243),VALUE(SUBSTITUTE(INDEX($L$9:$L$2008,$W243),",",""))),""))</f>
        <v/>
      </c>
      <c r="AK243" s="25">
        <f>IF($W243="","",IFERROR(IF(ISNUMBER(INDEX($M$9:$M$2008,$W243)),INDEX($M$9:$M$2008,$W243),VALUE(SUBSTITUTE(INDEX($M$9:$M$2008,$W243),",",""))),""))</f>
        <v/>
      </c>
      <c r="AL243" s="26">
        <f>IF($W243="","",IFERROR(IF(ISNUMBER(INDEX($P$9:$P$2008,$W243)),INDEX($P$9:$P$2008,$W243),VALUE(SUBSTITUTE(INDEX($P$9:$P$2008,$W243),"%",""))/100),""))</f>
        <v/>
      </c>
    </row>
    <row r="244">
      <c r="S244">
        <f>IF(AND(ISTEXT($A244),ISNUMBER(SEARCH(" - ",$A244)),ISERROR(SEARCH("Folio",$A244)),$D244=""),TRIM($A244),$S243)</f>
        <v/>
      </c>
      <c r="T244">
        <f>IF(AND(ISNUMBER(SEARCH("Folio",$A244)),$D244&lt;&gt;""),1,"")</f>
        <v/>
      </c>
      <c r="U244">
        <f>IF($T244=1,COUNTIF($T$9:$T244,1),"")</f>
        <v/>
      </c>
      <c r="V244">
        <f>IF(AND(ISTEXT($A244),LEFT($A245,3)="Pan"),1,"")</f>
        <v/>
      </c>
      <c r="W244" s="21">
        <f>IFERROR(MATCH(236,$U$9:$U$2008,0),"")</f>
        <v/>
      </c>
      <c r="X244" s="27">
        <f>IF($W244="","",IF($R$5&lt;&gt;"",$R$5,$R$6))</f>
        <v/>
      </c>
      <c r="Y244" s="27">
        <f>IF($W244="","",INDEX($S$9:$S$2008,$W244))</f>
        <v/>
      </c>
      <c r="Z244" s="27">
        <f>IF($W244="","",IFERROR(TRIM(LEFT(SUBSTITUTE(INDEX($A$9:$A$2008,$W244),CHAR(10)," "),SEARCH("Folio",SUBSTITUTE(INDEX($A$9:$A$2008,$W244),CHAR(10)," "))-1)),TRIM(SUBSTITUTE(INDEX($A$9:$A$2008,$W244),CHAR(10)," "))))</f>
        <v/>
      </c>
      <c r="AA244" s="27">
        <f>IF($W244="","",IFERROR(TRIM(SUBSTITUTE(MID(SUBSTITUTE(INDEX($A$9:$A$2008,$W244),CHAR(10)," "),SEARCH("Folio",SUBSTITUTE(INDEX($A$9:$A$2008,$W244),CHAR(10)," "))+5,200),":","")),""))</f>
        <v/>
      </c>
      <c r="AB244" s="28">
        <f>IF($W244="","",IF(ISNUMBER(INDEX($D$9:$D$2008,$W244)),INDEX($D$9:$D$2008,$W244),IFERROR(DATE(2000+VALUE(RIGHT(INDEX($D$9:$D$2008,$W244),2)),VALUE(MID(INDEX($D$9:$D$2008,$W244),4,2)),VALUE(LEFT(INDEX($D$9:$D$2008,$W244),2))),"")))</f>
        <v/>
      </c>
      <c r="AC244" s="29">
        <f>IF($W244="","",IFERROR(IF(ISNUMBER(INDEX($E$9:$E$2008,$W244)),INDEX($E$9:$E$2008,$W244),VALUE(SUBSTITUTE(INDEX($E$9:$E$2008,$W244),",",""))),""))</f>
        <v/>
      </c>
      <c r="AD244" s="29">
        <f>IF($W244="","",IFERROR(IF(ISNUMBER(INDEX($F$9:$F$2008,$W244)),INDEX($F$9:$F$2008,$W244),VALUE(SUBSTITUTE(INDEX($F$9:$F$2008,$W244),",",""))),""))</f>
        <v/>
      </c>
      <c r="AE244" s="29">
        <f>IF($W244="","",IFERROR(IF(ISNUMBER(INDEX($G$9:$G$2008,$W244)),INDEX($G$9:$G$2008,$W244),VALUE(SUBSTITUTE(INDEX($G$9:$G$2008,$W244),",",""))),""))</f>
        <v/>
      </c>
      <c r="AF244" s="29">
        <f>IF($W244="","",IFERROR(IF(ISNUMBER(INDEX($H$9:$H$2008,$W244)),INDEX($H$9:$H$2008,$W244),VALUE(SUBSTITUTE(INDEX($H$9:$H$2008,$W244),",",""))),""))</f>
        <v/>
      </c>
      <c r="AG244" s="29">
        <f>IF($W244="","",IFERROR(IF(ISNUMBER(INDEX($I$9:$I$2008,$W244)),INDEX($I$9:$I$2008,$W244),VALUE(SUBSTITUTE(INDEX($I$9:$I$2008,$W244),",",""))),""))</f>
        <v/>
      </c>
      <c r="AH244" s="29">
        <f>IF($W244="","",IFERROR(IF(ISNUMBER(INDEX($J$9:$J$2008,$W244)),INDEX($J$9:$J$2008,$W244),VALUE(SUBSTITUTE(INDEX($J$9:$J$2008,$W244),",",""))),""))</f>
        <v/>
      </c>
      <c r="AI244" s="29">
        <f>IF($W244="","",IFERROR(IF(ISNUMBER(INDEX($K$9:$K$2008,$W244)),INDEX($K$9:$K$2008,$W244),VALUE(SUBSTITUTE(INDEX($K$9:$K$2008,$W244),",",""))),""))</f>
        <v/>
      </c>
      <c r="AJ244" s="30">
        <f>IF($W244="","",IFERROR(IF(ISNUMBER(INDEX($L$9:$L$2008,$W244)),INDEX($L$9:$L$2008,$W244),VALUE(SUBSTITUTE(INDEX($L$9:$L$2008,$W244),",",""))),""))</f>
        <v/>
      </c>
      <c r="AK244" s="30">
        <f>IF($W244="","",IFERROR(IF(ISNUMBER(INDEX($M$9:$M$2008,$W244)),INDEX($M$9:$M$2008,$W244),VALUE(SUBSTITUTE(INDEX($M$9:$M$2008,$W244),",",""))),""))</f>
        <v/>
      </c>
      <c r="AL244" s="31">
        <f>IF($W244="","",IFERROR(IF(ISNUMBER(INDEX($P$9:$P$2008,$W244)),INDEX($P$9:$P$2008,$W244),VALUE(SUBSTITUTE(INDEX($P$9:$P$2008,$W244),"%",""))/100),""))</f>
        <v/>
      </c>
    </row>
    <row r="245">
      <c r="S245">
        <f>IF(AND(ISTEXT($A245),ISNUMBER(SEARCH(" - ",$A245)),ISERROR(SEARCH("Folio",$A245)),$D245=""),TRIM($A245),$S244)</f>
        <v/>
      </c>
      <c r="T245">
        <f>IF(AND(ISNUMBER(SEARCH("Folio",$A245)),$D245&lt;&gt;""),1,"")</f>
        <v/>
      </c>
      <c r="U245">
        <f>IF($T245=1,COUNTIF($T$9:$T245,1),"")</f>
        <v/>
      </c>
      <c r="V245">
        <f>IF(AND(ISTEXT($A245),LEFT($A246,3)="Pan"),1,"")</f>
        <v/>
      </c>
      <c r="W245" s="21">
        <f>IFERROR(MATCH(237,$U$9:$U$2008,0),"")</f>
        <v/>
      </c>
      <c r="X245" s="22">
        <f>IF($W245="","",IF($R$5&lt;&gt;"",$R$5,$R$6))</f>
        <v/>
      </c>
      <c r="Y245" s="22">
        <f>IF($W245="","",INDEX($S$9:$S$2008,$W245))</f>
        <v/>
      </c>
      <c r="Z245" s="22">
        <f>IF($W245="","",IFERROR(TRIM(LEFT(SUBSTITUTE(INDEX($A$9:$A$2008,$W245),CHAR(10)," "),SEARCH("Folio",SUBSTITUTE(INDEX($A$9:$A$2008,$W245),CHAR(10)," "))-1)),TRIM(SUBSTITUTE(INDEX($A$9:$A$2008,$W245),CHAR(10)," "))))</f>
        <v/>
      </c>
      <c r="AA245" s="22">
        <f>IF($W245="","",IFERROR(TRIM(SUBSTITUTE(MID(SUBSTITUTE(INDEX($A$9:$A$2008,$W245),CHAR(10)," "),SEARCH("Folio",SUBSTITUTE(INDEX($A$9:$A$2008,$W245),CHAR(10)," "))+5,200),":","")),""))</f>
        <v/>
      </c>
      <c r="AB245" s="23">
        <f>IF($W245="","",IF(ISNUMBER(INDEX($D$9:$D$2008,$W245)),INDEX($D$9:$D$2008,$W245),IFERROR(DATE(2000+VALUE(RIGHT(INDEX($D$9:$D$2008,$W245),2)),VALUE(MID(INDEX($D$9:$D$2008,$W245),4,2)),VALUE(LEFT(INDEX($D$9:$D$2008,$W245),2))),"")))</f>
        <v/>
      </c>
      <c r="AC245" s="24">
        <f>IF($W245="","",IFERROR(IF(ISNUMBER(INDEX($E$9:$E$2008,$W245)),INDEX($E$9:$E$2008,$W245),VALUE(SUBSTITUTE(INDEX($E$9:$E$2008,$W245),",",""))),""))</f>
        <v/>
      </c>
      <c r="AD245" s="24">
        <f>IF($W245="","",IFERROR(IF(ISNUMBER(INDEX($F$9:$F$2008,$W245)),INDEX($F$9:$F$2008,$W245),VALUE(SUBSTITUTE(INDEX($F$9:$F$2008,$W245),",",""))),""))</f>
        <v/>
      </c>
      <c r="AE245" s="24">
        <f>IF($W245="","",IFERROR(IF(ISNUMBER(INDEX($G$9:$G$2008,$W245)),INDEX($G$9:$G$2008,$W245),VALUE(SUBSTITUTE(INDEX($G$9:$G$2008,$W245),",",""))),""))</f>
        <v/>
      </c>
      <c r="AF245" s="24">
        <f>IF($W245="","",IFERROR(IF(ISNUMBER(INDEX($H$9:$H$2008,$W245)),INDEX($H$9:$H$2008,$W245),VALUE(SUBSTITUTE(INDEX($H$9:$H$2008,$W245),",",""))),""))</f>
        <v/>
      </c>
      <c r="AG245" s="24">
        <f>IF($W245="","",IFERROR(IF(ISNUMBER(INDEX($I$9:$I$2008,$W245)),INDEX($I$9:$I$2008,$W245),VALUE(SUBSTITUTE(INDEX($I$9:$I$2008,$W245),",",""))),""))</f>
        <v/>
      </c>
      <c r="AH245" s="24">
        <f>IF($W245="","",IFERROR(IF(ISNUMBER(INDEX($J$9:$J$2008,$W245)),INDEX($J$9:$J$2008,$W245),VALUE(SUBSTITUTE(INDEX($J$9:$J$2008,$W245),",",""))),""))</f>
        <v/>
      </c>
      <c r="AI245" s="24">
        <f>IF($W245="","",IFERROR(IF(ISNUMBER(INDEX($K$9:$K$2008,$W245)),INDEX($K$9:$K$2008,$W245),VALUE(SUBSTITUTE(INDEX($K$9:$K$2008,$W245),",",""))),""))</f>
        <v/>
      </c>
      <c r="AJ245" s="25">
        <f>IF($W245="","",IFERROR(IF(ISNUMBER(INDEX($L$9:$L$2008,$W245)),INDEX($L$9:$L$2008,$W245),VALUE(SUBSTITUTE(INDEX($L$9:$L$2008,$W245),",",""))),""))</f>
        <v/>
      </c>
      <c r="AK245" s="25">
        <f>IF($W245="","",IFERROR(IF(ISNUMBER(INDEX($M$9:$M$2008,$W245)),INDEX($M$9:$M$2008,$W245),VALUE(SUBSTITUTE(INDEX($M$9:$M$2008,$W245),",",""))),""))</f>
        <v/>
      </c>
      <c r="AL245" s="26">
        <f>IF($W245="","",IFERROR(IF(ISNUMBER(INDEX($P$9:$P$2008,$W245)),INDEX($P$9:$P$2008,$W245),VALUE(SUBSTITUTE(INDEX($P$9:$P$2008,$W245),"%",""))/100),""))</f>
        <v/>
      </c>
    </row>
    <row r="246">
      <c r="S246">
        <f>IF(AND(ISTEXT($A246),ISNUMBER(SEARCH(" - ",$A246)),ISERROR(SEARCH("Folio",$A246)),$D246=""),TRIM($A246),$S245)</f>
        <v/>
      </c>
      <c r="T246">
        <f>IF(AND(ISNUMBER(SEARCH("Folio",$A246)),$D246&lt;&gt;""),1,"")</f>
        <v/>
      </c>
      <c r="U246">
        <f>IF($T246=1,COUNTIF($T$9:$T246,1),"")</f>
        <v/>
      </c>
      <c r="V246">
        <f>IF(AND(ISTEXT($A246),LEFT($A247,3)="Pan"),1,"")</f>
        <v/>
      </c>
      <c r="W246" s="21">
        <f>IFERROR(MATCH(238,$U$9:$U$2008,0),"")</f>
        <v/>
      </c>
      <c r="X246" s="27">
        <f>IF($W246="","",IF($R$5&lt;&gt;"",$R$5,$R$6))</f>
        <v/>
      </c>
      <c r="Y246" s="27">
        <f>IF($W246="","",INDEX($S$9:$S$2008,$W246))</f>
        <v/>
      </c>
      <c r="Z246" s="27">
        <f>IF($W246="","",IFERROR(TRIM(LEFT(SUBSTITUTE(INDEX($A$9:$A$2008,$W246),CHAR(10)," "),SEARCH("Folio",SUBSTITUTE(INDEX($A$9:$A$2008,$W246),CHAR(10)," "))-1)),TRIM(SUBSTITUTE(INDEX($A$9:$A$2008,$W246),CHAR(10)," "))))</f>
        <v/>
      </c>
      <c r="AA246" s="27">
        <f>IF($W246="","",IFERROR(TRIM(SUBSTITUTE(MID(SUBSTITUTE(INDEX($A$9:$A$2008,$W246),CHAR(10)," "),SEARCH("Folio",SUBSTITUTE(INDEX($A$9:$A$2008,$W246),CHAR(10)," "))+5,200),":","")),""))</f>
        <v/>
      </c>
      <c r="AB246" s="28">
        <f>IF($W246="","",IF(ISNUMBER(INDEX($D$9:$D$2008,$W246)),INDEX($D$9:$D$2008,$W246),IFERROR(DATE(2000+VALUE(RIGHT(INDEX($D$9:$D$2008,$W246),2)),VALUE(MID(INDEX($D$9:$D$2008,$W246),4,2)),VALUE(LEFT(INDEX($D$9:$D$2008,$W246),2))),"")))</f>
        <v/>
      </c>
      <c r="AC246" s="29">
        <f>IF($W246="","",IFERROR(IF(ISNUMBER(INDEX($E$9:$E$2008,$W246)),INDEX($E$9:$E$2008,$W246),VALUE(SUBSTITUTE(INDEX($E$9:$E$2008,$W246),",",""))),""))</f>
        <v/>
      </c>
      <c r="AD246" s="29">
        <f>IF($W246="","",IFERROR(IF(ISNUMBER(INDEX($F$9:$F$2008,$W246)),INDEX($F$9:$F$2008,$W246),VALUE(SUBSTITUTE(INDEX($F$9:$F$2008,$W246),",",""))),""))</f>
        <v/>
      </c>
      <c r="AE246" s="29">
        <f>IF($W246="","",IFERROR(IF(ISNUMBER(INDEX($G$9:$G$2008,$W246)),INDEX($G$9:$G$2008,$W246),VALUE(SUBSTITUTE(INDEX($G$9:$G$2008,$W246),",",""))),""))</f>
        <v/>
      </c>
      <c r="AF246" s="29">
        <f>IF($W246="","",IFERROR(IF(ISNUMBER(INDEX($H$9:$H$2008,$W246)),INDEX($H$9:$H$2008,$W246),VALUE(SUBSTITUTE(INDEX($H$9:$H$2008,$W246),",",""))),""))</f>
        <v/>
      </c>
      <c r="AG246" s="29">
        <f>IF($W246="","",IFERROR(IF(ISNUMBER(INDEX($I$9:$I$2008,$W246)),INDEX($I$9:$I$2008,$W246),VALUE(SUBSTITUTE(INDEX($I$9:$I$2008,$W246),",",""))),""))</f>
        <v/>
      </c>
      <c r="AH246" s="29">
        <f>IF($W246="","",IFERROR(IF(ISNUMBER(INDEX($J$9:$J$2008,$W246)),INDEX($J$9:$J$2008,$W246),VALUE(SUBSTITUTE(INDEX($J$9:$J$2008,$W246),",",""))),""))</f>
        <v/>
      </c>
      <c r="AI246" s="29">
        <f>IF($W246="","",IFERROR(IF(ISNUMBER(INDEX($K$9:$K$2008,$W246)),INDEX($K$9:$K$2008,$W246),VALUE(SUBSTITUTE(INDEX($K$9:$K$2008,$W246),",",""))),""))</f>
        <v/>
      </c>
      <c r="AJ246" s="30">
        <f>IF($W246="","",IFERROR(IF(ISNUMBER(INDEX($L$9:$L$2008,$W246)),INDEX($L$9:$L$2008,$W246),VALUE(SUBSTITUTE(INDEX($L$9:$L$2008,$W246),",",""))),""))</f>
        <v/>
      </c>
      <c r="AK246" s="30">
        <f>IF($W246="","",IFERROR(IF(ISNUMBER(INDEX($M$9:$M$2008,$W246)),INDEX($M$9:$M$2008,$W246),VALUE(SUBSTITUTE(INDEX($M$9:$M$2008,$W246),",",""))),""))</f>
        <v/>
      </c>
      <c r="AL246" s="31">
        <f>IF($W246="","",IFERROR(IF(ISNUMBER(INDEX($P$9:$P$2008,$W246)),INDEX($P$9:$P$2008,$W246),VALUE(SUBSTITUTE(INDEX($P$9:$P$2008,$W246),"%",""))/100),""))</f>
        <v/>
      </c>
    </row>
    <row r="247">
      <c r="S247">
        <f>IF(AND(ISTEXT($A247),ISNUMBER(SEARCH(" - ",$A247)),ISERROR(SEARCH("Folio",$A247)),$D247=""),TRIM($A247),$S246)</f>
        <v/>
      </c>
      <c r="T247">
        <f>IF(AND(ISNUMBER(SEARCH("Folio",$A247)),$D247&lt;&gt;""),1,"")</f>
        <v/>
      </c>
      <c r="U247">
        <f>IF($T247=1,COUNTIF($T$9:$T247,1),"")</f>
        <v/>
      </c>
      <c r="V247">
        <f>IF(AND(ISTEXT($A247),LEFT($A248,3)="Pan"),1,"")</f>
        <v/>
      </c>
      <c r="W247" s="21">
        <f>IFERROR(MATCH(239,$U$9:$U$2008,0),"")</f>
        <v/>
      </c>
      <c r="X247" s="22">
        <f>IF($W247="","",IF($R$5&lt;&gt;"",$R$5,$R$6))</f>
        <v/>
      </c>
      <c r="Y247" s="22">
        <f>IF($W247="","",INDEX($S$9:$S$2008,$W247))</f>
        <v/>
      </c>
      <c r="Z247" s="22">
        <f>IF($W247="","",IFERROR(TRIM(LEFT(SUBSTITUTE(INDEX($A$9:$A$2008,$W247),CHAR(10)," "),SEARCH("Folio",SUBSTITUTE(INDEX($A$9:$A$2008,$W247),CHAR(10)," "))-1)),TRIM(SUBSTITUTE(INDEX($A$9:$A$2008,$W247),CHAR(10)," "))))</f>
        <v/>
      </c>
      <c r="AA247" s="22">
        <f>IF($W247="","",IFERROR(TRIM(SUBSTITUTE(MID(SUBSTITUTE(INDEX($A$9:$A$2008,$W247),CHAR(10)," "),SEARCH("Folio",SUBSTITUTE(INDEX($A$9:$A$2008,$W247),CHAR(10)," "))+5,200),":","")),""))</f>
        <v/>
      </c>
      <c r="AB247" s="23">
        <f>IF($W247="","",IF(ISNUMBER(INDEX($D$9:$D$2008,$W247)),INDEX($D$9:$D$2008,$W247),IFERROR(DATE(2000+VALUE(RIGHT(INDEX($D$9:$D$2008,$W247),2)),VALUE(MID(INDEX($D$9:$D$2008,$W247),4,2)),VALUE(LEFT(INDEX($D$9:$D$2008,$W247),2))),"")))</f>
        <v/>
      </c>
      <c r="AC247" s="24">
        <f>IF($W247="","",IFERROR(IF(ISNUMBER(INDEX($E$9:$E$2008,$W247)),INDEX($E$9:$E$2008,$W247),VALUE(SUBSTITUTE(INDEX($E$9:$E$2008,$W247),",",""))),""))</f>
        <v/>
      </c>
      <c r="AD247" s="24">
        <f>IF($W247="","",IFERROR(IF(ISNUMBER(INDEX($F$9:$F$2008,$W247)),INDEX($F$9:$F$2008,$W247),VALUE(SUBSTITUTE(INDEX($F$9:$F$2008,$W247),",",""))),""))</f>
        <v/>
      </c>
      <c r="AE247" s="24">
        <f>IF($W247="","",IFERROR(IF(ISNUMBER(INDEX($G$9:$G$2008,$W247)),INDEX($G$9:$G$2008,$W247),VALUE(SUBSTITUTE(INDEX($G$9:$G$2008,$W247),",",""))),""))</f>
        <v/>
      </c>
      <c r="AF247" s="24">
        <f>IF($W247="","",IFERROR(IF(ISNUMBER(INDEX($H$9:$H$2008,$W247)),INDEX($H$9:$H$2008,$W247),VALUE(SUBSTITUTE(INDEX($H$9:$H$2008,$W247),",",""))),""))</f>
        <v/>
      </c>
      <c r="AG247" s="24">
        <f>IF($W247="","",IFERROR(IF(ISNUMBER(INDEX($I$9:$I$2008,$W247)),INDEX($I$9:$I$2008,$W247),VALUE(SUBSTITUTE(INDEX($I$9:$I$2008,$W247),",",""))),""))</f>
        <v/>
      </c>
      <c r="AH247" s="24">
        <f>IF($W247="","",IFERROR(IF(ISNUMBER(INDEX($J$9:$J$2008,$W247)),INDEX($J$9:$J$2008,$W247),VALUE(SUBSTITUTE(INDEX($J$9:$J$2008,$W247),",",""))),""))</f>
        <v/>
      </c>
      <c r="AI247" s="24">
        <f>IF($W247="","",IFERROR(IF(ISNUMBER(INDEX($K$9:$K$2008,$W247)),INDEX($K$9:$K$2008,$W247),VALUE(SUBSTITUTE(INDEX($K$9:$K$2008,$W247),",",""))),""))</f>
        <v/>
      </c>
      <c r="AJ247" s="25">
        <f>IF($W247="","",IFERROR(IF(ISNUMBER(INDEX($L$9:$L$2008,$W247)),INDEX($L$9:$L$2008,$W247),VALUE(SUBSTITUTE(INDEX($L$9:$L$2008,$W247),",",""))),""))</f>
        <v/>
      </c>
      <c r="AK247" s="25">
        <f>IF($W247="","",IFERROR(IF(ISNUMBER(INDEX($M$9:$M$2008,$W247)),INDEX($M$9:$M$2008,$W247),VALUE(SUBSTITUTE(INDEX($M$9:$M$2008,$W247),",",""))),""))</f>
        <v/>
      </c>
      <c r="AL247" s="26">
        <f>IF($W247="","",IFERROR(IF(ISNUMBER(INDEX($P$9:$P$2008,$W247)),INDEX($P$9:$P$2008,$W247),VALUE(SUBSTITUTE(INDEX($P$9:$P$2008,$W247),"%",""))/100),""))</f>
        <v/>
      </c>
    </row>
    <row r="248">
      <c r="S248">
        <f>IF(AND(ISTEXT($A248),ISNUMBER(SEARCH(" - ",$A248)),ISERROR(SEARCH("Folio",$A248)),$D248=""),TRIM($A248),$S247)</f>
        <v/>
      </c>
      <c r="T248">
        <f>IF(AND(ISNUMBER(SEARCH("Folio",$A248)),$D248&lt;&gt;""),1,"")</f>
        <v/>
      </c>
      <c r="U248">
        <f>IF($T248=1,COUNTIF($T$9:$T248,1),"")</f>
        <v/>
      </c>
      <c r="V248">
        <f>IF(AND(ISTEXT($A248),LEFT($A249,3)="Pan"),1,"")</f>
        <v/>
      </c>
      <c r="W248" s="21">
        <f>IFERROR(MATCH(240,$U$9:$U$2008,0),"")</f>
        <v/>
      </c>
      <c r="X248" s="27">
        <f>IF($W248="","",IF($R$5&lt;&gt;"",$R$5,$R$6))</f>
        <v/>
      </c>
      <c r="Y248" s="27">
        <f>IF($W248="","",INDEX($S$9:$S$2008,$W248))</f>
        <v/>
      </c>
      <c r="Z248" s="27">
        <f>IF($W248="","",IFERROR(TRIM(LEFT(SUBSTITUTE(INDEX($A$9:$A$2008,$W248),CHAR(10)," "),SEARCH("Folio",SUBSTITUTE(INDEX($A$9:$A$2008,$W248),CHAR(10)," "))-1)),TRIM(SUBSTITUTE(INDEX($A$9:$A$2008,$W248),CHAR(10)," "))))</f>
        <v/>
      </c>
      <c r="AA248" s="27">
        <f>IF($W248="","",IFERROR(TRIM(SUBSTITUTE(MID(SUBSTITUTE(INDEX($A$9:$A$2008,$W248),CHAR(10)," "),SEARCH("Folio",SUBSTITUTE(INDEX($A$9:$A$2008,$W248),CHAR(10)," "))+5,200),":","")),""))</f>
        <v/>
      </c>
      <c r="AB248" s="28">
        <f>IF($W248="","",IF(ISNUMBER(INDEX($D$9:$D$2008,$W248)),INDEX($D$9:$D$2008,$W248),IFERROR(DATE(2000+VALUE(RIGHT(INDEX($D$9:$D$2008,$W248),2)),VALUE(MID(INDEX($D$9:$D$2008,$W248),4,2)),VALUE(LEFT(INDEX($D$9:$D$2008,$W248),2))),"")))</f>
        <v/>
      </c>
      <c r="AC248" s="29">
        <f>IF($W248="","",IFERROR(IF(ISNUMBER(INDEX($E$9:$E$2008,$W248)),INDEX($E$9:$E$2008,$W248),VALUE(SUBSTITUTE(INDEX($E$9:$E$2008,$W248),",",""))),""))</f>
        <v/>
      </c>
      <c r="AD248" s="29">
        <f>IF($W248="","",IFERROR(IF(ISNUMBER(INDEX($F$9:$F$2008,$W248)),INDEX($F$9:$F$2008,$W248),VALUE(SUBSTITUTE(INDEX($F$9:$F$2008,$W248),",",""))),""))</f>
        <v/>
      </c>
      <c r="AE248" s="29">
        <f>IF($W248="","",IFERROR(IF(ISNUMBER(INDEX($G$9:$G$2008,$W248)),INDEX($G$9:$G$2008,$W248),VALUE(SUBSTITUTE(INDEX($G$9:$G$2008,$W248),",",""))),""))</f>
        <v/>
      </c>
      <c r="AF248" s="29">
        <f>IF($W248="","",IFERROR(IF(ISNUMBER(INDEX($H$9:$H$2008,$W248)),INDEX($H$9:$H$2008,$W248),VALUE(SUBSTITUTE(INDEX($H$9:$H$2008,$W248),",",""))),""))</f>
        <v/>
      </c>
      <c r="AG248" s="29">
        <f>IF($W248="","",IFERROR(IF(ISNUMBER(INDEX($I$9:$I$2008,$W248)),INDEX($I$9:$I$2008,$W248),VALUE(SUBSTITUTE(INDEX($I$9:$I$2008,$W248),",",""))),""))</f>
        <v/>
      </c>
      <c r="AH248" s="29">
        <f>IF($W248="","",IFERROR(IF(ISNUMBER(INDEX($J$9:$J$2008,$W248)),INDEX($J$9:$J$2008,$W248),VALUE(SUBSTITUTE(INDEX($J$9:$J$2008,$W248),",",""))),""))</f>
        <v/>
      </c>
      <c r="AI248" s="29">
        <f>IF($W248="","",IFERROR(IF(ISNUMBER(INDEX($K$9:$K$2008,$W248)),INDEX($K$9:$K$2008,$W248),VALUE(SUBSTITUTE(INDEX($K$9:$K$2008,$W248),",",""))),""))</f>
        <v/>
      </c>
      <c r="AJ248" s="30">
        <f>IF($W248="","",IFERROR(IF(ISNUMBER(INDEX($L$9:$L$2008,$W248)),INDEX($L$9:$L$2008,$W248),VALUE(SUBSTITUTE(INDEX($L$9:$L$2008,$W248),",",""))),""))</f>
        <v/>
      </c>
      <c r="AK248" s="30">
        <f>IF($W248="","",IFERROR(IF(ISNUMBER(INDEX($M$9:$M$2008,$W248)),INDEX($M$9:$M$2008,$W248),VALUE(SUBSTITUTE(INDEX($M$9:$M$2008,$W248),",",""))),""))</f>
        <v/>
      </c>
      <c r="AL248" s="31">
        <f>IF($W248="","",IFERROR(IF(ISNUMBER(INDEX($P$9:$P$2008,$W248)),INDEX($P$9:$P$2008,$W248),VALUE(SUBSTITUTE(INDEX($P$9:$P$2008,$W248),"%",""))/100),""))</f>
        <v/>
      </c>
    </row>
    <row r="249">
      <c r="S249">
        <f>IF(AND(ISTEXT($A249),ISNUMBER(SEARCH(" - ",$A249)),ISERROR(SEARCH("Folio",$A249)),$D249=""),TRIM($A249),$S248)</f>
        <v/>
      </c>
      <c r="T249">
        <f>IF(AND(ISNUMBER(SEARCH("Folio",$A249)),$D249&lt;&gt;""),1,"")</f>
        <v/>
      </c>
      <c r="U249">
        <f>IF($T249=1,COUNTIF($T$9:$T249,1),"")</f>
        <v/>
      </c>
      <c r="V249">
        <f>IF(AND(ISTEXT($A249),LEFT($A250,3)="Pan"),1,"")</f>
        <v/>
      </c>
      <c r="W249" s="21">
        <f>IFERROR(MATCH(241,$U$9:$U$2008,0),"")</f>
        <v/>
      </c>
      <c r="X249" s="22">
        <f>IF($W249="","",IF($R$5&lt;&gt;"",$R$5,$R$6))</f>
        <v/>
      </c>
      <c r="Y249" s="22">
        <f>IF($W249="","",INDEX($S$9:$S$2008,$W249))</f>
        <v/>
      </c>
      <c r="Z249" s="22">
        <f>IF($W249="","",IFERROR(TRIM(LEFT(SUBSTITUTE(INDEX($A$9:$A$2008,$W249),CHAR(10)," "),SEARCH("Folio",SUBSTITUTE(INDEX($A$9:$A$2008,$W249),CHAR(10)," "))-1)),TRIM(SUBSTITUTE(INDEX($A$9:$A$2008,$W249),CHAR(10)," "))))</f>
        <v/>
      </c>
      <c r="AA249" s="22">
        <f>IF($W249="","",IFERROR(TRIM(SUBSTITUTE(MID(SUBSTITUTE(INDEX($A$9:$A$2008,$W249),CHAR(10)," "),SEARCH("Folio",SUBSTITUTE(INDEX($A$9:$A$2008,$W249),CHAR(10)," "))+5,200),":","")),""))</f>
        <v/>
      </c>
      <c r="AB249" s="23">
        <f>IF($W249="","",IF(ISNUMBER(INDEX($D$9:$D$2008,$W249)),INDEX($D$9:$D$2008,$W249),IFERROR(DATE(2000+VALUE(RIGHT(INDEX($D$9:$D$2008,$W249),2)),VALUE(MID(INDEX($D$9:$D$2008,$W249),4,2)),VALUE(LEFT(INDEX($D$9:$D$2008,$W249),2))),"")))</f>
        <v/>
      </c>
      <c r="AC249" s="24">
        <f>IF($W249="","",IFERROR(IF(ISNUMBER(INDEX($E$9:$E$2008,$W249)),INDEX($E$9:$E$2008,$W249),VALUE(SUBSTITUTE(INDEX($E$9:$E$2008,$W249),",",""))),""))</f>
        <v/>
      </c>
      <c r="AD249" s="24">
        <f>IF($W249="","",IFERROR(IF(ISNUMBER(INDEX($F$9:$F$2008,$W249)),INDEX($F$9:$F$2008,$W249),VALUE(SUBSTITUTE(INDEX($F$9:$F$2008,$W249),",",""))),""))</f>
        <v/>
      </c>
      <c r="AE249" s="24">
        <f>IF($W249="","",IFERROR(IF(ISNUMBER(INDEX($G$9:$G$2008,$W249)),INDEX($G$9:$G$2008,$W249),VALUE(SUBSTITUTE(INDEX($G$9:$G$2008,$W249),",",""))),""))</f>
        <v/>
      </c>
      <c r="AF249" s="24">
        <f>IF($W249="","",IFERROR(IF(ISNUMBER(INDEX($H$9:$H$2008,$W249)),INDEX($H$9:$H$2008,$W249),VALUE(SUBSTITUTE(INDEX($H$9:$H$2008,$W249),",",""))),""))</f>
        <v/>
      </c>
      <c r="AG249" s="24">
        <f>IF($W249="","",IFERROR(IF(ISNUMBER(INDEX($I$9:$I$2008,$W249)),INDEX($I$9:$I$2008,$W249),VALUE(SUBSTITUTE(INDEX($I$9:$I$2008,$W249),",",""))),""))</f>
        <v/>
      </c>
      <c r="AH249" s="24">
        <f>IF($W249="","",IFERROR(IF(ISNUMBER(INDEX($J$9:$J$2008,$W249)),INDEX($J$9:$J$2008,$W249),VALUE(SUBSTITUTE(INDEX($J$9:$J$2008,$W249),",",""))),""))</f>
        <v/>
      </c>
      <c r="AI249" s="24">
        <f>IF($W249="","",IFERROR(IF(ISNUMBER(INDEX($K$9:$K$2008,$W249)),INDEX($K$9:$K$2008,$W249),VALUE(SUBSTITUTE(INDEX($K$9:$K$2008,$W249),",",""))),""))</f>
        <v/>
      </c>
      <c r="AJ249" s="25">
        <f>IF($W249="","",IFERROR(IF(ISNUMBER(INDEX($L$9:$L$2008,$W249)),INDEX($L$9:$L$2008,$W249),VALUE(SUBSTITUTE(INDEX($L$9:$L$2008,$W249),",",""))),""))</f>
        <v/>
      </c>
      <c r="AK249" s="25">
        <f>IF($W249="","",IFERROR(IF(ISNUMBER(INDEX($M$9:$M$2008,$W249)),INDEX($M$9:$M$2008,$W249),VALUE(SUBSTITUTE(INDEX($M$9:$M$2008,$W249),",",""))),""))</f>
        <v/>
      </c>
      <c r="AL249" s="26">
        <f>IF($W249="","",IFERROR(IF(ISNUMBER(INDEX($P$9:$P$2008,$W249)),INDEX($P$9:$P$2008,$W249),VALUE(SUBSTITUTE(INDEX($P$9:$P$2008,$W249),"%",""))/100),""))</f>
        <v/>
      </c>
    </row>
    <row r="250">
      <c r="S250">
        <f>IF(AND(ISTEXT($A250),ISNUMBER(SEARCH(" - ",$A250)),ISERROR(SEARCH("Folio",$A250)),$D250=""),TRIM($A250),$S249)</f>
        <v/>
      </c>
      <c r="T250">
        <f>IF(AND(ISNUMBER(SEARCH("Folio",$A250)),$D250&lt;&gt;""),1,"")</f>
        <v/>
      </c>
      <c r="U250">
        <f>IF($T250=1,COUNTIF($T$9:$T250,1),"")</f>
        <v/>
      </c>
      <c r="V250">
        <f>IF(AND(ISTEXT($A250),LEFT($A251,3)="Pan"),1,"")</f>
        <v/>
      </c>
      <c r="W250" s="21">
        <f>IFERROR(MATCH(242,$U$9:$U$2008,0),"")</f>
        <v/>
      </c>
      <c r="X250" s="27">
        <f>IF($W250="","",IF($R$5&lt;&gt;"",$R$5,$R$6))</f>
        <v/>
      </c>
      <c r="Y250" s="27">
        <f>IF($W250="","",INDEX($S$9:$S$2008,$W250))</f>
        <v/>
      </c>
      <c r="Z250" s="27">
        <f>IF($W250="","",IFERROR(TRIM(LEFT(SUBSTITUTE(INDEX($A$9:$A$2008,$W250),CHAR(10)," "),SEARCH("Folio",SUBSTITUTE(INDEX($A$9:$A$2008,$W250),CHAR(10)," "))-1)),TRIM(SUBSTITUTE(INDEX($A$9:$A$2008,$W250),CHAR(10)," "))))</f>
        <v/>
      </c>
      <c r="AA250" s="27">
        <f>IF($W250="","",IFERROR(TRIM(SUBSTITUTE(MID(SUBSTITUTE(INDEX($A$9:$A$2008,$W250),CHAR(10)," "),SEARCH("Folio",SUBSTITUTE(INDEX($A$9:$A$2008,$W250),CHAR(10)," "))+5,200),":","")),""))</f>
        <v/>
      </c>
      <c r="AB250" s="28">
        <f>IF($W250="","",IF(ISNUMBER(INDEX($D$9:$D$2008,$W250)),INDEX($D$9:$D$2008,$W250),IFERROR(DATE(2000+VALUE(RIGHT(INDEX($D$9:$D$2008,$W250),2)),VALUE(MID(INDEX($D$9:$D$2008,$W250),4,2)),VALUE(LEFT(INDEX($D$9:$D$2008,$W250),2))),"")))</f>
        <v/>
      </c>
      <c r="AC250" s="29">
        <f>IF($W250="","",IFERROR(IF(ISNUMBER(INDEX($E$9:$E$2008,$W250)),INDEX($E$9:$E$2008,$W250),VALUE(SUBSTITUTE(INDEX($E$9:$E$2008,$W250),",",""))),""))</f>
        <v/>
      </c>
      <c r="AD250" s="29">
        <f>IF($W250="","",IFERROR(IF(ISNUMBER(INDEX($F$9:$F$2008,$W250)),INDEX($F$9:$F$2008,$W250),VALUE(SUBSTITUTE(INDEX($F$9:$F$2008,$W250),",",""))),""))</f>
        <v/>
      </c>
      <c r="AE250" s="29">
        <f>IF($W250="","",IFERROR(IF(ISNUMBER(INDEX($G$9:$G$2008,$W250)),INDEX($G$9:$G$2008,$W250),VALUE(SUBSTITUTE(INDEX($G$9:$G$2008,$W250),",",""))),""))</f>
        <v/>
      </c>
      <c r="AF250" s="29">
        <f>IF($W250="","",IFERROR(IF(ISNUMBER(INDEX($H$9:$H$2008,$W250)),INDEX($H$9:$H$2008,$W250),VALUE(SUBSTITUTE(INDEX($H$9:$H$2008,$W250),",",""))),""))</f>
        <v/>
      </c>
      <c r="AG250" s="29">
        <f>IF($W250="","",IFERROR(IF(ISNUMBER(INDEX($I$9:$I$2008,$W250)),INDEX($I$9:$I$2008,$W250),VALUE(SUBSTITUTE(INDEX($I$9:$I$2008,$W250),",",""))),""))</f>
        <v/>
      </c>
      <c r="AH250" s="29">
        <f>IF($W250="","",IFERROR(IF(ISNUMBER(INDEX($J$9:$J$2008,$W250)),INDEX($J$9:$J$2008,$W250),VALUE(SUBSTITUTE(INDEX($J$9:$J$2008,$W250),",",""))),""))</f>
        <v/>
      </c>
      <c r="AI250" s="29">
        <f>IF($W250="","",IFERROR(IF(ISNUMBER(INDEX($K$9:$K$2008,$W250)),INDEX($K$9:$K$2008,$W250),VALUE(SUBSTITUTE(INDEX($K$9:$K$2008,$W250),",",""))),""))</f>
        <v/>
      </c>
      <c r="AJ250" s="30">
        <f>IF($W250="","",IFERROR(IF(ISNUMBER(INDEX($L$9:$L$2008,$W250)),INDEX($L$9:$L$2008,$W250),VALUE(SUBSTITUTE(INDEX($L$9:$L$2008,$W250),",",""))),""))</f>
        <v/>
      </c>
      <c r="AK250" s="30">
        <f>IF($W250="","",IFERROR(IF(ISNUMBER(INDEX($M$9:$M$2008,$W250)),INDEX($M$9:$M$2008,$W250),VALUE(SUBSTITUTE(INDEX($M$9:$M$2008,$W250),",",""))),""))</f>
        <v/>
      </c>
      <c r="AL250" s="31">
        <f>IF($W250="","",IFERROR(IF(ISNUMBER(INDEX($P$9:$P$2008,$W250)),INDEX($P$9:$P$2008,$W250),VALUE(SUBSTITUTE(INDEX($P$9:$P$2008,$W250),"%",""))/100),""))</f>
        <v/>
      </c>
    </row>
    <row r="251">
      <c r="S251">
        <f>IF(AND(ISTEXT($A251),ISNUMBER(SEARCH(" - ",$A251)),ISERROR(SEARCH("Folio",$A251)),$D251=""),TRIM($A251),$S250)</f>
        <v/>
      </c>
      <c r="T251">
        <f>IF(AND(ISNUMBER(SEARCH("Folio",$A251)),$D251&lt;&gt;""),1,"")</f>
        <v/>
      </c>
      <c r="U251">
        <f>IF($T251=1,COUNTIF($T$9:$T251,1),"")</f>
        <v/>
      </c>
      <c r="V251">
        <f>IF(AND(ISTEXT($A251),LEFT($A252,3)="Pan"),1,"")</f>
        <v/>
      </c>
      <c r="W251" s="21">
        <f>IFERROR(MATCH(243,$U$9:$U$2008,0),"")</f>
        <v/>
      </c>
      <c r="X251" s="22">
        <f>IF($W251="","",IF($R$5&lt;&gt;"",$R$5,$R$6))</f>
        <v/>
      </c>
      <c r="Y251" s="22">
        <f>IF($W251="","",INDEX($S$9:$S$2008,$W251))</f>
        <v/>
      </c>
      <c r="Z251" s="22">
        <f>IF($W251="","",IFERROR(TRIM(LEFT(SUBSTITUTE(INDEX($A$9:$A$2008,$W251),CHAR(10)," "),SEARCH("Folio",SUBSTITUTE(INDEX($A$9:$A$2008,$W251),CHAR(10)," "))-1)),TRIM(SUBSTITUTE(INDEX($A$9:$A$2008,$W251),CHAR(10)," "))))</f>
        <v/>
      </c>
      <c r="AA251" s="22">
        <f>IF($W251="","",IFERROR(TRIM(SUBSTITUTE(MID(SUBSTITUTE(INDEX($A$9:$A$2008,$W251),CHAR(10)," "),SEARCH("Folio",SUBSTITUTE(INDEX($A$9:$A$2008,$W251),CHAR(10)," "))+5,200),":","")),""))</f>
        <v/>
      </c>
      <c r="AB251" s="23">
        <f>IF($W251="","",IF(ISNUMBER(INDEX($D$9:$D$2008,$W251)),INDEX($D$9:$D$2008,$W251),IFERROR(DATE(2000+VALUE(RIGHT(INDEX($D$9:$D$2008,$W251),2)),VALUE(MID(INDEX($D$9:$D$2008,$W251),4,2)),VALUE(LEFT(INDEX($D$9:$D$2008,$W251),2))),"")))</f>
        <v/>
      </c>
      <c r="AC251" s="24">
        <f>IF($W251="","",IFERROR(IF(ISNUMBER(INDEX($E$9:$E$2008,$W251)),INDEX($E$9:$E$2008,$W251),VALUE(SUBSTITUTE(INDEX($E$9:$E$2008,$W251),",",""))),""))</f>
        <v/>
      </c>
      <c r="AD251" s="24">
        <f>IF($W251="","",IFERROR(IF(ISNUMBER(INDEX($F$9:$F$2008,$W251)),INDEX($F$9:$F$2008,$W251),VALUE(SUBSTITUTE(INDEX($F$9:$F$2008,$W251),",",""))),""))</f>
        <v/>
      </c>
      <c r="AE251" s="24">
        <f>IF($W251="","",IFERROR(IF(ISNUMBER(INDEX($G$9:$G$2008,$W251)),INDEX($G$9:$G$2008,$W251),VALUE(SUBSTITUTE(INDEX($G$9:$G$2008,$W251),",",""))),""))</f>
        <v/>
      </c>
      <c r="AF251" s="24">
        <f>IF($W251="","",IFERROR(IF(ISNUMBER(INDEX($H$9:$H$2008,$W251)),INDEX($H$9:$H$2008,$W251),VALUE(SUBSTITUTE(INDEX($H$9:$H$2008,$W251),",",""))),""))</f>
        <v/>
      </c>
      <c r="AG251" s="24">
        <f>IF($W251="","",IFERROR(IF(ISNUMBER(INDEX($I$9:$I$2008,$W251)),INDEX($I$9:$I$2008,$W251),VALUE(SUBSTITUTE(INDEX($I$9:$I$2008,$W251),",",""))),""))</f>
        <v/>
      </c>
      <c r="AH251" s="24">
        <f>IF($W251="","",IFERROR(IF(ISNUMBER(INDEX($J$9:$J$2008,$W251)),INDEX($J$9:$J$2008,$W251),VALUE(SUBSTITUTE(INDEX($J$9:$J$2008,$W251),",",""))),""))</f>
        <v/>
      </c>
      <c r="AI251" s="24">
        <f>IF($W251="","",IFERROR(IF(ISNUMBER(INDEX($K$9:$K$2008,$W251)),INDEX($K$9:$K$2008,$W251),VALUE(SUBSTITUTE(INDEX($K$9:$K$2008,$W251),",",""))),""))</f>
        <v/>
      </c>
      <c r="AJ251" s="25">
        <f>IF($W251="","",IFERROR(IF(ISNUMBER(INDEX($L$9:$L$2008,$W251)),INDEX($L$9:$L$2008,$W251),VALUE(SUBSTITUTE(INDEX($L$9:$L$2008,$W251),",",""))),""))</f>
        <v/>
      </c>
      <c r="AK251" s="25">
        <f>IF($W251="","",IFERROR(IF(ISNUMBER(INDEX($M$9:$M$2008,$W251)),INDEX($M$9:$M$2008,$W251),VALUE(SUBSTITUTE(INDEX($M$9:$M$2008,$W251),",",""))),""))</f>
        <v/>
      </c>
      <c r="AL251" s="26">
        <f>IF($W251="","",IFERROR(IF(ISNUMBER(INDEX($P$9:$P$2008,$W251)),INDEX($P$9:$P$2008,$W251),VALUE(SUBSTITUTE(INDEX($P$9:$P$2008,$W251),"%",""))/100),""))</f>
        <v/>
      </c>
    </row>
    <row r="252">
      <c r="S252">
        <f>IF(AND(ISTEXT($A252),ISNUMBER(SEARCH(" - ",$A252)),ISERROR(SEARCH("Folio",$A252)),$D252=""),TRIM($A252),$S251)</f>
        <v/>
      </c>
      <c r="T252">
        <f>IF(AND(ISNUMBER(SEARCH("Folio",$A252)),$D252&lt;&gt;""),1,"")</f>
        <v/>
      </c>
      <c r="U252">
        <f>IF($T252=1,COUNTIF($T$9:$T252,1),"")</f>
        <v/>
      </c>
      <c r="V252">
        <f>IF(AND(ISTEXT($A252),LEFT($A253,3)="Pan"),1,"")</f>
        <v/>
      </c>
      <c r="W252" s="21">
        <f>IFERROR(MATCH(244,$U$9:$U$2008,0),"")</f>
        <v/>
      </c>
      <c r="X252" s="27">
        <f>IF($W252="","",IF($R$5&lt;&gt;"",$R$5,$R$6))</f>
        <v/>
      </c>
      <c r="Y252" s="27">
        <f>IF($W252="","",INDEX($S$9:$S$2008,$W252))</f>
        <v/>
      </c>
      <c r="Z252" s="27">
        <f>IF($W252="","",IFERROR(TRIM(LEFT(SUBSTITUTE(INDEX($A$9:$A$2008,$W252),CHAR(10)," "),SEARCH("Folio",SUBSTITUTE(INDEX($A$9:$A$2008,$W252),CHAR(10)," "))-1)),TRIM(SUBSTITUTE(INDEX($A$9:$A$2008,$W252),CHAR(10)," "))))</f>
        <v/>
      </c>
      <c r="AA252" s="27">
        <f>IF($W252="","",IFERROR(TRIM(SUBSTITUTE(MID(SUBSTITUTE(INDEX($A$9:$A$2008,$W252),CHAR(10)," "),SEARCH("Folio",SUBSTITUTE(INDEX($A$9:$A$2008,$W252),CHAR(10)," "))+5,200),":","")),""))</f>
        <v/>
      </c>
      <c r="AB252" s="28">
        <f>IF($W252="","",IF(ISNUMBER(INDEX($D$9:$D$2008,$W252)),INDEX($D$9:$D$2008,$W252),IFERROR(DATE(2000+VALUE(RIGHT(INDEX($D$9:$D$2008,$W252),2)),VALUE(MID(INDEX($D$9:$D$2008,$W252),4,2)),VALUE(LEFT(INDEX($D$9:$D$2008,$W252),2))),"")))</f>
        <v/>
      </c>
      <c r="AC252" s="29">
        <f>IF($W252="","",IFERROR(IF(ISNUMBER(INDEX($E$9:$E$2008,$W252)),INDEX($E$9:$E$2008,$W252),VALUE(SUBSTITUTE(INDEX($E$9:$E$2008,$W252),",",""))),""))</f>
        <v/>
      </c>
      <c r="AD252" s="29">
        <f>IF($W252="","",IFERROR(IF(ISNUMBER(INDEX($F$9:$F$2008,$W252)),INDEX($F$9:$F$2008,$W252),VALUE(SUBSTITUTE(INDEX($F$9:$F$2008,$W252),",",""))),""))</f>
        <v/>
      </c>
      <c r="AE252" s="29">
        <f>IF($W252="","",IFERROR(IF(ISNUMBER(INDEX($G$9:$G$2008,$W252)),INDEX($G$9:$G$2008,$W252),VALUE(SUBSTITUTE(INDEX($G$9:$G$2008,$W252),",",""))),""))</f>
        <v/>
      </c>
      <c r="AF252" s="29">
        <f>IF($W252="","",IFERROR(IF(ISNUMBER(INDEX($H$9:$H$2008,$W252)),INDEX($H$9:$H$2008,$W252),VALUE(SUBSTITUTE(INDEX($H$9:$H$2008,$W252),",",""))),""))</f>
        <v/>
      </c>
      <c r="AG252" s="29">
        <f>IF($W252="","",IFERROR(IF(ISNUMBER(INDEX($I$9:$I$2008,$W252)),INDEX($I$9:$I$2008,$W252),VALUE(SUBSTITUTE(INDEX($I$9:$I$2008,$W252),",",""))),""))</f>
        <v/>
      </c>
      <c r="AH252" s="29">
        <f>IF($W252="","",IFERROR(IF(ISNUMBER(INDEX($J$9:$J$2008,$W252)),INDEX($J$9:$J$2008,$W252),VALUE(SUBSTITUTE(INDEX($J$9:$J$2008,$W252),",",""))),""))</f>
        <v/>
      </c>
      <c r="AI252" s="29">
        <f>IF($W252="","",IFERROR(IF(ISNUMBER(INDEX($K$9:$K$2008,$W252)),INDEX($K$9:$K$2008,$W252),VALUE(SUBSTITUTE(INDEX($K$9:$K$2008,$W252),",",""))),""))</f>
        <v/>
      </c>
      <c r="AJ252" s="30">
        <f>IF($W252="","",IFERROR(IF(ISNUMBER(INDEX($L$9:$L$2008,$W252)),INDEX($L$9:$L$2008,$W252),VALUE(SUBSTITUTE(INDEX($L$9:$L$2008,$W252),",",""))),""))</f>
        <v/>
      </c>
      <c r="AK252" s="30">
        <f>IF($W252="","",IFERROR(IF(ISNUMBER(INDEX($M$9:$M$2008,$W252)),INDEX($M$9:$M$2008,$W252),VALUE(SUBSTITUTE(INDEX($M$9:$M$2008,$W252),",",""))),""))</f>
        <v/>
      </c>
      <c r="AL252" s="31">
        <f>IF($W252="","",IFERROR(IF(ISNUMBER(INDEX($P$9:$P$2008,$W252)),INDEX($P$9:$P$2008,$W252),VALUE(SUBSTITUTE(INDEX($P$9:$P$2008,$W252),"%",""))/100),""))</f>
        <v/>
      </c>
    </row>
    <row r="253">
      <c r="S253">
        <f>IF(AND(ISTEXT($A253),ISNUMBER(SEARCH(" - ",$A253)),ISERROR(SEARCH("Folio",$A253)),$D253=""),TRIM($A253),$S252)</f>
        <v/>
      </c>
      <c r="T253">
        <f>IF(AND(ISNUMBER(SEARCH("Folio",$A253)),$D253&lt;&gt;""),1,"")</f>
        <v/>
      </c>
      <c r="U253">
        <f>IF($T253=1,COUNTIF($T$9:$T253,1),"")</f>
        <v/>
      </c>
      <c r="V253">
        <f>IF(AND(ISTEXT($A253),LEFT($A254,3)="Pan"),1,"")</f>
        <v/>
      </c>
      <c r="W253" s="21">
        <f>IFERROR(MATCH(245,$U$9:$U$2008,0),"")</f>
        <v/>
      </c>
      <c r="X253" s="22">
        <f>IF($W253="","",IF($R$5&lt;&gt;"",$R$5,$R$6))</f>
        <v/>
      </c>
      <c r="Y253" s="22">
        <f>IF($W253="","",INDEX($S$9:$S$2008,$W253))</f>
        <v/>
      </c>
      <c r="Z253" s="22">
        <f>IF($W253="","",IFERROR(TRIM(LEFT(SUBSTITUTE(INDEX($A$9:$A$2008,$W253),CHAR(10)," "),SEARCH("Folio",SUBSTITUTE(INDEX($A$9:$A$2008,$W253),CHAR(10)," "))-1)),TRIM(SUBSTITUTE(INDEX($A$9:$A$2008,$W253),CHAR(10)," "))))</f>
        <v/>
      </c>
      <c r="AA253" s="22">
        <f>IF($W253="","",IFERROR(TRIM(SUBSTITUTE(MID(SUBSTITUTE(INDEX($A$9:$A$2008,$W253),CHAR(10)," "),SEARCH("Folio",SUBSTITUTE(INDEX($A$9:$A$2008,$W253),CHAR(10)," "))+5,200),":","")),""))</f>
        <v/>
      </c>
      <c r="AB253" s="23">
        <f>IF($W253="","",IF(ISNUMBER(INDEX($D$9:$D$2008,$W253)),INDEX($D$9:$D$2008,$W253),IFERROR(DATE(2000+VALUE(RIGHT(INDEX($D$9:$D$2008,$W253),2)),VALUE(MID(INDEX($D$9:$D$2008,$W253),4,2)),VALUE(LEFT(INDEX($D$9:$D$2008,$W253),2))),"")))</f>
        <v/>
      </c>
      <c r="AC253" s="24">
        <f>IF($W253="","",IFERROR(IF(ISNUMBER(INDEX($E$9:$E$2008,$W253)),INDEX($E$9:$E$2008,$W253),VALUE(SUBSTITUTE(INDEX($E$9:$E$2008,$W253),",",""))),""))</f>
        <v/>
      </c>
      <c r="AD253" s="24">
        <f>IF($W253="","",IFERROR(IF(ISNUMBER(INDEX($F$9:$F$2008,$W253)),INDEX($F$9:$F$2008,$W253),VALUE(SUBSTITUTE(INDEX($F$9:$F$2008,$W253),",",""))),""))</f>
        <v/>
      </c>
      <c r="AE253" s="24">
        <f>IF($W253="","",IFERROR(IF(ISNUMBER(INDEX($G$9:$G$2008,$W253)),INDEX($G$9:$G$2008,$W253),VALUE(SUBSTITUTE(INDEX($G$9:$G$2008,$W253),",",""))),""))</f>
        <v/>
      </c>
      <c r="AF253" s="24">
        <f>IF($W253="","",IFERROR(IF(ISNUMBER(INDEX($H$9:$H$2008,$W253)),INDEX($H$9:$H$2008,$W253),VALUE(SUBSTITUTE(INDEX($H$9:$H$2008,$W253),",",""))),""))</f>
        <v/>
      </c>
      <c r="AG253" s="24">
        <f>IF($W253="","",IFERROR(IF(ISNUMBER(INDEX($I$9:$I$2008,$W253)),INDEX($I$9:$I$2008,$W253),VALUE(SUBSTITUTE(INDEX($I$9:$I$2008,$W253),",",""))),""))</f>
        <v/>
      </c>
      <c r="AH253" s="24">
        <f>IF($W253="","",IFERROR(IF(ISNUMBER(INDEX($J$9:$J$2008,$W253)),INDEX($J$9:$J$2008,$W253),VALUE(SUBSTITUTE(INDEX($J$9:$J$2008,$W253),",",""))),""))</f>
        <v/>
      </c>
      <c r="AI253" s="24">
        <f>IF($W253="","",IFERROR(IF(ISNUMBER(INDEX($K$9:$K$2008,$W253)),INDEX($K$9:$K$2008,$W253),VALUE(SUBSTITUTE(INDEX($K$9:$K$2008,$W253),",",""))),""))</f>
        <v/>
      </c>
      <c r="AJ253" s="25">
        <f>IF($W253="","",IFERROR(IF(ISNUMBER(INDEX($L$9:$L$2008,$W253)),INDEX($L$9:$L$2008,$W253),VALUE(SUBSTITUTE(INDEX($L$9:$L$2008,$W253),",",""))),""))</f>
        <v/>
      </c>
      <c r="AK253" s="25">
        <f>IF($W253="","",IFERROR(IF(ISNUMBER(INDEX($M$9:$M$2008,$W253)),INDEX($M$9:$M$2008,$W253),VALUE(SUBSTITUTE(INDEX($M$9:$M$2008,$W253),",",""))),""))</f>
        <v/>
      </c>
      <c r="AL253" s="26">
        <f>IF($W253="","",IFERROR(IF(ISNUMBER(INDEX($P$9:$P$2008,$W253)),INDEX($P$9:$P$2008,$W253),VALUE(SUBSTITUTE(INDEX($P$9:$P$2008,$W253),"%",""))/100),""))</f>
        <v/>
      </c>
    </row>
    <row r="254">
      <c r="S254">
        <f>IF(AND(ISTEXT($A254),ISNUMBER(SEARCH(" - ",$A254)),ISERROR(SEARCH("Folio",$A254)),$D254=""),TRIM($A254),$S253)</f>
        <v/>
      </c>
      <c r="T254">
        <f>IF(AND(ISNUMBER(SEARCH("Folio",$A254)),$D254&lt;&gt;""),1,"")</f>
        <v/>
      </c>
      <c r="U254">
        <f>IF($T254=1,COUNTIF($T$9:$T254,1),"")</f>
        <v/>
      </c>
      <c r="V254">
        <f>IF(AND(ISTEXT($A254),LEFT($A255,3)="Pan"),1,"")</f>
        <v/>
      </c>
      <c r="W254" s="21">
        <f>IFERROR(MATCH(246,$U$9:$U$2008,0),"")</f>
        <v/>
      </c>
      <c r="X254" s="27">
        <f>IF($W254="","",IF($R$5&lt;&gt;"",$R$5,$R$6))</f>
        <v/>
      </c>
      <c r="Y254" s="27">
        <f>IF($W254="","",INDEX($S$9:$S$2008,$W254))</f>
        <v/>
      </c>
      <c r="Z254" s="27">
        <f>IF($W254="","",IFERROR(TRIM(LEFT(SUBSTITUTE(INDEX($A$9:$A$2008,$W254),CHAR(10)," "),SEARCH("Folio",SUBSTITUTE(INDEX($A$9:$A$2008,$W254),CHAR(10)," "))-1)),TRIM(SUBSTITUTE(INDEX($A$9:$A$2008,$W254),CHAR(10)," "))))</f>
        <v/>
      </c>
      <c r="AA254" s="27">
        <f>IF($W254="","",IFERROR(TRIM(SUBSTITUTE(MID(SUBSTITUTE(INDEX($A$9:$A$2008,$W254),CHAR(10)," "),SEARCH("Folio",SUBSTITUTE(INDEX($A$9:$A$2008,$W254),CHAR(10)," "))+5,200),":","")),""))</f>
        <v/>
      </c>
      <c r="AB254" s="28">
        <f>IF($W254="","",IF(ISNUMBER(INDEX($D$9:$D$2008,$W254)),INDEX($D$9:$D$2008,$W254),IFERROR(DATE(2000+VALUE(RIGHT(INDEX($D$9:$D$2008,$W254),2)),VALUE(MID(INDEX($D$9:$D$2008,$W254),4,2)),VALUE(LEFT(INDEX($D$9:$D$2008,$W254),2))),"")))</f>
        <v/>
      </c>
      <c r="AC254" s="29">
        <f>IF($W254="","",IFERROR(IF(ISNUMBER(INDEX($E$9:$E$2008,$W254)),INDEX($E$9:$E$2008,$W254),VALUE(SUBSTITUTE(INDEX($E$9:$E$2008,$W254),",",""))),""))</f>
        <v/>
      </c>
      <c r="AD254" s="29">
        <f>IF($W254="","",IFERROR(IF(ISNUMBER(INDEX($F$9:$F$2008,$W254)),INDEX($F$9:$F$2008,$W254),VALUE(SUBSTITUTE(INDEX($F$9:$F$2008,$W254),",",""))),""))</f>
        <v/>
      </c>
      <c r="AE254" s="29">
        <f>IF($W254="","",IFERROR(IF(ISNUMBER(INDEX($G$9:$G$2008,$W254)),INDEX($G$9:$G$2008,$W254),VALUE(SUBSTITUTE(INDEX($G$9:$G$2008,$W254),",",""))),""))</f>
        <v/>
      </c>
      <c r="AF254" s="29">
        <f>IF($W254="","",IFERROR(IF(ISNUMBER(INDEX($H$9:$H$2008,$W254)),INDEX($H$9:$H$2008,$W254),VALUE(SUBSTITUTE(INDEX($H$9:$H$2008,$W254),",",""))),""))</f>
        <v/>
      </c>
      <c r="AG254" s="29">
        <f>IF($W254="","",IFERROR(IF(ISNUMBER(INDEX($I$9:$I$2008,$W254)),INDEX($I$9:$I$2008,$W254),VALUE(SUBSTITUTE(INDEX($I$9:$I$2008,$W254),",",""))),""))</f>
        <v/>
      </c>
      <c r="AH254" s="29">
        <f>IF($W254="","",IFERROR(IF(ISNUMBER(INDEX($J$9:$J$2008,$W254)),INDEX($J$9:$J$2008,$W254),VALUE(SUBSTITUTE(INDEX($J$9:$J$2008,$W254),",",""))),""))</f>
        <v/>
      </c>
      <c r="AI254" s="29">
        <f>IF($W254="","",IFERROR(IF(ISNUMBER(INDEX($K$9:$K$2008,$W254)),INDEX($K$9:$K$2008,$W254),VALUE(SUBSTITUTE(INDEX($K$9:$K$2008,$W254),",",""))),""))</f>
        <v/>
      </c>
      <c r="AJ254" s="30">
        <f>IF($W254="","",IFERROR(IF(ISNUMBER(INDEX($L$9:$L$2008,$W254)),INDEX($L$9:$L$2008,$W254),VALUE(SUBSTITUTE(INDEX($L$9:$L$2008,$W254),",",""))),""))</f>
        <v/>
      </c>
      <c r="AK254" s="30">
        <f>IF($W254="","",IFERROR(IF(ISNUMBER(INDEX($M$9:$M$2008,$W254)),INDEX($M$9:$M$2008,$W254),VALUE(SUBSTITUTE(INDEX($M$9:$M$2008,$W254),",",""))),""))</f>
        <v/>
      </c>
      <c r="AL254" s="31">
        <f>IF($W254="","",IFERROR(IF(ISNUMBER(INDEX($P$9:$P$2008,$W254)),INDEX($P$9:$P$2008,$W254),VALUE(SUBSTITUTE(INDEX($P$9:$P$2008,$W254),"%",""))/100),""))</f>
        <v/>
      </c>
    </row>
    <row r="255">
      <c r="S255">
        <f>IF(AND(ISTEXT($A255),ISNUMBER(SEARCH(" - ",$A255)),ISERROR(SEARCH("Folio",$A255)),$D255=""),TRIM($A255),$S254)</f>
        <v/>
      </c>
      <c r="T255">
        <f>IF(AND(ISNUMBER(SEARCH("Folio",$A255)),$D255&lt;&gt;""),1,"")</f>
        <v/>
      </c>
      <c r="U255">
        <f>IF($T255=1,COUNTIF($T$9:$T255,1),"")</f>
        <v/>
      </c>
      <c r="V255">
        <f>IF(AND(ISTEXT($A255),LEFT($A256,3)="Pan"),1,"")</f>
        <v/>
      </c>
      <c r="W255" s="21">
        <f>IFERROR(MATCH(247,$U$9:$U$2008,0),"")</f>
        <v/>
      </c>
      <c r="X255" s="22">
        <f>IF($W255="","",IF($R$5&lt;&gt;"",$R$5,$R$6))</f>
        <v/>
      </c>
      <c r="Y255" s="22">
        <f>IF($W255="","",INDEX($S$9:$S$2008,$W255))</f>
        <v/>
      </c>
      <c r="Z255" s="22">
        <f>IF($W255="","",IFERROR(TRIM(LEFT(SUBSTITUTE(INDEX($A$9:$A$2008,$W255),CHAR(10)," "),SEARCH("Folio",SUBSTITUTE(INDEX($A$9:$A$2008,$W255),CHAR(10)," "))-1)),TRIM(SUBSTITUTE(INDEX($A$9:$A$2008,$W255),CHAR(10)," "))))</f>
        <v/>
      </c>
      <c r="AA255" s="22">
        <f>IF($W255="","",IFERROR(TRIM(SUBSTITUTE(MID(SUBSTITUTE(INDEX($A$9:$A$2008,$W255),CHAR(10)," "),SEARCH("Folio",SUBSTITUTE(INDEX($A$9:$A$2008,$W255),CHAR(10)," "))+5,200),":","")),""))</f>
        <v/>
      </c>
      <c r="AB255" s="23">
        <f>IF($W255="","",IF(ISNUMBER(INDEX($D$9:$D$2008,$W255)),INDEX($D$9:$D$2008,$W255),IFERROR(DATE(2000+VALUE(RIGHT(INDEX($D$9:$D$2008,$W255),2)),VALUE(MID(INDEX($D$9:$D$2008,$W255),4,2)),VALUE(LEFT(INDEX($D$9:$D$2008,$W255),2))),"")))</f>
        <v/>
      </c>
      <c r="AC255" s="24">
        <f>IF($W255="","",IFERROR(IF(ISNUMBER(INDEX($E$9:$E$2008,$W255)),INDEX($E$9:$E$2008,$W255),VALUE(SUBSTITUTE(INDEX($E$9:$E$2008,$W255),",",""))),""))</f>
        <v/>
      </c>
      <c r="AD255" s="24">
        <f>IF($W255="","",IFERROR(IF(ISNUMBER(INDEX($F$9:$F$2008,$W255)),INDEX($F$9:$F$2008,$W255),VALUE(SUBSTITUTE(INDEX($F$9:$F$2008,$W255),",",""))),""))</f>
        <v/>
      </c>
      <c r="AE255" s="24">
        <f>IF($W255="","",IFERROR(IF(ISNUMBER(INDEX($G$9:$G$2008,$W255)),INDEX($G$9:$G$2008,$W255),VALUE(SUBSTITUTE(INDEX($G$9:$G$2008,$W255),",",""))),""))</f>
        <v/>
      </c>
      <c r="AF255" s="24">
        <f>IF($W255="","",IFERROR(IF(ISNUMBER(INDEX($H$9:$H$2008,$W255)),INDEX($H$9:$H$2008,$W255),VALUE(SUBSTITUTE(INDEX($H$9:$H$2008,$W255),",",""))),""))</f>
        <v/>
      </c>
      <c r="AG255" s="24">
        <f>IF($W255="","",IFERROR(IF(ISNUMBER(INDEX($I$9:$I$2008,$W255)),INDEX($I$9:$I$2008,$W255),VALUE(SUBSTITUTE(INDEX($I$9:$I$2008,$W255),",",""))),""))</f>
        <v/>
      </c>
      <c r="AH255" s="24">
        <f>IF($W255="","",IFERROR(IF(ISNUMBER(INDEX($J$9:$J$2008,$W255)),INDEX($J$9:$J$2008,$W255),VALUE(SUBSTITUTE(INDEX($J$9:$J$2008,$W255),",",""))),""))</f>
        <v/>
      </c>
      <c r="AI255" s="24">
        <f>IF($W255="","",IFERROR(IF(ISNUMBER(INDEX($K$9:$K$2008,$W255)),INDEX($K$9:$K$2008,$W255),VALUE(SUBSTITUTE(INDEX($K$9:$K$2008,$W255),",",""))),""))</f>
        <v/>
      </c>
      <c r="AJ255" s="25">
        <f>IF($W255="","",IFERROR(IF(ISNUMBER(INDEX($L$9:$L$2008,$W255)),INDEX($L$9:$L$2008,$W255),VALUE(SUBSTITUTE(INDEX($L$9:$L$2008,$W255),",",""))),""))</f>
        <v/>
      </c>
      <c r="AK255" s="25">
        <f>IF($W255="","",IFERROR(IF(ISNUMBER(INDEX($M$9:$M$2008,$W255)),INDEX($M$9:$M$2008,$W255),VALUE(SUBSTITUTE(INDEX($M$9:$M$2008,$W255),",",""))),""))</f>
        <v/>
      </c>
      <c r="AL255" s="26">
        <f>IF($W255="","",IFERROR(IF(ISNUMBER(INDEX($P$9:$P$2008,$W255)),INDEX($P$9:$P$2008,$W255),VALUE(SUBSTITUTE(INDEX($P$9:$P$2008,$W255),"%",""))/100),""))</f>
        <v/>
      </c>
    </row>
    <row r="256">
      <c r="S256">
        <f>IF(AND(ISTEXT($A256),ISNUMBER(SEARCH(" - ",$A256)),ISERROR(SEARCH("Folio",$A256)),$D256=""),TRIM($A256),$S255)</f>
        <v/>
      </c>
      <c r="T256">
        <f>IF(AND(ISNUMBER(SEARCH("Folio",$A256)),$D256&lt;&gt;""),1,"")</f>
        <v/>
      </c>
      <c r="U256">
        <f>IF($T256=1,COUNTIF($T$9:$T256,1),"")</f>
        <v/>
      </c>
      <c r="V256">
        <f>IF(AND(ISTEXT($A256),LEFT($A257,3)="Pan"),1,"")</f>
        <v/>
      </c>
      <c r="W256" s="21">
        <f>IFERROR(MATCH(248,$U$9:$U$2008,0),"")</f>
        <v/>
      </c>
      <c r="X256" s="27">
        <f>IF($W256="","",IF($R$5&lt;&gt;"",$R$5,$R$6))</f>
        <v/>
      </c>
      <c r="Y256" s="27">
        <f>IF($W256="","",INDEX($S$9:$S$2008,$W256))</f>
        <v/>
      </c>
      <c r="Z256" s="27">
        <f>IF($W256="","",IFERROR(TRIM(LEFT(SUBSTITUTE(INDEX($A$9:$A$2008,$W256),CHAR(10)," "),SEARCH("Folio",SUBSTITUTE(INDEX($A$9:$A$2008,$W256),CHAR(10)," "))-1)),TRIM(SUBSTITUTE(INDEX($A$9:$A$2008,$W256),CHAR(10)," "))))</f>
        <v/>
      </c>
      <c r="AA256" s="27">
        <f>IF($W256="","",IFERROR(TRIM(SUBSTITUTE(MID(SUBSTITUTE(INDEX($A$9:$A$2008,$W256),CHAR(10)," "),SEARCH("Folio",SUBSTITUTE(INDEX($A$9:$A$2008,$W256),CHAR(10)," "))+5,200),":","")),""))</f>
        <v/>
      </c>
      <c r="AB256" s="28">
        <f>IF($W256="","",IF(ISNUMBER(INDEX($D$9:$D$2008,$W256)),INDEX($D$9:$D$2008,$W256),IFERROR(DATE(2000+VALUE(RIGHT(INDEX($D$9:$D$2008,$W256),2)),VALUE(MID(INDEX($D$9:$D$2008,$W256),4,2)),VALUE(LEFT(INDEX($D$9:$D$2008,$W256),2))),"")))</f>
        <v/>
      </c>
      <c r="AC256" s="29">
        <f>IF($W256="","",IFERROR(IF(ISNUMBER(INDEX($E$9:$E$2008,$W256)),INDEX($E$9:$E$2008,$W256),VALUE(SUBSTITUTE(INDEX($E$9:$E$2008,$W256),",",""))),""))</f>
        <v/>
      </c>
      <c r="AD256" s="29">
        <f>IF($W256="","",IFERROR(IF(ISNUMBER(INDEX($F$9:$F$2008,$W256)),INDEX($F$9:$F$2008,$W256),VALUE(SUBSTITUTE(INDEX($F$9:$F$2008,$W256),",",""))),""))</f>
        <v/>
      </c>
      <c r="AE256" s="29">
        <f>IF($W256="","",IFERROR(IF(ISNUMBER(INDEX($G$9:$G$2008,$W256)),INDEX($G$9:$G$2008,$W256),VALUE(SUBSTITUTE(INDEX($G$9:$G$2008,$W256),",",""))),""))</f>
        <v/>
      </c>
      <c r="AF256" s="29">
        <f>IF($W256="","",IFERROR(IF(ISNUMBER(INDEX($H$9:$H$2008,$W256)),INDEX($H$9:$H$2008,$W256),VALUE(SUBSTITUTE(INDEX($H$9:$H$2008,$W256),",",""))),""))</f>
        <v/>
      </c>
      <c r="AG256" s="29">
        <f>IF($W256="","",IFERROR(IF(ISNUMBER(INDEX($I$9:$I$2008,$W256)),INDEX($I$9:$I$2008,$W256),VALUE(SUBSTITUTE(INDEX($I$9:$I$2008,$W256),",",""))),""))</f>
        <v/>
      </c>
      <c r="AH256" s="29">
        <f>IF($W256="","",IFERROR(IF(ISNUMBER(INDEX($J$9:$J$2008,$W256)),INDEX($J$9:$J$2008,$W256),VALUE(SUBSTITUTE(INDEX($J$9:$J$2008,$W256),",",""))),""))</f>
        <v/>
      </c>
      <c r="AI256" s="29">
        <f>IF($W256="","",IFERROR(IF(ISNUMBER(INDEX($K$9:$K$2008,$W256)),INDEX($K$9:$K$2008,$W256),VALUE(SUBSTITUTE(INDEX($K$9:$K$2008,$W256),",",""))),""))</f>
        <v/>
      </c>
      <c r="AJ256" s="30">
        <f>IF($W256="","",IFERROR(IF(ISNUMBER(INDEX($L$9:$L$2008,$W256)),INDEX($L$9:$L$2008,$W256),VALUE(SUBSTITUTE(INDEX($L$9:$L$2008,$W256),",",""))),""))</f>
        <v/>
      </c>
      <c r="AK256" s="30">
        <f>IF($W256="","",IFERROR(IF(ISNUMBER(INDEX($M$9:$M$2008,$W256)),INDEX($M$9:$M$2008,$W256),VALUE(SUBSTITUTE(INDEX($M$9:$M$2008,$W256),",",""))),""))</f>
        <v/>
      </c>
      <c r="AL256" s="31">
        <f>IF($W256="","",IFERROR(IF(ISNUMBER(INDEX($P$9:$P$2008,$W256)),INDEX($P$9:$P$2008,$W256),VALUE(SUBSTITUTE(INDEX($P$9:$P$2008,$W256),"%",""))/100),""))</f>
        <v/>
      </c>
    </row>
    <row r="257">
      <c r="S257">
        <f>IF(AND(ISTEXT($A257),ISNUMBER(SEARCH(" - ",$A257)),ISERROR(SEARCH("Folio",$A257)),$D257=""),TRIM($A257),$S256)</f>
        <v/>
      </c>
      <c r="T257">
        <f>IF(AND(ISNUMBER(SEARCH("Folio",$A257)),$D257&lt;&gt;""),1,"")</f>
        <v/>
      </c>
      <c r="U257">
        <f>IF($T257=1,COUNTIF($T$9:$T257,1),"")</f>
        <v/>
      </c>
      <c r="V257">
        <f>IF(AND(ISTEXT($A257),LEFT($A258,3)="Pan"),1,"")</f>
        <v/>
      </c>
      <c r="W257" s="21">
        <f>IFERROR(MATCH(249,$U$9:$U$2008,0),"")</f>
        <v/>
      </c>
      <c r="X257" s="22">
        <f>IF($W257="","",IF($R$5&lt;&gt;"",$R$5,$R$6))</f>
        <v/>
      </c>
      <c r="Y257" s="22">
        <f>IF($W257="","",INDEX($S$9:$S$2008,$W257))</f>
        <v/>
      </c>
      <c r="Z257" s="22">
        <f>IF($W257="","",IFERROR(TRIM(LEFT(SUBSTITUTE(INDEX($A$9:$A$2008,$W257),CHAR(10)," "),SEARCH("Folio",SUBSTITUTE(INDEX($A$9:$A$2008,$W257),CHAR(10)," "))-1)),TRIM(SUBSTITUTE(INDEX($A$9:$A$2008,$W257),CHAR(10)," "))))</f>
        <v/>
      </c>
      <c r="AA257" s="22">
        <f>IF($W257="","",IFERROR(TRIM(SUBSTITUTE(MID(SUBSTITUTE(INDEX($A$9:$A$2008,$W257),CHAR(10)," "),SEARCH("Folio",SUBSTITUTE(INDEX($A$9:$A$2008,$W257),CHAR(10)," "))+5,200),":","")),""))</f>
        <v/>
      </c>
      <c r="AB257" s="23">
        <f>IF($W257="","",IF(ISNUMBER(INDEX($D$9:$D$2008,$W257)),INDEX($D$9:$D$2008,$W257),IFERROR(DATE(2000+VALUE(RIGHT(INDEX($D$9:$D$2008,$W257),2)),VALUE(MID(INDEX($D$9:$D$2008,$W257),4,2)),VALUE(LEFT(INDEX($D$9:$D$2008,$W257),2))),"")))</f>
        <v/>
      </c>
      <c r="AC257" s="24">
        <f>IF($W257="","",IFERROR(IF(ISNUMBER(INDEX($E$9:$E$2008,$W257)),INDEX($E$9:$E$2008,$W257),VALUE(SUBSTITUTE(INDEX($E$9:$E$2008,$W257),",",""))),""))</f>
        <v/>
      </c>
      <c r="AD257" s="24">
        <f>IF($W257="","",IFERROR(IF(ISNUMBER(INDEX($F$9:$F$2008,$W257)),INDEX($F$9:$F$2008,$W257),VALUE(SUBSTITUTE(INDEX($F$9:$F$2008,$W257),",",""))),""))</f>
        <v/>
      </c>
      <c r="AE257" s="24">
        <f>IF($W257="","",IFERROR(IF(ISNUMBER(INDEX($G$9:$G$2008,$W257)),INDEX($G$9:$G$2008,$W257),VALUE(SUBSTITUTE(INDEX($G$9:$G$2008,$W257),",",""))),""))</f>
        <v/>
      </c>
      <c r="AF257" s="24">
        <f>IF($W257="","",IFERROR(IF(ISNUMBER(INDEX($H$9:$H$2008,$W257)),INDEX($H$9:$H$2008,$W257),VALUE(SUBSTITUTE(INDEX($H$9:$H$2008,$W257),",",""))),""))</f>
        <v/>
      </c>
      <c r="AG257" s="24">
        <f>IF($W257="","",IFERROR(IF(ISNUMBER(INDEX($I$9:$I$2008,$W257)),INDEX($I$9:$I$2008,$W257),VALUE(SUBSTITUTE(INDEX($I$9:$I$2008,$W257),",",""))),""))</f>
        <v/>
      </c>
      <c r="AH257" s="24">
        <f>IF($W257="","",IFERROR(IF(ISNUMBER(INDEX($J$9:$J$2008,$W257)),INDEX($J$9:$J$2008,$W257),VALUE(SUBSTITUTE(INDEX($J$9:$J$2008,$W257),",",""))),""))</f>
        <v/>
      </c>
      <c r="AI257" s="24">
        <f>IF($W257="","",IFERROR(IF(ISNUMBER(INDEX($K$9:$K$2008,$W257)),INDEX($K$9:$K$2008,$W257),VALUE(SUBSTITUTE(INDEX($K$9:$K$2008,$W257),",",""))),""))</f>
        <v/>
      </c>
      <c r="AJ257" s="25">
        <f>IF($W257="","",IFERROR(IF(ISNUMBER(INDEX($L$9:$L$2008,$W257)),INDEX($L$9:$L$2008,$W257),VALUE(SUBSTITUTE(INDEX($L$9:$L$2008,$W257),",",""))),""))</f>
        <v/>
      </c>
      <c r="AK257" s="25">
        <f>IF($W257="","",IFERROR(IF(ISNUMBER(INDEX($M$9:$M$2008,$W257)),INDEX($M$9:$M$2008,$W257),VALUE(SUBSTITUTE(INDEX($M$9:$M$2008,$W257),",",""))),""))</f>
        <v/>
      </c>
      <c r="AL257" s="26">
        <f>IF($W257="","",IFERROR(IF(ISNUMBER(INDEX($P$9:$P$2008,$W257)),INDEX($P$9:$P$2008,$W257),VALUE(SUBSTITUTE(INDEX($P$9:$P$2008,$W257),"%",""))/100),""))</f>
        <v/>
      </c>
    </row>
    <row r="258">
      <c r="S258">
        <f>IF(AND(ISTEXT($A258),ISNUMBER(SEARCH(" - ",$A258)),ISERROR(SEARCH("Folio",$A258)),$D258=""),TRIM($A258),$S257)</f>
        <v/>
      </c>
      <c r="T258">
        <f>IF(AND(ISNUMBER(SEARCH("Folio",$A258)),$D258&lt;&gt;""),1,"")</f>
        <v/>
      </c>
      <c r="U258">
        <f>IF($T258=1,COUNTIF($T$9:$T258,1),"")</f>
        <v/>
      </c>
      <c r="V258">
        <f>IF(AND(ISTEXT($A258),LEFT($A259,3)="Pan"),1,"")</f>
        <v/>
      </c>
      <c r="W258" s="21">
        <f>IFERROR(MATCH(250,$U$9:$U$2008,0),"")</f>
        <v/>
      </c>
      <c r="X258" s="27">
        <f>IF($W258="","",IF($R$5&lt;&gt;"",$R$5,$R$6))</f>
        <v/>
      </c>
      <c r="Y258" s="27">
        <f>IF($W258="","",INDEX($S$9:$S$2008,$W258))</f>
        <v/>
      </c>
      <c r="Z258" s="27">
        <f>IF($W258="","",IFERROR(TRIM(LEFT(SUBSTITUTE(INDEX($A$9:$A$2008,$W258),CHAR(10)," "),SEARCH("Folio",SUBSTITUTE(INDEX($A$9:$A$2008,$W258),CHAR(10)," "))-1)),TRIM(SUBSTITUTE(INDEX($A$9:$A$2008,$W258),CHAR(10)," "))))</f>
        <v/>
      </c>
      <c r="AA258" s="27">
        <f>IF($W258="","",IFERROR(TRIM(SUBSTITUTE(MID(SUBSTITUTE(INDEX($A$9:$A$2008,$W258),CHAR(10)," "),SEARCH("Folio",SUBSTITUTE(INDEX($A$9:$A$2008,$W258),CHAR(10)," "))+5,200),":","")),""))</f>
        <v/>
      </c>
      <c r="AB258" s="28">
        <f>IF($W258="","",IF(ISNUMBER(INDEX($D$9:$D$2008,$W258)),INDEX($D$9:$D$2008,$W258),IFERROR(DATE(2000+VALUE(RIGHT(INDEX($D$9:$D$2008,$W258),2)),VALUE(MID(INDEX($D$9:$D$2008,$W258),4,2)),VALUE(LEFT(INDEX($D$9:$D$2008,$W258),2))),"")))</f>
        <v/>
      </c>
      <c r="AC258" s="29">
        <f>IF($W258="","",IFERROR(IF(ISNUMBER(INDEX($E$9:$E$2008,$W258)),INDEX($E$9:$E$2008,$W258),VALUE(SUBSTITUTE(INDEX($E$9:$E$2008,$W258),",",""))),""))</f>
        <v/>
      </c>
      <c r="AD258" s="29">
        <f>IF($W258="","",IFERROR(IF(ISNUMBER(INDEX($F$9:$F$2008,$W258)),INDEX($F$9:$F$2008,$W258),VALUE(SUBSTITUTE(INDEX($F$9:$F$2008,$W258),",",""))),""))</f>
        <v/>
      </c>
      <c r="AE258" s="29">
        <f>IF($W258="","",IFERROR(IF(ISNUMBER(INDEX($G$9:$G$2008,$W258)),INDEX($G$9:$G$2008,$W258),VALUE(SUBSTITUTE(INDEX($G$9:$G$2008,$W258),",",""))),""))</f>
        <v/>
      </c>
      <c r="AF258" s="29">
        <f>IF($W258="","",IFERROR(IF(ISNUMBER(INDEX($H$9:$H$2008,$W258)),INDEX($H$9:$H$2008,$W258),VALUE(SUBSTITUTE(INDEX($H$9:$H$2008,$W258),",",""))),""))</f>
        <v/>
      </c>
      <c r="AG258" s="29">
        <f>IF($W258="","",IFERROR(IF(ISNUMBER(INDEX($I$9:$I$2008,$W258)),INDEX($I$9:$I$2008,$W258),VALUE(SUBSTITUTE(INDEX($I$9:$I$2008,$W258),",",""))),""))</f>
        <v/>
      </c>
      <c r="AH258" s="29">
        <f>IF($W258="","",IFERROR(IF(ISNUMBER(INDEX($J$9:$J$2008,$W258)),INDEX($J$9:$J$2008,$W258),VALUE(SUBSTITUTE(INDEX($J$9:$J$2008,$W258),",",""))),""))</f>
        <v/>
      </c>
      <c r="AI258" s="29">
        <f>IF($W258="","",IFERROR(IF(ISNUMBER(INDEX($K$9:$K$2008,$W258)),INDEX($K$9:$K$2008,$W258),VALUE(SUBSTITUTE(INDEX($K$9:$K$2008,$W258),",",""))),""))</f>
        <v/>
      </c>
      <c r="AJ258" s="30">
        <f>IF($W258="","",IFERROR(IF(ISNUMBER(INDEX($L$9:$L$2008,$W258)),INDEX($L$9:$L$2008,$W258),VALUE(SUBSTITUTE(INDEX($L$9:$L$2008,$W258),",",""))),""))</f>
        <v/>
      </c>
      <c r="AK258" s="30">
        <f>IF($W258="","",IFERROR(IF(ISNUMBER(INDEX($M$9:$M$2008,$W258)),INDEX($M$9:$M$2008,$W258),VALUE(SUBSTITUTE(INDEX($M$9:$M$2008,$W258),",",""))),""))</f>
        <v/>
      </c>
      <c r="AL258" s="31">
        <f>IF($W258="","",IFERROR(IF(ISNUMBER(INDEX($P$9:$P$2008,$W258)),INDEX($P$9:$P$2008,$W258),VALUE(SUBSTITUTE(INDEX($P$9:$P$2008,$W258),"%",""))/100),""))</f>
        <v/>
      </c>
    </row>
    <row r="259">
      <c r="S259">
        <f>IF(AND(ISTEXT($A259),ISNUMBER(SEARCH(" - ",$A259)),ISERROR(SEARCH("Folio",$A259)),$D259=""),TRIM($A259),$S258)</f>
        <v/>
      </c>
      <c r="T259">
        <f>IF(AND(ISNUMBER(SEARCH("Folio",$A259)),$D259&lt;&gt;""),1,"")</f>
        <v/>
      </c>
      <c r="U259">
        <f>IF($T259=1,COUNTIF($T$9:$T259,1),"")</f>
        <v/>
      </c>
      <c r="V259">
        <f>IF(AND(ISTEXT($A259),LEFT($A260,3)="Pan"),1,"")</f>
        <v/>
      </c>
      <c r="W259" s="21">
        <f>IFERROR(MATCH(251,$U$9:$U$2008,0),"")</f>
        <v/>
      </c>
      <c r="X259" s="22">
        <f>IF($W259="","",IF($R$5&lt;&gt;"",$R$5,$R$6))</f>
        <v/>
      </c>
      <c r="Y259" s="22">
        <f>IF($W259="","",INDEX($S$9:$S$2008,$W259))</f>
        <v/>
      </c>
      <c r="Z259" s="22">
        <f>IF($W259="","",IFERROR(TRIM(LEFT(SUBSTITUTE(INDEX($A$9:$A$2008,$W259),CHAR(10)," "),SEARCH("Folio",SUBSTITUTE(INDEX($A$9:$A$2008,$W259),CHAR(10)," "))-1)),TRIM(SUBSTITUTE(INDEX($A$9:$A$2008,$W259),CHAR(10)," "))))</f>
        <v/>
      </c>
      <c r="AA259" s="22">
        <f>IF($W259="","",IFERROR(TRIM(SUBSTITUTE(MID(SUBSTITUTE(INDEX($A$9:$A$2008,$W259),CHAR(10)," "),SEARCH("Folio",SUBSTITUTE(INDEX($A$9:$A$2008,$W259),CHAR(10)," "))+5,200),":","")),""))</f>
        <v/>
      </c>
      <c r="AB259" s="23">
        <f>IF($W259="","",IF(ISNUMBER(INDEX($D$9:$D$2008,$W259)),INDEX($D$9:$D$2008,$W259),IFERROR(DATE(2000+VALUE(RIGHT(INDEX($D$9:$D$2008,$W259),2)),VALUE(MID(INDEX($D$9:$D$2008,$W259),4,2)),VALUE(LEFT(INDEX($D$9:$D$2008,$W259),2))),"")))</f>
        <v/>
      </c>
      <c r="AC259" s="24">
        <f>IF($W259="","",IFERROR(IF(ISNUMBER(INDEX($E$9:$E$2008,$W259)),INDEX($E$9:$E$2008,$W259),VALUE(SUBSTITUTE(INDEX($E$9:$E$2008,$W259),",",""))),""))</f>
        <v/>
      </c>
      <c r="AD259" s="24">
        <f>IF($W259="","",IFERROR(IF(ISNUMBER(INDEX($F$9:$F$2008,$W259)),INDEX($F$9:$F$2008,$W259),VALUE(SUBSTITUTE(INDEX($F$9:$F$2008,$W259),",",""))),""))</f>
        <v/>
      </c>
      <c r="AE259" s="24">
        <f>IF($W259="","",IFERROR(IF(ISNUMBER(INDEX($G$9:$G$2008,$W259)),INDEX($G$9:$G$2008,$W259),VALUE(SUBSTITUTE(INDEX($G$9:$G$2008,$W259),",",""))),""))</f>
        <v/>
      </c>
      <c r="AF259" s="24">
        <f>IF($W259="","",IFERROR(IF(ISNUMBER(INDEX($H$9:$H$2008,$W259)),INDEX($H$9:$H$2008,$W259),VALUE(SUBSTITUTE(INDEX($H$9:$H$2008,$W259),",",""))),""))</f>
        <v/>
      </c>
      <c r="AG259" s="24">
        <f>IF($W259="","",IFERROR(IF(ISNUMBER(INDEX($I$9:$I$2008,$W259)),INDEX($I$9:$I$2008,$W259),VALUE(SUBSTITUTE(INDEX($I$9:$I$2008,$W259),",",""))),""))</f>
        <v/>
      </c>
      <c r="AH259" s="24">
        <f>IF($W259="","",IFERROR(IF(ISNUMBER(INDEX($J$9:$J$2008,$W259)),INDEX($J$9:$J$2008,$W259),VALUE(SUBSTITUTE(INDEX($J$9:$J$2008,$W259),",",""))),""))</f>
        <v/>
      </c>
      <c r="AI259" s="24">
        <f>IF($W259="","",IFERROR(IF(ISNUMBER(INDEX($K$9:$K$2008,$W259)),INDEX($K$9:$K$2008,$W259),VALUE(SUBSTITUTE(INDEX($K$9:$K$2008,$W259),",",""))),""))</f>
        <v/>
      </c>
      <c r="AJ259" s="25">
        <f>IF($W259="","",IFERROR(IF(ISNUMBER(INDEX($L$9:$L$2008,$W259)),INDEX($L$9:$L$2008,$W259),VALUE(SUBSTITUTE(INDEX($L$9:$L$2008,$W259),",",""))),""))</f>
        <v/>
      </c>
      <c r="AK259" s="25">
        <f>IF($W259="","",IFERROR(IF(ISNUMBER(INDEX($M$9:$M$2008,$W259)),INDEX($M$9:$M$2008,$W259),VALUE(SUBSTITUTE(INDEX($M$9:$M$2008,$W259),",",""))),""))</f>
        <v/>
      </c>
      <c r="AL259" s="26">
        <f>IF($W259="","",IFERROR(IF(ISNUMBER(INDEX($P$9:$P$2008,$W259)),INDEX($P$9:$P$2008,$W259),VALUE(SUBSTITUTE(INDEX($P$9:$P$2008,$W259),"%",""))/100),""))</f>
        <v/>
      </c>
    </row>
    <row r="260">
      <c r="S260">
        <f>IF(AND(ISTEXT($A260),ISNUMBER(SEARCH(" - ",$A260)),ISERROR(SEARCH("Folio",$A260)),$D260=""),TRIM($A260),$S259)</f>
        <v/>
      </c>
      <c r="T260">
        <f>IF(AND(ISNUMBER(SEARCH("Folio",$A260)),$D260&lt;&gt;""),1,"")</f>
        <v/>
      </c>
      <c r="U260">
        <f>IF($T260=1,COUNTIF($T$9:$T260,1),"")</f>
        <v/>
      </c>
      <c r="V260">
        <f>IF(AND(ISTEXT($A260),LEFT($A261,3)="Pan"),1,"")</f>
        <v/>
      </c>
      <c r="W260" s="21">
        <f>IFERROR(MATCH(252,$U$9:$U$2008,0),"")</f>
        <v/>
      </c>
      <c r="X260" s="27">
        <f>IF($W260="","",IF($R$5&lt;&gt;"",$R$5,$R$6))</f>
        <v/>
      </c>
      <c r="Y260" s="27">
        <f>IF($W260="","",INDEX($S$9:$S$2008,$W260))</f>
        <v/>
      </c>
      <c r="Z260" s="27">
        <f>IF($W260="","",IFERROR(TRIM(LEFT(SUBSTITUTE(INDEX($A$9:$A$2008,$W260),CHAR(10)," "),SEARCH("Folio",SUBSTITUTE(INDEX($A$9:$A$2008,$W260),CHAR(10)," "))-1)),TRIM(SUBSTITUTE(INDEX($A$9:$A$2008,$W260),CHAR(10)," "))))</f>
        <v/>
      </c>
      <c r="AA260" s="27">
        <f>IF($W260="","",IFERROR(TRIM(SUBSTITUTE(MID(SUBSTITUTE(INDEX($A$9:$A$2008,$W260),CHAR(10)," "),SEARCH("Folio",SUBSTITUTE(INDEX($A$9:$A$2008,$W260),CHAR(10)," "))+5,200),":","")),""))</f>
        <v/>
      </c>
      <c r="AB260" s="28">
        <f>IF($W260="","",IF(ISNUMBER(INDEX($D$9:$D$2008,$W260)),INDEX($D$9:$D$2008,$W260),IFERROR(DATE(2000+VALUE(RIGHT(INDEX($D$9:$D$2008,$W260),2)),VALUE(MID(INDEX($D$9:$D$2008,$W260),4,2)),VALUE(LEFT(INDEX($D$9:$D$2008,$W260),2))),"")))</f>
        <v/>
      </c>
      <c r="AC260" s="29">
        <f>IF($W260="","",IFERROR(IF(ISNUMBER(INDEX($E$9:$E$2008,$W260)),INDEX($E$9:$E$2008,$W260),VALUE(SUBSTITUTE(INDEX($E$9:$E$2008,$W260),",",""))),""))</f>
        <v/>
      </c>
      <c r="AD260" s="29">
        <f>IF($W260="","",IFERROR(IF(ISNUMBER(INDEX($F$9:$F$2008,$W260)),INDEX($F$9:$F$2008,$W260),VALUE(SUBSTITUTE(INDEX($F$9:$F$2008,$W260),",",""))),""))</f>
        <v/>
      </c>
      <c r="AE260" s="29">
        <f>IF($W260="","",IFERROR(IF(ISNUMBER(INDEX($G$9:$G$2008,$W260)),INDEX($G$9:$G$2008,$W260),VALUE(SUBSTITUTE(INDEX($G$9:$G$2008,$W260),",",""))),""))</f>
        <v/>
      </c>
      <c r="AF260" s="29">
        <f>IF($W260="","",IFERROR(IF(ISNUMBER(INDEX($H$9:$H$2008,$W260)),INDEX($H$9:$H$2008,$W260),VALUE(SUBSTITUTE(INDEX($H$9:$H$2008,$W260),",",""))),""))</f>
        <v/>
      </c>
      <c r="AG260" s="29">
        <f>IF($W260="","",IFERROR(IF(ISNUMBER(INDEX($I$9:$I$2008,$W260)),INDEX($I$9:$I$2008,$W260),VALUE(SUBSTITUTE(INDEX($I$9:$I$2008,$W260),",",""))),""))</f>
        <v/>
      </c>
      <c r="AH260" s="29">
        <f>IF($W260="","",IFERROR(IF(ISNUMBER(INDEX($J$9:$J$2008,$W260)),INDEX($J$9:$J$2008,$W260),VALUE(SUBSTITUTE(INDEX($J$9:$J$2008,$W260),",",""))),""))</f>
        <v/>
      </c>
      <c r="AI260" s="29">
        <f>IF($W260="","",IFERROR(IF(ISNUMBER(INDEX($K$9:$K$2008,$W260)),INDEX($K$9:$K$2008,$W260),VALUE(SUBSTITUTE(INDEX($K$9:$K$2008,$W260),",",""))),""))</f>
        <v/>
      </c>
      <c r="AJ260" s="30">
        <f>IF($W260="","",IFERROR(IF(ISNUMBER(INDEX($L$9:$L$2008,$W260)),INDEX($L$9:$L$2008,$W260),VALUE(SUBSTITUTE(INDEX($L$9:$L$2008,$W260),",",""))),""))</f>
        <v/>
      </c>
      <c r="AK260" s="30">
        <f>IF($W260="","",IFERROR(IF(ISNUMBER(INDEX($M$9:$M$2008,$W260)),INDEX($M$9:$M$2008,$W260),VALUE(SUBSTITUTE(INDEX($M$9:$M$2008,$W260),",",""))),""))</f>
        <v/>
      </c>
      <c r="AL260" s="31">
        <f>IF($W260="","",IFERROR(IF(ISNUMBER(INDEX($P$9:$P$2008,$W260)),INDEX($P$9:$P$2008,$W260),VALUE(SUBSTITUTE(INDEX($P$9:$P$2008,$W260),"%",""))/100),""))</f>
        <v/>
      </c>
    </row>
    <row r="261">
      <c r="S261">
        <f>IF(AND(ISTEXT($A261),ISNUMBER(SEARCH(" - ",$A261)),ISERROR(SEARCH("Folio",$A261)),$D261=""),TRIM($A261),$S260)</f>
        <v/>
      </c>
      <c r="T261">
        <f>IF(AND(ISNUMBER(SEARCH("Folio",$A261)),$D261&lt;&gt;""),1,"")</f>
        <v/>
      </c>
      <c r="U261">
        <f>IF($T261=1,COUNTIF($T$9:$T261,1),"")</f>
        <v/>
      </c>
      <c r="V261">
        <f>IF(AND(ISTEXT($A261),LEFT($A262,3)="Pan"),1,"")</f>
        <v/>
      </c>
      <c r="W261" s="21">
        <f>IFERROR(MATCH(253,$U$9:$U$2008,0),"")</f>
        <v/>
      </c>
      <c r="X261" s="22">
        <f>IF($W261="","",IF($R$5&lt;&gt;"",$R$5,$R$6))</f>
        <v/>
      </c>
      <c r="Y261" s="22">
        <f>IF($W261="","",INDEX($S$9:$S$2008,$W261))</f>
        <v/>
      </c>
      <c r="Z261" s="22">
        <f>IF($W261="","",IFERROR(TRIM(LEFT(SUBSTITUTE(INDEX($A$9:$A$2008,$W261),CHAR(10)," "),SEARCH("Folio",SUBSTITUTE(INDEX($A$9:$A$2008,$W261),CHAR(10)," "))-1)),TRIM(SUBSTITUTE(INDEX($A$9:$A$2008,$W261),CHAR(10)," "))))</f>
        <v/>
      </c>
      <c r="AA261" s="22">
        <f>IF($W261="","",IFERROR(TRIM(SUBSTITUTE(MID(SUBSTITUTE(INDEX($A$9:$A$2008,$W261),CHAR(10)," "),SEARCH("Folio",SUBSTITUTE(INDEX($A$9:$A$2008,$W261),CHAR(10)," "))+5,200),":","")),""))</f>
        <v/>
      </c>
      <c r="AB261" s="23">
        <f>IF($W261="","",IF(ISNUMBER(INDEX($D$9:$D$2008,$W261)),INDEX($D$9:$D$2008,$W261),IFERROR(DATE(2000+VALUE(RIGHT(INDEX($D$9:$D$2008,$W261),2)),VALUE(MID(INDEX($D$9:$D$2008,$W261),4,2)),VALUE(LEFT(INDEX($D$9:$D$2008,$W261),2))),"")))</f>
        <v/>
      </c>
      <c r="AC261" s="24">
        <f>IF($W261="","",IFERROR(IF(ISNUMBER(INDEX($E$9:$E$2008,$W261)),INDEX($E$9:$E$2008,$W261),VALUE(SUBSTITUTE(INDEX($E$9:$E$2008,$W261),",",""))),""))</f>
        <v/>
      </c>
      <c r="AD261" s="24">
        <f>IF($W261="","",IFERROR(IF(ISNUMBER(INDEX($F$9:$F$2008,$W261)),INDEX($F$9:$F$2008,$W261),VALUE(SUBSTITUTE(INDEX($F$9:$F$2008,$W261),",",""))),""))</f>
        <v/>
      </c>
      <c r="AE261" s="24">
        <f>IF($W261="","",IFERROR(IF(ISNUMBER(INDEX($G$9:$G$2008,$W261)),INDEX($G$9:$G$2008,$W261),VALUE(SUBSTITUTE(INDEX($G$9:$G$2008,$W261),",",""))),""))</f>
        <v/>
      </c>
      <c r="AF261" s="24">
        <f>IF($W261="","",IFERROR(IF(ISNUMBER(INDEX($H$9:$H$2008,$W261)),INDEX($H$9:$H$2008,$W261),VALUE(SUBSTITUTE(INDEX($H$9:$H$2008,$W261),",",""))),""))</f>
        <v/>
      </c>
      <c r="AG261" s="24">
        <f>IF($W261="","",IFERROR(IF(ISNUMBER(INDEX($I$9:$I$2008,$W261)),INDEX($I$9:$I$2008,$W261),VALUE(SUBSTITUTE(INDEX($I$9:$I$2008,$W261),",",""))),""))</f>
        <v/>
      </c>
      <c r="AH261" s="24">
        <f>IF($W261="","",IFERROR(IF(ISNUMBER(INDEX($J$9:$J$2008,$W261)),INDEX($J$9:$J$2008,$W261),VALUE(SUBSTITUTE(INDEX($J$9:$J$2008,$W261),",",""))),""))</f>
        <v/>
      </c>
      <c r="AI261" s="24">
        <f>IF($W261="","",IFERROR(IF(ISNUMBER(INDEX($K$9:$K$2008,$W261)),INDEX($K$9:$K$2008,$W261),VALUE(SUBSTITUTE(INDEX($K$9:$K$2008,$W261),",",""))),""))</f>
        <v/>
      </c>
      <c r="AJ261" s="25">
        <f>IF($W261="","",IFERROR(IF(ISNUMBER(INDEX($L$9:$L$2008,$W261)),INDEX($L$9:$L$2008,$W261),VALUE(SUBSTITUTE(INDEX($L$9:$L$2008,$W261),",",""))),""))</f>
        <v/>
      </c>
      <c r="AK261" s="25">
        <f>IF($W261="","",IFERROR(IF(ISNUMBER(INDEX($M$9:$M$2008,$W261)),INDEX($M$9:$M$2008,$W261),VALUE(SUBSTITUTE(INDEX($M$9:$M$2008,$W261),",",""))),""))</f>
        <v/>
      </c>
      <c r="AL261" s="26">
        <f>IF($W261="","",IFERROR(IF(ISNUMBER(INDEX($P$9:$P$2008,$W261)),INDEX($P$9:$P$2008,$W261),VALUE(SUBSTITUTE(INDEX($P$9:$P$2008,$W261),"%",""))/100),""))</f>
        <v/>
      </c>
    </row>
    <row r="262">
      <c r="S262">
        <f>IF(AND(ISTEXT($A262),ISNUMBER(SEARCH(" - ",$A262)),ISERROR(SEARCH("Folio",$A262)),$D262=""),TRIM($A262),$S261)</f>
        <v/>
      </c>
      <c r="T262">
        <f>IF(AND(ISNUMBER(SEARCH("Folio",$A262)),$D262&lt;&gt;""),1,"")</f>
        <v/>
      </c>
      <c r="U262">
        <f>IF($T262=1,COUNTIF($T$9:$T262,1),"")</f>
        <v/>
      </c>
      <c r="V262">
        <f>IF(AND(ISTEXT($A262),LEFT($A263,3)="Pan"),1,"")</f>
        <v/>
      </c>
      <c r="W262" s="21">
        <f>IFERROR(MATCH(254,$U$9:$U$2008,0),"")</f>
        <v/>
      </c>
      <c r="X262" s="27">
        <f>IF($W262="","",IF($R$5&lt;&gt;"",$R$5,$R$6))</f>
        <v/>
      </c>
      <c r="Y262" s="27">
        <f>IF($W262="","",INDEX($S$9:$S$2008,$W262))</f>
        <v/>
      </c>
      <c r="Z262" s="27">
        <f>IF($W262="","",IFERROR(TRIM(LEFT(SUBSTITUTE(INDEX($A$9:$A$2008,$W262),CHAR(10)," "),SEARCH("Folio",SUBSTITUTE(INDEX($A$9:$A$2008,$W262),CHAR(10)," "))-1)),TRIM(SUBSTITUTE(INDEX($A$9:$A$2008,$W262),CHAR(10)," "))))</f>
        <v/>
      </c>
      <c r="AA262" s="27">
        <f>IF($W262="","",IFERROR(TRIM(SUBSTITUTE(MID(SUBSTITUTE(INDEX($A$9:$A$2008,$W262),CHAR(10)," "),SEARCH("Folio",SUBSTITUTE(INDEX($A$9:$A$2008,$W262),CHAR(10)," "))+5,200),":","")),""))</f>
        <v/>
      </c>
      <c r="AB262" s="28">
        <f>IF($W262="","",IF(ISNUMBER(INDEX($D$9:$D$2008,$W262)),INDEX($D$9:$D$2008,$W262),IFERROR(DATE(2000+VALUE(RIGHT(INDEX($D$9:$D$2008,$W262),2)),VALUE(MID(INDEX($D$9:$D$2008,$W262),4,2)),VALUE(LEFT(INDEX($D$9:$D$2008,$W262),2))),"")))</f>
        <v/>
      </c>
      <c r="AC262" s="29">
        <f>IF($W262="","",IFERROR(IF(ISNUMBER(INDEX($E$9:$E$2008,$W262)),INDEX($E$9:$E$2008,$W262),VALUE(SUBSTITUTE(INDEX($E$9:$E$2008,$W262),",",""))),""))</f>
        <v/>
      </c>
      <c r="AD262" s="29">
        <f>IF($W262="","",IFERROR(IF(ISNUMBER(INDEX($F$9:$F$2008,$W262)),INDEX($F$9:$F$2008,$W262),VALUE(SUBSTITUTE(INDEX($F$9:$F$2008,$W262),",",""))),""))</f>
        <v/>
      </c>
      <c r="AE262" s="29">
        <f>IF($W262="","",IFERROR(IF(ISNUMBER(INDEX($G$9:$G$2008,$W262)),INDEX($G$9:$G$2008,$W262),VALUE(SUBSTITUTE(INDEX($G$9:$G$2008,$W262),",",""))),""))</f>
        <v/>
      </c>
      <c r="AF262" s="29">
        <f>IF($W262="","",IFERROR(IF(ISNUMBER(INDEX($H$9:$H$2008,$W262)),INDEX($H$9:$H$2008,$W262),VALUE(SUBSTITUTE(INDEX($H$9:$H$2008,$W262),",",""))),""))</f>
        <v/>
      </c>
      <c r="AG262" s="29">
        <f>IF($W262="","",IFERROR(IF(ISNUMBER(INDEX($I$9:$I$2008,$W262)),INDEX($I$9:$I$2008,$W262),VALUE(SUBSTITUTE(INDEX($I$9:$I$2008,$W262),",",""))),""))</f>
        <v/>
      </c>
      <c r="AH262" s="29">
        <f>IF($W262="","",IFERROR(IF(ISNUMBER(INDEX($J$9:$J$2008,$W262)),INDEX($J$9:$J$2008,$W262),VALUE(SUBSTITUTE(INDEX($J$9:$J$2008,$W262),",",""))),""))</f>
        <v/>
      </c>
      <c r="AI262" s="29">
        <f>IF($W262="","",IFERROR(IF(ISNUMBER(INDEX($K$9:$K$2008,$W262)),INDEX($K$9:$K$2008,$W262),VALUE(SUBSTITUTE(INDEX($K$9:$K$2008,$W262),",",""))),""))</f>
        <v/>
      </c>
      <c r="AJ262" s="30">
        <f>IF($W262="","",IFERROR(IF(ISNUMBER(INDEX($L$9:$L$2008,$W262)),INDEX($L$9:$L$2008,$W262),VALUE(SUBSTITUTE(INDEX($L$9:$L$2008,$W262),",",""))),""))</f>
        <v/>
      </c>
      <c r="AK262" s="30">
        <f>IF($W262="","",IFERROR(IF(ISNUMBER(INDEX($M$9:$M$2008,$W262)),INDEX($M$9:$M$2008,$W262),VALUE(SUBSTITUTE(INDEX($M$9:$M$2008,$W262),",",""))),""))</f>
        <v/>
      </c>
      <c r="AL262" s="31">
        <f>IF($W262="","",IFERROR(IF(ISNUMBER(INDEX($P$9:$P$2008,$W262)),INDEX($P$9:$P$2008,$W262),VALUE(SUBSTITUTE(INDEX($P$9:$P$2008,$W262),"%",""))/100),""))</f>
        <v/>
      </c>
    </row>
    <row r="263">
      <c r="S263">
        <f>IF(AND(ISTEXT($A263),ISNUMBER(SEARCH(" - ",$A263)),ISERROR(SEARCH("Folio",$A263)),$D263=""),TRIM($A263),$S262)</f>
        <v/>
      </c>
      <c r="T263">
        <f>IF(AND(ISNUMBER(SEARCH("Folio",$A263)),$D263&lt;&gt;""),1,"")</f>
        <v/>
      </c>
      <c r="U263">
        <f>IF($T263=1,COUNTIF($T$9:$T263,1),"")</f>
        <v/>
      </c>
      <c r="V263">
        <f>IF(AND(ISTEXT($A263),LEFT($A264,3)="Pan"),1,"")</f>
        <v/>
      </c>
      <c r="W263" s="21">
        <f>IFERROR(MATCH(255,$U$9:$U$2008,0),"")</f>
        <v/>
      </c>
      <c r="X263" s="22">
        <f>IF($W263="","",IF($R$5&lt;&gt;"",$R$5,$R$6))</f>
        <v/>
      </c>
      <c r="Y263" s="22">
        <f>IF($W263="","",INDEX($S$9:$S$2008,$W263))</f>
        <v/>
      </c>
      <c r="Z263" s="22">
        <f>IF($W263="","",IFERROR(TRIM(LEFT(SUBSTITUTE(INDEX($A$9:$A$2008,$W263),CHAR(10)," "),SEARCH("Folio",SUBSTITUTE(INDEX($A$9:$A$2008,$W263),CHAR(10)," "))-1)),TRIM(SUBSTITUTE(INDEX($A$9:$A$2008,$W263),CHAR(10)," "))))</f>
        <v/>
      </c>
      <c r="AA263" s="22">
        <f>IF($W263="","",IFERROR(TRIM(SUBSTITUTE(MID(SUBSTITUTE(INDEX($A$9:$A$2008,$W263),CHAR(10)," "),SEARCH("Folio",SUBSTITUTE(INDEX($A$9:$A$2008,$W263),CHAR(10)," "))+5,200),":","")),""))</f>
        <v/>
      </c>
      <c r="AB263" s="23">
        <f>IF($W263="","",IF(ISNUMBER(INDEX($D$9:$D$2008,$W263)),INDEX($D$9:$D$2008,$W263),IFERROR(DATE(2000+VALUE(RIGHT(INDEX($D$9:$D$2008,$W263),2)),VALUE(MID(INDEX($D$9:$D$2008,$W263),4,2)),VALUE(LEFT(INDEX($D$9:$D$2008,$W263),2))),"")))</f>
        <v/>
      </c>
      <c r="AC263" s="24">
        <f>IF($W263="","",IFERROR(IF(ISNUMBER(INDEX($E$9:$E$2008,$W263)),INDEX($E$9:$E$2008,$W263),VALUE(SUBSTITUTE(INDEX($E$9:$E$2008,$W263),",",""))),""))</f>
        <v/>
      </c>
      <c r="AD263" s="24">
        <f>IF($W263="","",IFERROR(IF(ISNUMBER(INDEX($F$9:$F$2008,$W263)),INDEX($F$9:$F$2008,$W263),VALUE(SUBSTITUTE(INDEX($F$9:$F$2008,$W263),",",""))),""))</f>
        <v/>
      </c>
      <c r="AE263" s="24">
        <f>IF($W263="","",IFERROR(IF(ISNUMBER(INDEX($G$9:$G$2008,$W263)),INDEX($G$9:$G$2008,$W263),VALUE(SUBSTITUTE(INDEX($G$9:$G$2008,$W263),",",""))),""))</f>
        <v/>
      </c>
      <c r="AF263" s="24">
        <f>IF($W263="","",IFERROR(IF(ISNUMBER(INDEX($H$9:$H$2008,$W263)),INDEX($H$9:$H$2008,$W263),VALUE(SUBSTITUTE(INDEX($H$9:$H$2008,$W263),",",""))),""))</f>
        <v/>
      </c>
      <c r="AG263" s="24">
        <f>IF($W263="","",IFERROR(IF(ISNUMBER(INDEX($I$9:$I$2008,$W263)),INDEX($I$9:$I$2008,$W263),VALUE(SUBSTITUTE(INDEX($I$9:$I$2008,$W263),",",""))),""))</f>
        <v/>
      </c>
      <c r="AH263" s="24">
        <f>IF($W263="","",IFERROR(IF(ISNUMBER(INDEX($J$9:$J$2008,$W263)),INDEX($J$9:$J$2008,$W263),VALUE(SUBSTITUTE(INDEX($J$9:$J$2008,$W263),",",""))),""))</f>
        <v/>
      </c>
      <c r="AI263" s="24">
        <f>IF($W263="","",IFERROR(IF(ISNUMBER(INDEX($K$9:$K$2008,$W263)),INDEX($K$9:$K$2008,$W263),VALUE(SUBSTITUTE(INDEX($K$9:$K$2008,$W263),",",""))),""))</f>
        <v/>
      </c>
      <c r="AJ263" s="25">
        <f>IF($W263="","",IFERROR(IF(ISNUMBER(INDEX($L$9:$L$2008,$W263)),INDEX($L$9:$L$2008,$W263),VALUE(SUBSTITUTE(INDEX($L$9:$L$2008,$W263),",",""))),""))</f>
        <v/>
      </c>
      <c r="AK263" s="25">
        <f>IF($W263="","",IFERROR(IF(ISNUMBER(INDEX($M$9:$M$2008,$W263)),INDEX($M$9:$M$2008,$W263),VALUE(SUBSTITUTE(INDEX($M$9:$M$2008,$W263),",",""))),""))</f>
        <v/>
      </c>
      <c r="AL263" s="26">
        <f>IF($W263="","",IFERROR(IF(ISNUMBER(INDEX($P$9:$P$2008,$W263)),INDEX($P$9:$P$2008,$W263),VALUE(SUBSTITUTE(INDEX($P$9:$P$2008,$W263),"%",""))/100),""))</f>
        <v/>
      </c>
    </row>
    <row r="264">
      <c r="S264">
        <f>IF(AND(ISTEXT($A264),ISNUMBER(SEARCH(" - ",$A264)),ISERROR(SEARCH("Folio",$A264)),$D264=""),TRIM($A264),$S263)</f>
        <v/>
      </c>
      <c r="T264">
        <f>IF(AND(ISNUMBER(SEARCH("Folio",$A264)),$D264&lt;&gt;""),1,"")</f>
        <v/>
      </c>
      <c r="U264">
        <f>IF($T264=1,COUNTIF($T$9:$T264,1),"")</f>
        <v/>
      </c>
      <c r="V264">
        <f>IF(AND(ISTEXT($A264),LEFT($A265,3)="Pan"),1,"")</f>
        <v/>
      </c>
      <c r="W264" s="21">
        <f>IFERROR(MATCH(256,$U$9:$U$2008,0),"")</f>
        <v/>
      </c>
      <c r="X264" s="27">
        <f>IF($W264="","",IF($R$5&lt;&gt;"",$R$5,$R$6))</f>
        <v/>
      </c>
      <c r="Y264" s="27">
        <f>IF($W264="","",INDEX($S$9:$S$2008,$W264))</f>
        <v/>
      </c>
      <c r="Z264" s="27">
        <f>IF($W264="","",IFERROR(TRIM(LEFT(SUBSTITUTE(INDEX($A$9:$A$2008,$W264),CHAR(10)," "),SEARCH("Folio",SUBSTITUTE(INDEX($A$9:$A$2008,$W264),CHAR(10)," "))-1)),TRIM(SUBSTITUTE(INDEX($A$9:$A$2008,$W264),CHAR(10)," "))))</f>
        <v/>
      </c>
      <c r="AA264" s="27">
        <f>IF($W264="","",IFERROR(TRIM(SUBSTITUTE(MID(SUBSTITUTE(INDEX($A$9:$A$2008,$W264),CHAR(10)," "),SEARCH("Folio",SUBSTITUTE(INDEX($A$9:$A$2008,$W264),CHAR(10)," "))+5,200),":","")),""))</f>
        <v/>
      </c>
      <c r="AB264" s="28">
        <f>IF($W264="","",IF(ISNUMBER(INDEX($D$9:$D$2008,$W264)),INDEX($D$9:$D$2008,$W264),IFERROR(DATE(2000+VALUE(RIGHT(INDEX($D$9:$D$2008,$W264),2)),VALUE(MID(INDEX($D$9:$D$2008,$W264),4,2)),VALUE(LEFT(INDEX($D$9:$D$2008,$W264),2))),"")))</f>
        <v/>
      </c>
      <c r="AC264" s="29">
        <f>IF($W264="","",IFERROR(IF(ISNUMBER(INDEX($E$9:$E$2008,$W264)),INDEX($E$9:$E$2008,$W264),VALUE(SUBSTITUTE(INDEX($E$9:$E$2008,$W264),",",""))),""))</f>
        <v/>
      </c>
      <c r="AD264" s="29">
        <f>IF($W264="","",IFERROR(IF(ISNUMBER(INDEX($F$9:$F$2008,$W264)),INDEX($F$9:$F$2008,$W264),VALUE(SUBSTITUTE(INDEX($F$9:$F$2008,$W264),",",""))),""))</f>
        <v/>
      </c>
      <c r="AE264" s="29">
        <f>IF($W264="","",IFERROR(IF(ISNUMBER(INDEX($G$9:$G$2008,$W264)),INDEX($G$9:$G$2008,$W264),VALUE(SUBSTITUTE(INDEX($G$9:$G$2008,$W264),",",""))),""))</f>
        <v/>
      </c>
      <c r="AF264" s="29">
        <f>IF($W264="","",IFERROR(IF(ISNUMBER(INDEX($H$9:$H$2008,$W264)),INDEX($H$9:$H$2008,$W264),VALUE(SUBSTITUTE(INDEX($H$9:$H$2008,$W264),",",""))),""))</f>
        <v/>
      </c>
      <c r="AG264" s="29">
        <f>IF($W264="","",IFERROR(IF(ISNUMBER(INDEX($I$9:$I$2008,$W264)),INDEX($I$9:$I$2008,$W264),VALUE(SUBSTITUTE(INDEX($I$9:$I$2008,$W264),",",""))),""))</f>
        <v/>
      </c>
      <c r="AH264" s="29">
        <f>IF($W264="","",IFERROR(IF(ISNUMBER(INDEX($J$9:$J$2008,$W264)),INDEX($J$9:$J$2008,$W264),VALUE(SUBSTITUTE(INDEX($J$9:$J$2008,$W264),",",""))),""))</f>
        <v/>
      </c>
      <c r="AI264" s="29">
        <f>IF($W264="","",IFERROR(IF(ISNUMBER(INDEX($K$9:$K$2008,$W264)),INDEX($K$9:$K$2008,$W264),VALUE(SUBSTITUTE(INDEX($K$9:$K$2008,$W264),",",""))),""))</f>
        <v/>
      </c>
      <c r="AJ264" s="30">
        <f>IF($W264="","",IFERROR(IF(ISNUMBER(INDEX($L$9:$L$2008,$W264)),INDEX($L$9:$L$2008,$W264),VALUE(SUBSTITUTE(INDEX($L$9:$L$2008,$W264),",",""))),""))</f>
        <v/>
      </c>
      <c r="AK264" s="30">
        <f>IF($W264="","",IFERROR(IF(ISNUMBER(INDEX($M$9:$M$2008,$W264)),INDEX($M$9:$M$2008,$W264),VALUE(SUBSTITUTE(INDEX($M$9:$M$2008,$W264),",",""))),""))</f>
        <v/>
      </c>
      <c r="AL264" s="31">
        <f>IF($W264="","",IFERROR(IF(ISNUMBER(INDEX($P$9:$P$2008,$W264)),INDEX($P$9:$P$2008,$W264),VALUE(SUBSTITUTE(INDEX($P$9:$P$2008,$W264),"%",""))/100),""))</f>
        <v/>
      </c>
    </row>
    <row r="265">
      <c r="S265">
        <f>IF(AND(ISTEXT($A265),ISNUMBER(SEARCH(" - ",$A265)),ISERROR(SEARCH("Folio",$A265)),$D265=""),TRIM($A265),$S264)</f>
        <v/>
      </c>
      <c r="T265">
        <f>IF(AND(ISNUMBER(SEARCH("Folio",$A265)),$D265&lt;&gt;""),1,"")</f>
        <v/>
      </c>
      <c r="U265">
        <f>IF($T265=1,COUNTIF($T$9:$T265,1),"")</f>
        <v/>
      </c>
      <c r="V265">
        <f>IF(AND(ISTEXT($A265),LEFT($A266,3)="Pan"),1,"")</f>
        <v/>
      </c>
      <c r="W265" s="21">
        <f>IFERROR(MATCH(257,$U$9:$U$2008,0),"")</f>
        <v/>
      </c>
      <c r="X265" s="22">
        <f>IF($W265="","",IF($R$5&lt;&gt;"",$R$5,$R$6))</f>
        <v/>
      </c>
      <c r="Y265" s="22">
        <f>IF($W265="","",INDEX($S$9:$S$2008,$W265))</f>
        <v/>
      </c>
      <c r="Z265" s="22">
        <f>IF($W265="","",IFERROR(TRIM(LEFT(SUBSTITUTE(INDEX($A$9:$A$2008,$W265),CHAR(10)," "),SEARCH("Folio",SUBSTITUTE(INDEX($A$9:$A$2008,$W265),CHAR(10)," "))-1)),TRIM(SUBSTITUTE(INDEX($A$9:$A$2008,$W265),CHAR(10)," "))))</f>
        <v/>
      </c>
      <c r="AA265" s="22">
        <f>IF($W265="","",IFERROR(TRIM(SUBSTITUTE(MID(SUBSTITUTE(INDEX($A$9:$A$2008,$W265),CHAR(10)," "),SEARCH("Folio",SUBSTITUTE(INDEX($A$9:$A$2008,$W265),CHAR(10)," "))+5,200),":","")),""))</f>
        <v/>
      </c>
      <c r="AB265" s="23">
        <f>IF($W265="","",IF(ISNUMBER(INDEX($D$9:$D$2008,$W265)),INDEX($D$9:$D$2008,$W265),IFERROR(DATE(2000+VALUE(RIGHT(INDEX($D$9:$D$2008,$W265),2)),VALUE(MID(INDEX($D$9:$D$2008,$W265),4,2)),VALUE(LEFT(INDEX($D$9:$D$2008,$W265),2))),"")))</f>
        <v/>
      </c>
      <c r="AC265" s="24">
        <f>IF($W265="","",IFERROR(IF(ISNUMBER(INDEX($E$9:$E$2008,$W265)),INDEX($E$9:$E$2008,$W265),VALUE(SUBSTITUTE(INDEX($E$9:$E$2008,$W265),",",""))),""))</f>
        <v/>
      </c>
      <c r="AD265" s="24">
        <f>IF($W265="","",IFERROR(IF(ISNUMBER(INDEX($F$9:$F$2008,$W265)),INDEX($F$9:$F$2008,$W265),VALUE(SUBSTITUTE(INDEX($F$9:$F$2008,$W265),",",""))),""))</f>
        <v/>
      </c>
      <c r="AE265" s="24">
        <f>IF($W265="","",IFERROR(IF(ISNUMBER(INDEX($G$9:$G$2008,$W265)),INDEX($G$9:$G$2008,$W265),VALUE(SUBSTITUTE(INDEX($G$9:$G$2008,$W265),",",""))),""))</f>
        <v/>
      </c>
      <c r="AF265" s="24">
        <f>IF($W265="","",IFERROR(IF(ISNUMBER(INDEX($H$9:$H$2008,$W265)),INDEX($H$9:$H$2008,$W265),VALUE(SUBSTITUTE(INDEX($H$9:$H$2008,$W265),",",""))),""))</f>
        <v/>
      </c>
      <c r="AG265" s="24">
        <f>IF($W265="","",IFERROR(IF(ISNUMBER(INDEX($I$9:$I$2008,$W265)),INDEX($I$9:$I$2008,$W265),VALUE(SUBSTITUTE(INDEX($I$9:$I$2008,$W265),",",""))),""))</f>
        <v/>
      </c>
      <c r="AH265" s="24">
        <f>IF($W265="","",IFERROR(IF(ISNUMBER(INDEX($J$9:$J$2008,$W265)),INDEX($J$9:$J$2008,$W265),VALUE(SUBSTITUTE(INDEX($J$9:$J$2008,$W265),",",""))),""))</f>
        <v/>
      </c>
      <c r="AI265" s="24">
        <f>IF($W265="","",IFERROR(IF(ISNUMBER(INDEX($K$9:$K$2008,$W265)),INDEX($K$9:$K$2008,$W265),VALUE(SUBSTITUTE(INDEX($K$9:$K$2008,$W265),",",""))),""))</f>
        <v/>
      </c>
      <c r="AJ265" s="25">
        <f>IF($W265="","",IFERROR(IF(ISNUMBER(INDEX($L$9:$L$2008,$W265)),INDEX($L$9:$L$2008,$W265),VALUE(SUBSTITUTE(INDEX($L$9:$L$2008,$W265),",",""))),""))</f>
        <v/>
      </c>
      <c r="AK265" s="25">
        <f>IF($W265="","",IFERROR(IF(ISNUMBER(INDEX($M$9:$M$2008,$W265)),INDEX($M$9:$M$2008,$W265),VALUE(SUBSTITUTE(INDEX($M$9:$M$2008,$W265),",",""))),""))</f>
        <v/>
      </c>
      <c r="AL265" s="26">
        <f>IF($W265="","",IFERROR(IF(ISNUMBER(INDEX($P$9:$P$2008,$W265)),INDEX($P$9:$P$2008,$W265),VALUE(SUBSTITUTE(INDEX($P$9:$P$2008,$W265),"%",""))/100),""))</f>
        <v/>
      </c>
    </row>
    <row r="266">
      <c r="S266">
        <f>IF(AND(ISTEXT($A266),ISNUMBER(SEARCH(" - ",$A266)),ISERROR(SEARCH("Folio",$A266)),$D266=""),TRIM($A266),$S265)</f>
        <v/>
      </c>
      <c r="T266">
        <f>IF(AND(ISNUMBER(SEARCH("Folio",$A266)),$D266&lt;&gt;""),1,"")</f>
        <v/>
      </c>
      <c r="U266">
        <f>IF($T266=1,COUNTIF($T$9:$T266,1),"")</f>
        <v/>
      </c>
      <c r="V266">
        <f>IF(AND(ISTEXT($A266),LEFT($A267,3)="Pan"),1,"")</f>
        <v/>
      </c>
      <c r="W266" s="21">
        <f>IFERROR(MATCH(258,$U$9:$U$2008,0),"")</f>
        <v/>
      </c>
      <c r="X266" s="27">
        <f>IF($W266="","",IF($R$5&lt;&gt;"",$R$5,$R$6))</f>
        <v/>
      </c>
      <c r="Y266" s="27">
        <f>IF($W266="","",INDEX($S$9:$S$2008,$W266))</f>
        <v/>
      </c>
      <c r="Z266" s="27">
        <f>IF($W266="","",IFERROR(TRIM(LEFT(SUBSTITUTE(INDEX($A$9:$A$2008,$W266),CHAR(10)," "),SEARCH("Folio",SUBSTITUTE(INDEX($A$9:$A$2008,$W266),CHAR(10)," "))-1)),TRIM(SUBSTITUTE(INDEX($A$9:$A$2008,$W266),CHAR(10)," "))))</f>
        <v/>
      </c>
      <c r="AA266" s="27">
        <f>IF($W266="","",IFERROR(TRIM(SUBSTITUTE(MID(SUBSTITUTE(INDEX($A$9:$A$2008,$W266),CHAR(10)," "),SEARCH("Folio",SUBSTITUTE(INDEX($A$9:$A$2008,$W266),CHAR(10)," "))+5,200),":","")),""))</f>
        <v/>
      </c>
      <c r="AB266" s="28">
        <f>IF($W266="","",IF(ISNUMBER(INDEX($D$9:$D$2008,$W266)),INDEX($D$9:$D$2008,$W266),IFERROR(DATE(2000+VALUE(RIGHT(INDEX($D$9:$D$2008,$W266),2)),VALUE(MID(INDEX($D$9:$D$2008,$W266),4,2)),VALUE(LEFT(INDEX($D$9:$D$2008,$W266),2))),"")))</f>
        <v/>
      </c>
      <c r="AC266" s="29">
        <f>IF($W266="","",IFERROR(IF(ISNUMBER(INDEX($E$9:$E$2008,$W266)),INDEX($E$9:$E$2008,$W266),VALUE(SUBSTITUTE(INDEX($E$9:$E$2008,$W266),",",""))),""))</f>
        <v/>
      </c>
      <c r="AD266" s="29">
        <f>IF($W266="","",IFERROR(IF(ISNUMBER(INDEX($F$9:$F$2008,$W266)),INDEX($F$9:$F$2008,$W266),VALUE(SUBSTITUTE(INDEX($F$9:$F$2008,$W266),",",""))),""))</f>
        <v/>
      </c>
      <c r="AE266" s="29">
        <f>IF($W266="","",IFERROR(IF(ISNUMBER(INDEX($G$9:$G$2008,$W266)),INDEX($G$9:$G$2008,$W266),VALUE(SUBSTITUTE(INDEX($G$9:$G$2008,$W266),",",""))),""))</f>
        <v/>
      </c>
      <c r="AF266" s="29">
        <f>IF($W266="","",IFERROR(IF(ISNUMBER(INDEX($H$9:$H$2008,$W266)),INDEX($H$9:$H$2008,$W266),VALUE(SUBSTITUTE(INDEX($H$9:$H$2008,$W266),",",""))),""))</f>
        <v/>
      </c>
      <c r="AG266" s="29">
        <f>IF($W266="","",IFERROR(IF(ISNUMBER(INDEX($I$9:$I$2008,$W266)),INDEX($I$9:$I$2008,$W266),VALUE(SUBSTITUTE(INDEX($I$9:$I$2008,$W266),",",""))),""))</f>
        <v/>
      </c>
      <c r="AH266" s="29">
        <f>IF($W266="","",IFERROR(IF(ISNUMBER(INDEX($J$9:$J$2008,$W266)),INDEX($J$9:$J$2008,$W266),VALUE(SUBSTITUTE(INDEX($J$9:$J$2008,$W266),",",""))),""))</f>
        <v/>
      </c>
      <c r="AI266" s="29">
        <f>IF($W266="","",IFERROR(IF(ISNUMBER(INDEX($K$9:$K$2008,$W266)),INDEX($K$9:$K$2008,$W266),VALUE(SUBSTITUTE(INDEX($K$9:$K$2008,$W266),",",""))),""))</f>
        <v/>
      </c>
      <c r="AJ266" s="30">
        <f>IF($W266="","",IFERROR(IF(ISNUMBER(INDEX($L$9:$L$2008,$W266)),INDEX($L$9:$L$2008,$W266),VALUE(SUBSTITUTE(INDEX($L$9:$L$2008,$W266),",",""))),""))</f>
        <v/>
      </c>
      <c r="AK266" s="30">
        <f>IF($W266="","",IFERROR(IF(ISNUMBER(INDEX($M$9:$M$2008,$W266)),INDEX($M$9:$M$2008,$W266),VALUE(SUBSTITUTE(INDEX($M$9:$M$2008,$W266),",",""))),""))</f>
        <v/>
      </c>
      <c r="AL266" s="31">
        <f>IF($W266="","",IFERROR(IF(ISNUMBER(INDEX($P$9:$P$2008,$W266)),INDEX($P$9:$P$2008,$W266),VALUE(SUBSTITUTE(INDEX($P$9:$P$2008,$W266),"%",""))/100),""))</f>
        <v/>
      </c>
    </row>
    <row r="267">
      <c r="S267">
        <f>IF(AND(ISTEXT($A267),ISNUMBER(SEARCH(" - ",$A267)),ISERROR(SEARCH("Folio",$A267)),$D267=""),TRIM($A267),$S266)</f>
        <v/>
      </c>
      <c r="T267">
        <f>IF(AND(ISNUMBER(SEARCH("Folio",$A267)),$D267&lt;&gt;""),1,"")</f>
        <v/>
      </c>
      <c r="U267">
        <f>IF($T267=1,COUNTIF($T$9:$T267,1),"")</f>
        <v/>
      </c>
      <c r="V267">
        <f>IF(AND(ISTEXT($A267),LEFT($A268,3)="Pan"),1,"")</f>
        <v/>
      </c>
      <c r="W267" s="21">
        <f>IFERROR(MATCH(259,$U$9:$U$2008,0),"")</f>
        <v/>
      </c>
      <c r="X267" s="22">
        <f>IF($W267="","",IF($R$5&lt;&gt;"",$R$5,$R$6))</f>
        <v/>
      </c>
      <c r="Y267" s="22">
        <f>IF($W267="","",INDEX($S$9:$S$2008,$W267))</f>
        <v/>
      </c>
      <c r="Z267" s="22">
        <f>IF($W267="","",IFERROR(TRIM(LEFT(SUBSTITUTE(INDEX($A$9:$A$2008,$W267),CHAR(10)," "),SEARCH("Folio",SUBSTITUTE(INDEX($A$9:$A$2008,$W267),CHAR(10)," "))-1)),TRIM(SUBSTITUTE(INDEX($A$9:$A$2008,$W267),CHAR(10)," "))))</f>
        <v/>
      </c>
      <c r="AA267" s="22">
        <f>IF($W267="","",IFERROR(TRIM(SUBSTITUTE(MID(SUBSTITUTE(INDEX($A$9:$A$2008,$W267),CHAR(10)," "),SEARCH("Folio",SUBSTITUTE(INDEX($A$9:$A$2008,$W267),CHAR(10)," "))+5,200),":","")),""))</f>
        <v/>
      </c>
      <c r="AB267" s="23">
        <f>IF($W267="","",IF(ISNUMBER(INDEX($D$9:$D$2008,$W267)),INDEX($D$9:$D$2008,$W267),IFERROR(DATE(2000+VALUE(RIGHT(INDEX($D$9:$D$2008,$W267),2)),VALUE(MID(INDEX($D$9:$D$2008,$W267),4,2)),VALUE(LEFT(INDEX($D$9:$D$2008,$W267),2))),"")))</f>
        <v/>
      </c>
      <c r="AC267" s="24">
        <f>IF($W267="","",IFERROR(IF(ISNUMBER(INDEX($E$9:$E$2008,$W267)),INDEX($E$9:$E$2008,$W267),VALUE(SUBSTITUTE(INDEX($E$9:$E$2008,$W267),",",""))),""))</f>
        <v/>
      </c>
      <c r="AD267" s="24">
        <f>IF($W267="","",IFERROR(IF(ISNUMBER(INDEX($F$9:$F$2008,$W267)),INDEX($F$9:$F$2008,$W267),VALUE(SUBSTITUTE(INDEX($F$9:$F$2008,$W267),",",""))),""))</f>
        <v/>
      </c>
      <c r="AE267" s="24">
        <f>IF($W267="","",IFERROR(IF(ISNUMBER(INDEX($G$9:$G$2008,$W267)),INDEX($G$9:$G$2008,$W267),VALUE(SUBSTITUTE(INDEX($G$9:$G$2008,$W267),",",""))),""))</f>
        <v/>
      </c>
      <c r="AF267" s="24">
        <f>IF($W267="","",IFERROR(IF(ISNUMBER(INDEX($H$9:$H$2008,$W267)),INDEX($H$9:$H$2008,$W267),VALUE(SUBSTITUTE(INDEX($H$9:$H$2008,$W267),",",""))),""))</f>
        <v/>
      </c>
      <c r="AG267" s="24">
        <f>IF($W267="","",IFERROR(IF(ISNUMBER(INDEX($I$9:$I$2008,$W267)),INDEX($I$9:$I$2008,$W267),VALUE(SUBSTITUTE(INDEX($I$9:$I$2008,$W267),",",""))),""))</f>
        <v/>
      </c>
      <c r="AH267" s="24">
        <f>IF($W267="","",IFERROR(IF(ISNUMBER(INDEX($J$9:$J$2008,$W267)),INDEX($J$9:$J$2008,$W267),VALUE(SUBSTITUTE(INDEX($J$9:$J$2008,$W267),",",""))),""))</f>
        <v/>
      </c>
      <c r="AI267" s="24">
        <f>IF($W267="","",IFERROR(IF(ISNUMBER(INDEX($K$9:$K$2008,$W267)),INDEX($K$9:$K$2008,$W267),VALUE(SUBSTITUTE(INDEX($K$9:$K$2008,$W267),",",""))),""))</f>
        <v/>
      </c>
      <c r="AJ267" s="25">
        <f>IF($W267="","",IFERROR(IF(ISNUMBER(INDEX($L$9:$L$2008,$W267)),INDEX($L$9:$L$2008,$W267),VALUE(SUBSTITUTE(INDEX($L$9:$L$2008,$W267),",",""))),""))</f>
        <v/>
      </c>
      <c r="AK267" s="25">
        <f>IF($W267="","",IFERROR(IF(ISNUMBER(INDEX($M$9:$M$2008,$W267)),INDEX($M$9:$M$2008,$W267),VALUE(SUBSTITUTE(INDEX($M$9:$M$2008,$W267),",",""))),""))</f>
        <v/>
      </c>
      <c r="AL267" s="26">
        <f>IF($W267="","",IFERROR(IF(ISNUMBER(INDEX($P$9:$P$2008,$W267)),INDEX($P$9:$P$2008,$W267),VALUE(SUBSTITUTE(INDEX($P$9:$P$2008,$W267),"%",""))/100),""))</f>
        <v/>
      </c>
    </row>
    <row r="268">
      <c r="S268">
        <f>IF(AND(ISTEXT($A268),ISNUMBER(SEARCH(" - ",$A268)),ISERROR(SEARCH("Folio",$A268)),$D268=""),TRIM($A268),$S267)</f>
        <v/>
      </c>
      <c r="T268">
        <f>IF(AND(ISNUMBER(SEARCH("Folio",$A268)),$D268&lt;&gt;""),1,"")</f>
        <v/>
      </c>
      <c r="U268">
        <f>IF($T268=1,COUNTIF($T$9:$T268,1),"")</f>
        <v/>
      </c>
      <c r="V268">
        <f>IF(AND(ISTEXT($A268),LEFT($A269,3)="Pan"),1,"")</f>
        <v/>
      </c>
      <c r="W268" s="21">
        <f>IFERROR(MATCH(260,$U$9:$U$2008,0),"")</f>
        <v/>
      </c>
      <c r="X268" s="27">
        <f>IF($W268="","",IF($R$5&lt;&gt;"",$R$5,$R$6))</f>
        <v/>
      </c>
      <c r="Y268" s="27">
        <f>IF($W268="","",INDEX($S$9:$S$2008,$W268))</f>
        <v/>
      </c>
      <c r="Z268" s="27">
        <f>IF($W268="","",IFERROR(TRIM(LEFT(SUBSTITUTE(INDEX($A$9:$A$2008,$W268),CHAR(10)," "),SEARCH("Folio",SUBSTITUTE(INDEX($A$9:$A$2008,$W268),CHAR(10)," "))-1)),TRIM(SUBSTITUTE(INDEX($A$9:$A$2008,$W268),CHAR(10)," "))))</f>
        <v/>
      </c>
      <c r="AA268" s="27">
        <f>IF($W268="","",IFERROR(TRIM(SUBSTITUTE(MID(SUBSTITUTE(INDEX($A$9:$A$2008,$W268),CHAR(10)," "),SEARCH("Folio",SUBSTITUTE(INDEX($A$9:$A$2008,$W268),CHAR(10)," "))+5,200),":","")),""))</f>
        <v/>
      </c>
      <c r="AB268" s="28">
        <f>IF($W268="","",IF(ISNUMBER(INDEX($D$9:$D$2008,$W268)),INDEX($D$9:$D$2008,$W268),IFERROR(DATE(2000+VALUE(RIGHT(INDEX($D$9:$D$2008,$W268),2)),VALUE(MID(INDEX($D$9:$D$2008,$W268),4,2)),VALUE(LEFT(INDEX($D$9:$D$2008,$W268),2))),"")))</f>
        <v/>
      </c>
      <c r="AC268" s="29">
        <f>IF($W268="","",IFERROR(IF(ISNUMBER(INDEX($E$9:$E$2008,$W268)),INDEX($E$9:$E$2008,$W268),VALUE(SUBSTITUTE(INDEX($E$9:$E$2008,$W268),",",""))),""))</f>
        <v/>
      </c>
      <c r="AD268" s="29">
        <f>IF($W268="","",IFERROR(IF(ISNUMBER(INDEX($F$9:$F$2008,$W268)),INDEX($F$9:$F$2008,$W268),VALUE(SUBSTITUTE(INDEX($F$9:$F$2008,$W268),",",""))),""))</f>
        <v/>
      </c>
      <c r="AE268" s="29">
        <f>IF($W268="","",IFERROR(IF(ISNUMBER(INDEX($G$9:$G$2008,$W268)),INDEX($G$9:$G$2008,$W268),VALUE(SUBSTITUTE(INDEX($G$9:$G$2008,$W268),",",""))),""))</f>
        <v/>
      </c>
      <c r="AF268" s="29">
        <f>IF($W268="","",IFERROR(IF(ISNUMBER(INDEX($H$9:$H$2008,$W268)),INDEX($H$9:$H$2008,$W268),VALUE(SUBSTITUTE(INDEX($H$9:$H$2008,$W268),",",""))),""))</f>
        <v/>
      </c>
      <c r="AG268" s="29">
        <f>IF($W268="","",IFERROR(IF(ISNUMBER(INDEX($I$9:$I$2008,$W268)),INDEX($I$9:$I$2008,$W268),VALUE(SUBSTITUTE(INDEX($I$9:$I$2008,$W268),",",""))),""))</f>
        <v/>
      </c>
      <c r="AH268" s="29">
        <f>IF($W268="","",IFERROR(IF(ISNUMBER(INDEX($J$9:$J$2008,$W268)),INDEX($J$9:$J$2008,$W268),VALUE(SUBSTITUTE(INDEX($J$9:$J$2008,$W268),",",""))),""))</f>
        <v/>
      </c>
      <c r="AI268" s="29">
        <f>IF($W268="","",IFERROR(IF(ISNUMBER(INDEX($K$9:$K$2008,$W268)),INDEX($K$9:$K$2008,$W268),VALUE(SUBSTITUTE(INDEX($K$9:$K$2008,$W268),",",""))),""))</f>
        <v/>
      </c>
      <c r="AJ268" s="30">
        <f>IF($W268="","",IFERROR(IF(ISNUMBER(INDEX($L$9:$L$2008,$W268)),INDEX($L$9:$L$2008,$W268),VALUE(SUBSTITUTE(INDEX($L$9:$L$2008,$W268),",",""))),""))</f>
        <v/>
      </c>
      <c r="AK268" s="30">
        <f>IF($W268="","",IFERROR(IF(ISNUMBER(INDEX($M$9:$M$2008,$W268)),INDEX($M$9:$M$2008,$W268),VALUE(SUBSTITUTE(INDEX($M$9:$M$2008,$W268),",",""))),""))</f>
        <v/>
      </c>
      <c r="AL268" s="31">
        <f>IF($W268="","",IFERROR(IF(ISNUMBER(INDEX($P$9:$P$2008,$W268)),INDEX($P$9:$P$2008,$W268),VALUE(SUBSTITUTE(INDEX($P$9:$P$2008,$W268),"%",""))/100),""))</f>
        <v/>
      </c>
    </row>
    <row r="269">
      <c r="S269">
        <f>IF(AND(ISTEXT($A269),ISNUMBER(SEARCH(" - ",$A269)),ISERROR(SEARCH("Folio",$A269)),$D269=""),TRIM($A269),$S268)</f>
        <v/>
      </c>
      <c r="T269">
        <f>IF(AND(ISNUMBER(SEARCH("Folio",$A269)),$D269&lt;&gt;""),1,"")</f>
        <v/>
      </c>
      <c r="U269">
        <f>IF($T269=1,COUNTIF($T$9:$T269,1),"")</f>
        <v/>
      </c>
      <c r="V269">
        <f>IF(AND(ISTEXT($A269),LEFT($A270,3)="Pan"),1,"")</f>
        <v/>
      </c>
      <c r="W269" s="21">
        <f>IFERROR(MATCH(261,$U$9:$U$2008,0),"")</f>
        <v/>
      </c>
      <c r="X269" s="22">
        <f>IF($W269="","",IF($R$5&lt;&gt;"",$R$5,$R$6))</f>
        <v/>
      </c>
      <c r="Y269" s="22">
        <f>IF($W269="","",INDEX($S$9:$S$2008,$W269))</f>
        <v/>
      </c>
      <c r="Z269" s="22">
        <f>IF($W269="","",IFERROR(TRIM(LEFT(SUBSTITUTE(INDEX($A$9:$A$2008,$W269),CHAR(10)," "),SEARCH("Folio",SUBSTITUTE(INDEX($A$9:$A$2008,$W269),CHAR(10)," "))-1)),TRIM(SUBSTITUTE(INDEX($A$9:$A$2008,$W269),CHAR(10)," "))))</f>
        <v/>
      </c>
      <c r="AA269" s="22">
        <f>IF($W269="","",IFERROR(TRIM(SUBSTITUTE(MID(SUBSTITUTE(INDEX($A$9:$A$2008,$W269),CHAR(10)," "),SEARCH("Folio",SUBSTITUTE(INDEX($A$9:$A$2008,$W269),CHAR(10)," "))+5,200),":","")),""))</f>
        <v/>
      </c>
      <c r="AB269" s="23">
        <f>IF($W269="","",IF(ISNUMBER(INDEX($D$9:$D$2008,$W269)),INDEX($D$9:$D$2008,$W269),IFERROR(DATE(2000+VALUE(RIGHT(INDEX($D$9:$D$2008,$W269),2)),VALUE(MID(INDEX($D$9:$D$2008,$W269),4,2)),VALUE(LEFT(INDEX($D$9:$D$2008,$W269),2))),"")))</f>
        <v/>
      </c>
      <c r="AC269" s="24">
        <f>IF($W269="","",IFERROR(IF(ISNUMBER(INDEX($E$9:$E$2008,$W269)),INDEX($E$9:$E$2008,$W269),VALUE(SUBSTITUTE(INDEX($E$9:$E$2008,$W269),",",""))),""))</f>
        <v/>
      </c>
      <c r="AD269" s="24">
        <f>IF($W269="","",IFERROR(IF(ISNUMBER(INDEX($F$9:$F$2008,$W269)),INDEX($F$9:$F$2008,$W269),VALUE(SUBSTITUTE(INDEX($F$9:$F$2008,$W269),",",""))),""))</f>
        <v/>
      </c>
      <c r="AE269" s="24">
        <f>IF($W269="","",IFERROR(IF(ISNUMBER(INDEX($G$9:$G$2008,$W269)),INDEX($G$9:$G$2008,$W269),VALUE(SUBSTITUTE(INDEX($G$9:$G$2008,$W269),",",""))),""))</f>
        <v/>
      </c>
      <c r="AF269" s="24">
        <f>IF($W269="","",IFERROR(IF(ISNUMBER(INDEX($H$9:$H$2008,$W269)),INDEX($H$9:$H$2008,$W269),VALUE(SUBSTITUTE(INDEX($H$9:$H$2008,$W269),",",""))),""))</f>
        <v/>
      </c>
      <c r="AG269" s="24">
        <f>IF($W269="","",IFERROR(IF(ISNUMBER(INDEX($I$9:$I$2008,$W269)),INDEX($I$9:$I$2008,$W269),VALUE(SUBSTITUTE(INDEX($I$9:$I$2008,$W269),",",""))),""))</f>
        <v/>
      </c>
      <c r="AH269" s="24">
        <f>IF($W269="","",IFERROR(IF(ISNUMBER(INDEX($J$9:$J$2008,$W269)),INDEX($J$9:$J$2008,$W269),VALUE(SUBSTITUTE(INDEX($J$9:$J$2008,$W269),",",""))),""))</f>
        <v/>
      </c>
      <c r="AI269" s="24">
        <f>IF($W269="","",IFERROR(IF(ISNUMBER(INDEX($K$9:$K$2008,$W269)),INDEX($K$9:$K$2008,$W269),VALUE(SUBSTITUTE(INDEX($K$9:$K$2008,$W269),",",""))),""))</f>
        <v/>
      </c>
      <c r="AJ269" s="25">
        <f>IF($W269="","",IFERROR(IF(ISNUMBER(INDEX($L$9:$L$2008,$W269)),INDEX($L$9:$L$2008,$W269),VALUE(SUBSTITUTE(INDEX($L$9:$L$2008,$W269),",",""))),""))</f>
        <v/>
      </c>
      <c r="AK269" s="25">
        <f>IF($W269="","",IFERROR(IF(ISNUMBER(INDEX($M$9:$M$2008,$W269)),INDEX($M$9:$M$2008,$W269),VALUE(SUBSTITUTE(INDEX($M$9:$M$2008,$W269),",",""))),""))</f>
        <v/>
      </c>
      <c r="AL269" s="26">
        <f>IF($W269="","",IFERROR(IF(ISNUMBER(INDEX($P$9:$P$2008,$W269)),INDEX($P$9:$P$2008,$W269),VALUE(SUBSTITUTE(INDEX($P$9:$P$2008,$W269),"%",""))/100),""))</f>
        <v/>
      </c>
    </row>
    <row r="270">
      <c r="S270">
        <f>IF(AND(ISTEXT($A270),ISNUMBER(SEARCH(" - ",$A270)),ISERROR(SEARCH("Folio",$A270)),$D270=""),TRIM($A270),$S269)</f>
        <v/>
      </c>
      <c r="T270">
        <f>IF(AND(ISNUMBER(SEARCH("Folio",$A270)),$D270&lt;&gt;""),1,"")</f>
        <v/>
      </c>
      <c r="U270">
        <f>IF($T270=1,COUNTIF($T$9:$T270,1),"")</f>
        <v/>
      </c>
      <c r="V270">
        <f>IF(AND(ISTEXT($A270),LEFT($A271,3)="Pan"),1,"")</f>
        <v/>
      </c>
      <c r="W270" s="21">
        <f>IFERROR(MATCH(262,$U$9:$U$2008,0),"")</f>
        <v/>
      </c>
      <c r="X270" s="27">
        <f>IF($W270="","",IF($R$5&lt;&gt;"",$R$5,$R$6))</f>
        <v/>
      </c>
      <c r="Y270" s="27">
        <f>IF($W270="","",INDEX($S$9:$S$2008,$W270))</f>
        <v/>
      </c>
      <c r="Z270" s="27">
        <f>IF($W270="","",IFERROR(TRIM(LEFT(SUBSTITUTE(INDEX($A$9:$A$2008,$W270),CHAR(10)," "),SEARCH("Folio",SUBSTITUTE(INDEX($A$9:$A$2008,$W270),CHAR(10)," "))-1)),TRIM(SUBSTITUTE(INDEX($A$9:$A$2008,$W270),CHAR(10)," "))))</f>
        <v/>
      </c>
      <c r="AA270" s="27">
        <f>IF($W270="","",IFERROR(TRIM(SUBSTITUTE(MID(SUBSTITUTE(INDEX($A$9:$A$2008,$W270),CHAR(10)," "),SEARCH("Folio",SUBSTITUTE(INDEX($A$9:$A$2008,$W270),CHAR(10)," "))+5,200),":","")),""))</f>
        <v/>
      </c>
      <c r="AB270" s="28">
        <f>IF($W270="","",IF(ISNUMBER(INDEX($D$9:$D$2008,$W270)),INDEX($D$9:$D$2008,$W270),IFERROR(DATE(2000+VALUE(RIGHT(INDEX($D$9:$D$2008,$W270),2)),VALUE(MID(INDEX($D$9:$D$2008,$W270),4,2)),VALUE(LEFT(INDEX($D$9:$D$2008,$W270),2))),"")))</f>
        <v/>
      </c>
      <c r="AC270" s="29">
        <f>IF($W270="","",IFERROR(IF(ISNUMBER(INDEX($E$9:$E$2008,$W270)),INDEX($E$9:$E$2008,$W270),VALUE(SUBSTITUTE(INDEX($E$9:$E$2008,$W270),",",""))),""))</f>
        <v/>
      </c>
      <c r="AD270" s="29">
        <f>IF($W270="","",IFERROR(IF(ISNUMBER(INDEX($F$9:$F$2008,$W270)),INDEX($F$9:$F$2008,$W270),VALUE(SUBSTITUTE(INDEX($F$9:$F$2008,$W270),",",""))),""))</f>
        <v/>
      </c>
      <c r="AE270" s="29">
        <f>IF($W270="","",IFERROR(IF(ISNUMBER(INDEX($G$9:$G$2008,$W270)),INDEX($G$9:$G$2008,$W270),VALUE(SUBSTITUTE(INDEX($G$9:$G$2008,$W270),",",""))),""))</f>
        <v/>
      </c>
      <c r="AF270" s="29">
        <f>IF($W270="","",IFERROR(IF(ISNUMBER(INDEX($H$9:$H$2008,$W270)),INDEX($H$9:$H$2008,$W270),VALUE(SUBSTITUTE(INDEX($H$9:$H$2008,$W270),",",""))),""))</f>
        <v/>
      </c>
      <c r="AG270" s="29">
        <f>IF($W270="","",IFERROR(IF(ISNUMBER(INDEX($I$9:$I$2008,$W270)),INDEX($I$9:$I$2008,$W270),VALUE(SUBSTITUTE(INDEX($I$9:$I$2008,$W270),",",""))),""))</f>
        <v/>
      </c>
      <c r="AH270" s="29">
        <f>IF($W270="","",IFERROR(IF(ISNUMBER(INDEX($J$9:$J$2008,$W270)),INDEX($J$9:$J$2008,$W270),VALUE(SUBSTITUTE(INDEX($J$9:$J$2008,$W270),",",""))),""))</f>
        <v/>
      </c>
      <c r="AI270" s="29">
        <f>IF($W270="","",IFERROR(IF(ISNUMBER(INDEX($K$9:$K$2008,$W270)),INDEX($K$9:$K$2008,$W270),VALUE(SUBSTITUTE(INDEX($K$9:$K$2008,$W270),",",""))),""))</f>
        <v/>
      </c>
      <c r="AJ270" s="30">
        <f>IF($W270="","",IFERROR(IF(ISNUMBER(INDEX($L$9:$L$2008,$W270)),INDEX($L$9:$L$2008,$W270),VALUE(SUBSTITUTE(INDEX($L$9:$L$2008,$W270),",",""))),""))</f>
        <v/>
      </c>
      <c r="AK270" s="30">
        <f>IF($W270="","",IFERROR(IF(ISNUMBER(INDEX($M$9:$M$2008,$W270)),INDEX($M$9:$M$2008,$W270),VALUE(SUBSTITUTE(INDEX($M$9:$M$2008,$W270),",",""))),""))</f>
        <v/>
      </c>
      <c r="AL270" s="31">
        <f>IF($W270="","",IFERROR(IF(ISNUMBER(INDEX($P$9:$P$2008,$W270)),INDEX($P$9:$P$2008,$W270),VALUE(SUBSTITUTE(INDEX($P$9:$P$2008,$W270),"%",""))/100),""))</f>
        <v/>
      </c>
    </row>
    <row r="271">
      <c r="S271">
        <f>IF(AND(ISTEXT($A271),ISNUMBER(SEARCH(" - ",$A271)),ISERROR(SEARCH("Folio",$A271)),$D271=""),TRIM($A271),$S270)</f>
        <v/>
      </c>
      <c r="T271">
        <f>IF(AND(ISNUMBER(SEARCH("Folio",$A271)),$D271&lt;&gt;""),1,"")</f>
        <v/>
      </c>
      <c r="U271">
        <f>IF($T271=1,COUNTIF($T$9:$T271,1),"")</f>
        <v/>
      </c>
      <c r="V271">
        <f>IF(AND(ISTEXT($A271),LEFT($A272,3)="Pan"),1,"")</f>
        <v/>
      </c>
      <c r="W271" s="21">
        <f>IFERROR(MATCH(263,$U$9:$U$2008,0),"")</f>
        <v/>
      </c>
      <c r="X271" s="22">
        <f>IF($W271="","",IF($R$5&lt;&gt;"",$R$5,$R$6))</f>
        <v/>
      </c>
      <c r="Y271" s="22">
        <f>IF($W271="","",INDEX($S$9:$S$2008,$W271))</f>
        <v/>
      </c>
      <c r="Z271" s="22">
        <f>IF($W271="","",IFERROR(TRIM(LEFT(SUBSTITUTE(INDEX($A$9:$A$2008,$W271),CHAR(10)," "),SEARCH("Folio",SUBSTITUTE(INDEX($A$9:$A$2008,$W271),CHAR(10)," "))-1)),TRIM(SUBSTITUTE(INDEX($A$9:$A$2008,$W271),CHAR(10)," "))))</f>
        <v/>
      </c>
      <c r="AA271" s="22">
        <f>IF($W271="","",IFERROR(TRIM(SUBSTITUTE(MID(SUBSTITUTE(INDEX($A$9:$A$2008,$W271),CHAR(10)," "),SEARCH("Folio",SUBSTITUTE(INDEX($A$9:$A$2008,$W271),CHAR(10)," "))+5,200),":","")),""))</f>
        <v/>
      </c>
      <c r="AB271" s="23">
        <f>IF($W271="","",IF(ISNUMBER(INDEX($D$9:$D$2008,$W271)),INDEX($D$9:$D$2008,$W271),IFERROR(DATE(2000+VALUE(RIGHT(INDEX($D$9:$D$2008,$W271),2)),VALUE(MID(INDEX($D$9:$D$2008,$W271),4,2)),VALUE(LEFT(INDEX($D$9:$D$2008,$W271),2))),"")))</f>
        <v/>
      </c>
      <c r="AC271" s="24">
        <f>IF($W271="","",IFERROR(IF(ISNUMBER(INDEX($E$9:$E$2008,$W271)),INDEX($E$9:$E$2008,$W271),VALUE(SUBSTITUTE(INDEX($E$9:$E$2008,$W271),",",""))),""))</f>
        <v/>
      </c>
      <c r="AD271" s="24">
        <f>IF($W271="","",IFERROR(IF(ISNUMBER(INDEX($F$9:$F$2008,$W271)),INDEX($F$9:$F$2008,$W271),VALUE(SUBSTITUTE(INDEX($F$9:$F$2008,$W271),",",""))),""))</f>
        <v/>
      </c>
      <c r="AE271" s="24">
        <f>IF($W271="","",IFERROR(IF(ISNUMBER(INDEX($G$9:$G$2008,$W271)),INDEX($G$9:$G$2008,$W271),VALUE(SUBSTITUTE(INDEX($G$9:$G$2008,$W271),",",""))),""))</f>
        <v/>
      </c>
      <c r="AF271" s="24">
        <f>IF($W271="","",IFERROR(IF(ISNUMBER(INDEX($H$9:$H$2008,$W271)),INDEX($H$9:$H$2008,$W271),VALUE(SUBSTITUTE(INDEX($H$9:$H$2008,$W271),",",""))),""))</f>
        <v/>
      </c>
      <c r="AG271" s="24">
        <f>IF($W271="","",IFERROR(IF(ISNUMBER(INDEX($I$9:$I$2008,$W271)),INDEX($I$9:$I$2008,$W271),VALUE(SUBSTITUTE(INDEX($I$9:$I$2008,$W271),",",""))),""))</f>
        <v/>
      </c>
      <c r="AH271" s="24">
        <f>IF($W271="","",IFERROR(IF(ISNUMBER(INDEX($J$9:$J$2008,$W271)),INDEX($J$9:$J$2008,$W271),VALUE(SUBSTITUTE(INDEX($J$9:$J$2008,$W271),",",""))),""))</f>
        <v/>
      </c>
      <c r="AI271" s="24">
        <f>IF($W271="","",IFERROR(IF(ISNUMBER(INDEX($K$9:$K$2008,$W271)),INDEX($K$9:$K$2008,$W271),VALUE(SUBSTITUTE(INDEX($K$9:$K$2008,$W271),",",""))),""))</f>
        <v/>
      </c>
      <c r="AJ271" s="25">
        <f>IF($W271="","",IFERROR(IF(ISNUMBER(INDEX($L$9:$L$2008,$W271)),INDEX($L$9:$L$2008,$W271),VALUE(SUBSTITUTE(INDEX($L$9:$L$2008,$W271),",",""))),""))</f>
        <v/>
      </c>
      <c r="AK271" s="25">
        <f>IF($W271="","",IFERROR(IF(ISNUMBER(INDEX($M$9:$M$2008,$W271)),INDEX($M$9:$M$2008,$W271),VALUE(SUBSTITUTE(INDEX($M$9:$M$2008,$W271),",",""))),""))</f>
        <v/>
      </c>
      <c r="AL271" s="26">
        <f>IF($W271="","",IFERROR(IF(ISNUMBER(INDEX($P$9:$P$2008,$W271)),INDEX($P$9:$P$2008,$W271),VALUE(SUBSTITUTE(INDEX($P$9:$P$2008,$W271),"%",""))/100),""))</f>
        <v/>
      </c>
    </row>
    <row r="272">
      <c r="S272">
        <f>IF(AND(ISTEXT($A272),ISNUMBER(SEARCH(" - ",$A272)),ISERROR(SEARCH("Folio",$A272)),$D272=""),TRIM($A272),$S271)</f>
        <v/>
      </c>
      <c r="T272">
        <f>IF(AND(ISNUMBER(SEARCH("Folio",$A272)),$D272&lt;&gt;""),1,"")</f>
        <v/>
      </c>
      <c r="U272">
        <f>IF($T272=1,COUNTIF($T$9:$T272,1),"")</f>
        <v/>
      </c>
      <c r="V272">
        <f>IF(AND(ISTEXT($A272),LEFT($A273,3)="Pan"),1,"")</f>
        <v/>
      </c>
      <c r="W272" s="21">
        <f>IFERROR(MATCH(264,$U$9:$U$2008,0),"")</f>
        <v/>
      </c>
      <c r="X272" s="27">
        <f>IF($W272="","",IF($R$5&lt;&gt;"",$R$5,$R$6))</f>
        <v/>
      </c>
      <c r="Y272" s="27">
        <f>IF($W272="","",INDEX($S$9:$S$2008,$W272))</f>
        <v/>
      </c>
      <c r="Z272" s="27">
        <f>IF($W272="","",IFERROR(TRIM(LEFT(SUBSTITUTE(INDEX($A$9:$A$2008,$W272),CHAR(10)," "),SEARCH("Folio",SUBSTITUTE(INDEX($A$9:$A$2008,$W272),CHAR(10)," "))-1)),TRIM(SUBSTITUTE(INDEX($A$9:$A$2008,$W272),CHAR(10)," "))))</f>
        <v/>
      </c>
      <c r="AA272" s="27">
        <f>IF($W272="","",IFERROR(TRIM(SUBSTITUTE(MID(SUBSTITUTE(INDEX($A$9:$A$2008,$W272),CHAR(10)," "),SEARCH("Folio",SUBSTITUTE(INDEX($A$9:$A$2008,$W272),CHAR(10)," "))+5,200),":","")),""))</f>
        <v/>
      </c>
      <c r="AB272" s="28">
        <f>IF($W272="","",IF(ISNUMBER(INDEX($D$9:$D$2008,$W272)),INDEX($D$9:$D$2008,$W272),IFERROR(DATE(2000+VALUE(RIGHT(INDEX($D$9:$D$2008,$W272),2)),VALUE(MID(INDEX($D$9:$D$2008,$W272),4,2)),VALUE(LEFT(INDEX($D$9:$D$2008,$W272),2))),"")))</f>
        <v/>
      </c>
      <c r="AC272" s="29">
        <f>IF($W272="","",IFERROR(IF(ISNUMBER(INDEX($E$9:$E$2008,$W272)),INDEX($E$9:$E$2008,$W272),VALUE(SUBSTITUTE(INDEX($E$9:$E$2008,$W272),",",""))),""))</f>
        <v/>
      </c>
      <c r="AD272" s="29">
        <f>IF($W272="","",IFERROR(IF(ISNUMBER(INDEX($F$9:$F$2008,$W272)),INDEX($F$9:$F$2008,$W272),VALUE(SUBSTITUTE(INDEX($F$9:$F$2008,$W272),",",""))),""))</f>
        <v/>
      </c>
      <c r="AE272" s="29">
        <f>IF($W272="","",IFERROR(IF(ISNUMBER(INDEX($G$9:$G$2008,$W272)),INDEX($G$9:$G$2008,$W272),VALUE(SUBSTITUTE(INDEX($G$9:$G$2008,$W272),",",""))),""))</f>
        <v/>
      </c>
      <c r="AF272" s="29">
        <f>IF($W272="","",IFERROR(IF(ISNUMBER(INDEX($H$9:$H$2008,$W272)),INDEX($H$9:$H$2008,$W272),VALUE(SUBSTITUTE(INDEX($H$9:$H$2008,$W272),",",""))),""))</f>
        <v/>
      </c>
      <c r="AG272" s="29">
        <f>IF($W272="","",IFERROR(IF(ISNUMBER(INDEX($I$9:$I$2008,$W272)),INDEX($I$9:$I$2008,$W272),VALUE(SUBSTITUTE(INDEX($I$9:$I$2008,$W272),",",""))),""))</f>
        <v/>
      </c>
      <c r="AH272" s="29">
        <f>IF($W272="","",IFERROR(IF(ISNUMBER(INDEX($J$9:$J$2008,$W272)),INDEX($J$9:$J$2008,$W272),VALUE(SUBSTITUTE(INDEX($J$9:$J$2008,$W272),",",""))),""))</f>
        <v/>
      </c>
      <c r="AI272" s="29">
        <f>IF($W272="","",IFERROR(IF(ISNUMBER(INDEX($K$9:$K$2008,$W272)),INDEX($K$9:$K$2008,$W272),VALUE(SUBSTITUTE(INDEX($K$9:$K$2008,$W272),",",""))),""))</f>
        <v/>
      </c>
      <c r="AJ272" s="30">
        <f>IF($W272="","",IFERROR(IF(ISNUMBER(INDEX($L$9:$L$2008,$W272)),INDEX($L$9:$L$2008,$W272),VALUE(SUBSTITUTE(INDEX($L$9:$L$2008,$W272),",",""))),""))</f>
        <v/>
      </c>
      <c r="AK272" s="30">
        <f>IF($W272="","",IFERROR(IF(ISNUMBER(INDEX($M$9:$M$2008,$W272)),INDEX($M$9:$M$2008,$W272),VALUE(SUBSTITUTE(INDEX($M$9:$M$2008,$W272),",",""))),""))</f>
        <v/>
      </c>
      <c r="AL272" s="31">
        <f>IF($W272="","",IFERROR(IF(ISNUMBER(INDEX($P$9:$P$2008,$W272)),INDEX($P$9:$P$2008,$W272),VALUE(SUBSTITUTE(INDEX($P$9:$P$2008,$W272),"%",""))/100),""))</f>
        <v/>
      </c>
    </row>
    <row r="273">
      <c r="S273">
        <f>IF(AND(ISTEXT($A273),ISNUMBER(SEARCH(" - ",$A273)),ISERROR(SEARCH("Folio",$A273)),$D273=""),TRIM($A273),$S272)</f>
        <v/>
      </c>
      <c r="T273">
        <f>IF(AND(ISNUMBER(SEARCH("Folio",$A273)),$D273&lt;&gt;""),1,"")</f>
        <v/>
      </c>
      <c r="U273">
        <f>IF($T273=1,COUNTIF($T$9:$T273,1),"")</f>
        <v/>
      </c>
      <c r="V273">
        <f>IF(AND(ISTEXT($A273),LEFT($A274,3)="Pan"),1,"")</f>
        <v/>
      </c>
      <c r="W273" s="21">
        <f>IFERROR(MATCH(265,$U$9:$U$2008,0),"")</f>
        <v/>
      </c>
      <c r="X273" s="22">
        <f>IF($W273="","",IF($R$5&lt;&gt;"",$R$5,$R$6))</f>
        <v/>
      </c>
      <c r="Y273" s="22">
        <f>IF($W273="","",INDEX($S$9:$S$2008,$W273))</f>
        <v/>
      </c>
      <c r="Z273" s="22">
        <f>IF($W273="","",IFERROR(TRIM(LEFT(SUBSTITUTE(INDEX($A$9:$A$2008,$W273),CHAR(10)," "),SEARCH("Folio",SUBSTITUTE(INDEX($A$9:$A$2008,$W273),CHAR(10)," "))-1)),TRIM(SUBSTITUTE(INDEX($A$9:$A$2008,$W273),CHAR(10)," "))))</f>
        <v/>
      </c>
      <c r="AA273" s="22">
        <f>IF($W273="","",IFERROR(TRIM(SUBSTITUTE(MID(SUBSTITUTE(INDEX($A$9:$A$2008,$W273),CHAR(10)," "),SEARCH("Folio",SUBSTITUTE(INDEX($A$9:$A$2008,$W273),CHAR(10)," "))+5,200),":","")),""))</f>
        <v/>
      </c>
      <c r="AB273" s="23">
        <f>IF($W273="","",IF(ISNUMBER(INDEX($D$9:$D$2008,$W273)),INDEX($D$9:$D$2008,$W273),IFERROR(DATE(2000+VALUE(RIGHT(INDEX($D$9:$D$2008,$W273),2)),VALUE(MID(INDEX($D$9:$D$2008,$W273),4,2)),VALUE(LEFT(INDEX($D$9:$D$2008,$W273),2))),"")))</f>
        <v/>
      </c>
      <c r="AC273" s="24">
        <f>IF($W273="","",IFERROR(IF(ISNUMBER(INDEX($E$9:$E$2008,$W273)),INDEX($E$9:$E$2008,$W273),VALUE(SUBSTITUTE(INDEX($E$9:$E$2008,$W273),",",""))),""))</f>
        <v/>
      </c>
      <c r="AD273" s="24">
        <f>IF($W273="","",IFERROR(IF(ISNUMBER(INDEX($F$9:$F$2008,$W273)),INDEX($F$9:$F$2008,$W273),VALUE(SUBSTITUTE(INDEX($F$9:$F$2008,$W273),",",""))),""))</f>
        <v/>
      </c>
      <c r="AE273" s="24">
        <f>IF($W273="","",IFERROR(IF(ISNUMBER(INDEX($G$9:$G$2008,$W273)),INDEX($G$9:$G$2008,$W273),VALUE(SUBSTITUTE(INDEX($G$9:$G$2008,$W273),",",""))),""))</f>
        <v/>
      </c>
      <c r="AF273" s="24">
        <f>IF($W273="","",IFERROR(IF(ISNUMBER(INDEX($H$9:$H$2008,$W273)),INDEX($H$9:$H$2008,$W273),VALUE(SUBSTITUTE(INDEX($H$9:$H$2008,$W273),",",""))),""))</f>
        <v/>
      </c>
      <c r="AG273" s="24">
        <f>IF($W273="","",IFERROR(IF(ISNUMBER(INDEX($I$9:$I$2008,$W273)),INDEX($I$9:$I$2008,$W273),VALUE(SUBSTITUTE(INDEX($I$9:$I$2008,$W273),",",""))),""))</f>
        <v/>
      </c>
      <c r="AH273" s="24">
        <f>IF($W273="","",IFERROR(IF(ISNUMBER(INDEX($J$9:$J$2008,$W273)),INDEX($J$9:$J$2008,$W273),VALUE(SUBSTITUTE(INDEX($J$9:$J$2008,$W273),",",""))),""))</f>
        <v/>
      </c>
      <c r="AI273" s="24">
        <f>IF($W273="","",IFERROR(IF(ISNUMBER(INDEX($K$9:$K$2008,$W273)),INDEX($K$9:$K$2008,$W273),VALUE(SUBSTITUTE(INDEX($K$9:$K$2008,$W273),",",""))),""))</f>
        <v/>
      </c>
      <c r="AJ273" s="25">
        <f>IF($W273="","",IFERROR(IF(ISNUMBER(INDEX($L$9:$L$2008,$W273)),INDEX($L$9:$L$2008,$W273),VALUE(SUBSTITUTE(INDEX($L$9:$L$2008,$W273),",",""))),""))</f>
        <v/>
      </c>
      <c r="AK273" s="25">
        <f>IF($W273="","",IFERROR(IF(ISNUMBER(INDEX($M$9:$M$2008,$W273)),INDEX($M$9:$M$2008,$W273),VALUE(SUBSTITUTE(INDEX($M$9:$M$2008,$W273),",",""))),""))</f>
        <v/>
      </c>
      <c r="AL273" s="26">
        <f>IF($W273="","",IFERROR(IF(ISNUMBER(INDEX($P$9:$P$2008,$W273)),INDEX($P$9:$P$2008,$W273),VALUE(SUBSTITUTE(INDEX($P$9:$P$2008,$W273),"%",""))/100),""))</f>
        <v/>
      </c>
    </row>
    <row r="274">
      <c r="S274">
        <f>IF(AND(ISTEXT($A274),ISNUMBER(SEARCH(" - ",$A274)),ISERROR(SEARCH("Folio",$A274)),$D274=""),TRIM($A274),$S273)</f>
        <v/>
      </c>
      <c r="T274">
        <f>IF(AND(ISNUMBER(SEARCH("Folio",$A274)),$D274&lt;&gt;""),1,"")</f>
        <v/>
      </c>
      <c r="U274">
        <f>IF($T274=1,COUNTIF($T$9:$T274,1),"")</f>
        <v/>
      </c>
      <c r="V274">
        <f>IF(AND(ISTEXT($A274),LEFT($A275,3)="Pan"),1,"")</f>
        <v/>
      </c>
      <c r="W274" s="21">
        <f>IFERROR(MATCH(266,$U$9:$U$2008,0),"")</f>
        <v/>
      </c>
      <c r="X274" s="27">
        <f>IF($W274="","",IF($R$5&lt;&gt;"",$R$5,$R$6))</f>
        <v/>
      </c>
      <c r="Y274" s="27">
        <f>IF($W274="","",INDEX($S$9:$S$2008,$W274))</f>
        <v/>
      </c>
      <c r="Z274" s="27">
        <f>IF($W274="","",IFERROR(TRIM(LEFT(SUBSTITUTE(INDEX($A$9:$A$2008,$W274),CHAR(10)," "),SEARCH("Folio",SUBSTITUTE(INDEX($A$9:$A$2008,$W274),CHAR(10)," "))-1)),TRIM(SUBSTITUTE(INDEX($A$9:$A$2008,$W274),CHAR(10)," "))))</f>
        <v/>
      </c>
      <c r="AA274" s="27">
        <f>IF($W274="","",IFERROR(TRIM(SUBSTITUTE(MID(SUBSTITUTE(INDEX($A$9:$A$2008,$W274),CHAR(10)," "),SEARCH("Folio",SUBSTITUTE(INDEX($A$9:$A$2008,$W274),CHAR(10)," "))+5,200),":","")),""))</f>
        <v/>
      </c>
      <c r="AB274" s="28">
        <f>IF($W274="","",IF(ISNUMBER(INDEX($D$9:$D$2008,$W274)),INDEX($D$9:$D$2008,$W274),IFERROR(DATE(2000+VALUE(RIGHT(INDEX($D$9:$D$2008,$W274),2)),VALUE(MID(INDEX($D$9:$D$2008,$W274),4,2)),VALUE(LEFT(INDEX($D$9:$D$2008,$W274),2))),"")))</f>
        <v/>
      </c>
      <c r="AC274" s="29">
        <f>IF($W274="","",IFERROR(IF(ISNUMBER(INDEX($E$9:$E$2008,$W274)),INDEX($E$9:$E$2008,$W274),VALUE(SUBSTITUTE(INDEX($E$9:$E$2008,$W274),",",""))),""))</f>
        <v/>
      </c>
      <c r="AD274" s="29">
        <f>IF($W274="","",IFERROR(IF(ISNUMBER(INDEX($F$9:$F$2008,$W274)),INDEX($F$9:$F$2008,$W274),VALUE(SUBSTITUTE(INDEX($F$9:$F$2008,$W274),",",""))),""))</f>
        <v/>
      </c>
      <c r="AE274" s="29">
        <f>IF($W274="","",IFERROR(IF(ISNUMBER(INDEX($G$9:$G$2008,$W274)),INDEX($G$9:$G$2008,$W274),VALUE(SUBSTITUTE(INDEX($G$9:$G$2008,$W274),",",""))),""))</f>
        <v/>
      </c>
      <c r="AF274" s="29">
        <f>IF($W274="","",IFERROR(IF(ISNUMBER(INDEX($H$9:$H$2008,$W274)),INDEX($H$9:$H$2008,$W274),VALUE(SUBSTITUTE(INDEX($H$9:$H$2008,$W274),",",""))),""))</f>
        <v/>
      </c>
      <c r="AG274" s="29">
        <f>IF($W274="","",IFERROR(IF(ISNUMBER(INDEX($I$9:$I$2008,$W274)),INDEX($I$9:$I$2008,$W274),VALUE(SUBSTITUTE(INDEX($I$9:$I$2008,$W274),",",""))),""))</f>
        <v/>
      </c>
      <c r="AH274" s="29">
        <f>IF($W274="","",IFERROR(IF(ISNUMBER(INDEX($J$9:$J$2008,$W274)),INDEX($J$9:$J$2008,$W274),VALUE(SUBSTITUTE(INDEX($J$9:$J$2008,$W274),",",""))),""))</f>
        <v/>
      </c>
      <c r="AI274" s="29">
        <f>IF($W274="","",IFERROR(IF(ISNUMBER(INDEX($K$9:$K$2008,$W274)),INDEX($K$9:$K$2008,$W274),VALUE(SUBSTITUTE(INDEX($K$9:$K$2008,$W274),",",""))),""))</f>
        <v/>
      </c>
      <c r="AJ274" s="30">
        <f>IF($W274="","",IFERROR(IF(ISNUMBER(INDEX($L$9:$L$2008,$W274)),INDEX($L$9:$L$2008,$W274),VALUE(SUBSTITUTE(INDEX($L$9:$L$2008,$W274),",",""))),""))</f>
        <v/>
      </c>
      <c r="AK274" s="30">
        <f>IF($W274="","",IFERROR(IF(ISNUMBER(INDEX($M$9:$M$2008,$W274)),INDEX($M$9:$M$2008,$W274),VALUE(SUBSTITUTE(INDEX($M$9:$M$2008,$W274),",",""))),""))</f>
        <v/>
      </c>
      <c r="AL274" s="31">
        <f>IF($W274="","",IFERROR(IF(ISNUMBER(INDEX($P$9:$P$2008,$W274)),INDEX($P$9:$P$2008,$W274),VALUE(SUBSTITUTE(INDEX($P$9:$P$2008,$W274),"%",""))/100),""))</f>
        <v/>
      </c>
    </row>
    <row r="275">
      <c r="S275">
        <f>IF(AND(ISTEXT($A275),ISNUMBER(SEARCH(" - ",$A275)),ISERROR(SEARCH("Folio",$A275)),$D275=""),TRIM($A275),$S274)</f>
        <v/>
      </c>
      <c r="T275">
        <f>IF(AND(ISNUMBER(SEARCH("Folio",$A275)),$D275&lt;&gt;""),1,"")</f>
        <v/>
      </c>
      <c r="U275">
        <f>IF($T275=1,COUNTIF($T$9:$T275,1),"")</f>
        <v/>
      </c>
      <c r="V275">
        <f>IF(AND(ISTEXT($A275),LEFT($A276,3)="Pan"),1,"")</f>
        <v/>
      </c>
      <c r="W275" s="21">
        <f>IFERROR(MATCH(267,$U$9:$U$2008,0),"")</f>
        <v/>
      </c>
      <c r="X275" s="22">
        <f>IF($W275="","",IF($R$5&lt;&gt;"",$R$5,$R$6))</f>
        <v/>
      </c>
      <c r="Y275" s="22">
        <f>IF($W275="","",INDEX($S$9:$S$2008,$W275))</f>
        <v/>
      </c>
      <c r="Z275" s="22">
        <f>IF($W275="","",IFERROR(TRIM(LEFT(SUBSTITUTE(INDEX($A$9:$A$2008,$W275),CHAR(10)," "),SEARCH("Folio",SUBSTITUTE(INDEX($A$9:$A$2008,$W275),CHAR(10)," "))-1)),TRIM(SUBSTITUTE(INDEX($A$9:$A$2008,$W275),CHAR(10)," "))))</f>
        <v/>
      </c>
      <c r="AA275" s="22">
        <f>IF($W275="","",IFERROR(TRIM(SUBSTITUTE(MID(SUBSTITUTE(INDEX($A$9:$A$2008,$W275),CHAR(10)," "),SEARCH("Folio",SUBSTITUTE(INDEX($A$9:$A$2008,$W275),CHAR(10)," "))+5,200),":","")),""))</f>
        <v/>
      </c>
      <c r="AB275" s="23">
        <f>IF($W275="","",IF(ISNUMBER(INDEX($D$9:$D$2008,$W275)),INDEX($D$9:$D$2008,$W275),IFERROR(DATE(2000+VALUE(RIGHT(INDEX($D$9:$D$2008,$W275),2)),VALUE(MID(INDEX($D$9:$D$2008,$W275),4,2)),VALUE(LEFT(INDEX($D$9:$D$2008,$W275),2))),"")))</f>
        <v/>
      </c>
      <c r="AC275" s="24">
        <f>IF($W275="","",IFERROR(IF(ISNUMBER(INDEX($E$9:$E$2008,$W275)),INDEX($E$9:$E$2008,$W275),VALUE(SUBSTITUTE(INDEX($E$9:$E$2008,$W275),",",""))),""))</f>
        <v/>
      </c>
      <c r="AD275" s="24">
        <f>IF($W275="","",IFERROR(IF(ISNUMBER(INDEX($F$9:$F$2008,$W275)),INDEX($F$9:$F$2008,$W275),VALUE(SUBSTITUTE(INDEX($F$9:$F$2008,$W275),",",""))),""))</f>
        <v/>
      </c>
      <c r="AE275" s="24">
        <f>IF($W275="","",IFERROR(IF(ISNUMBER(INDEX($G$9:$G$2008,$W275)),INDEX($G$9:$G$2008,$W275),VALUE(SUBSTITUTE(INDEX($G$9:$G$2008,$W275),",",""))),""))</f>
        <v/>
      </c>
      <c r="AF275" s="24">
        <f>IF($W275="","",IFERROR(IF(ISNUMBER(INDEX($H$9:$H$2008,$W275)),INDEX($H$9:$H$2008,$W275),VALUE(SUBSTITUTE(INDEX($H$9:$H$2008,$W275),",",""))),""))</f>
        <v/>
      </c>
      <c r="AG275" s="24">
        <f>IF($W275="","",IFERROR(IF(ISNUMBER(INDEX($I$9:$I$2008,$W275)),INDEX($I$9:$I$2008,$W275),VALUE(SUBSTITUTE(INDEX($I$9:$I$2008,$W275),",",""))),""))</f>
        <v/>
      </c>
      <c r="AH275" s="24">
        <f>IF($W275="","",IFERROR(IF(ISNUMBER(INDEX($J$9:$J$2008,$W275)),INDEX($J$9:$J$2008,$W275),VALUE(SUBSTITUTE(INDEX($J$9:$J$2008,$W275),",",""))),""))</f>
        <v/>
      </c>
      <c r="AI275" s="24">
        <f>IF($W275="","",IFERROR(IF(ISNUMBER(INDEX($K$9:$K$2008,$W275)),INDEX($K$9:$K$2008,$W275),VALUE(SUBSTITUTE(INDEX($K$9:$K$2008,$W275),",",""))),""))</f>
        <v/>
      </c>
      <c r="AJ275" s="25">
        <f>IF($W275="","",IFERROR(IF(ISNUMBER(INDEX($L$9:$L$2008,$W275)),INDEX($L$9:$L$2008,$W275),VALUE(SUBSTITUTE(INDEX($L$9:$L$2008,$W275),",",""))),""))</f>
        <v/>
      </c>
      <c r="AK275" s="25">
        <f>IF($W275="","",IFERROR(IF(ISNUMBER(INDEX($M$9:$M$2008,$W275)),INDEX($M$9:$M$2008,$W275),VALUE(SUBSTITUTE(INDEX($M$9:$M$2008,$W275),",",""))),""))</f>
        <v/>
      </c>
      <c r="AL275" s="26">
        <f>IF($W275="","",IFERROR(IF(ISNUMBER(INDEX($P$9:$P$2008,$W275)),INDEX($P$9:$P$2008,$W275),VALUE(SUBSTITUTE(INDEX($P$9:$P$2008,$W275),"%",""))/100),""))</f>
        <v/>
      </c>
    </row>
    <row r="276">
      <c r="S276">
        <f>IF(AND(ISTEXT($A276),ISNUMBER(SEARCH(" - ",$A276)),ISERROR(SEARCH("Folio",$A276)),$D276=""),TRIM($A276),$S275)</f>
        <v/>
      </c>
      <c r="T276">
        <f>IF(AND(ISNUMBER(SEARCH("Folio",$A276)),$D276&lt;&gt;""),1,"")</f>
        <v/>
      </c>
      <c r="U276">
        <f>IF($T276=1,COUNTIF($T$9:$T276,1),"")</f>
        <v/>
      </c>
      <c r="V276">
        <f>IF(AND(ISTEXT($A276),LEFT($A277,3)="Pan"),1,"")</f>
        <v/>
      </c>
      <c r="W276" s="21">
        <f>IFERROR(MATCH(268,$U$9:$U$2008,0),"")</f>
        <v/>
      </c>
      <c r="X276" s="27">
        <f>IF($W276="","",IF($R$5&lt;&gt;"",$R$5,$R$6))</f>
        <v/>
      </c>
      <c r="Y276" s="27">
        <f>IF($W276="","",INDEX($S$9:$S$2008,$W276))</f>
        <v/>
      </c>
      <c r="Z276" s="27">
        <f>IF($W276="","",IFERROR(TRIM(LEFT(SUBSTITUTE(INDEX($A$9:$A$2008,$W276),CHAR(10)," "),SEARCH("Folio",SUBSTITUTE(INDEX($A$9:$A$2008,$W276),CHAR(10)," "))-1)),TRIM(SUBSTITUTE(INDEX($A$9:$A$2008,$W276),CHAR(10)," "))))</f>
        <v/>
      </c>
      <c r="AA276" s="27">
        <f>IF($W276="","",IFERROR(TRIM(SUBSTITUTE(MID(SUBSTITUTE(INDEX($A$9:$A$2008,$W276),CHAR(10)," "),SEARCH("Folio",SUBSTITUTE(INDEX($A$9:$A$2008,$W276),CHAR(10)," "))+5,200),":","")),""))</f>
        <v/>
      </c>
      <c r="AB276" s="28">
        <f>IF($W276="","",IF(ISNUMBER(INDEX($D$9:$D$2008,$W276)),INDEX($D$9:$D$2008,$W276),IFERROR(DATE(2000+VALUE(RIGHT(INDEX($D$9:$D$2008,$W276),2)),VALUE(MID(INDEX($D$9:$D$2008,$W276),4,2)),VALUE(LEFT(INDEX($D$9:$D$2008,$W276),2))),"")))</f>
        <v/>
      </c>
      <c r="AC276" s="29">
        <f>IF($W276="","",IFERROR(IF(ISNUMBER(INDEX($E$9:$E$2008,$W276)),INDEX($E$9:$E$2008,$W276),VALUE(SUBSTITUTE(INDEX($E$9:$E$2008,$W276),",",""))),""))</f>
        <v/>
      </c>
      <c r="AD276" s="29">
        <f>IF($W276="","",IFERROR(IF(ISNUMBER(INDEX($F$9:$F$2008,$W276)),INDEX($F$9:$F$2008,$W276),VALUE(SUBSTITUTE(INDEX($F$9:$F$2008,$W276),",",""))),""))</f>
        <v/>
      </c>
      <c r="AE276" s="29">
        <f>IF($W276="","",IFERROR(IF(ISNUMBER(INDEX($G$9:$G$2008,$W276)),INDEX($G$9:$G$2008,$W276),VALUE(SUBSTITUTE(INDEX($G$9:$G$2008,$W276),",",""))),""))</f>
        <v/>
      </c>
      <c r="AF276" s="29">
        <f>IF($W276="","",IFERROR(IF(ISNUMBER(INDEX($H$9:$H$2008,$W276)),INDEX($H$9:$H$2008,$W276),VALUE(SUBSTITUTE(INDEX($H$9:$H$2008,$W276),",",""))),""))</f>
        <v/>
      </c>
      <c r="AG276" s="29">
        <f>IF($W276="","",IFERROR(IF(ISNUMBER(INDEX($I$9:$I$2008,$W276)),INDEX($I$9:$I$2008,$W276),VALUE(SUBSTITUTE(INDEX($I$9:$I$2008,$W276),",",""))),""))</f>
        <v/>
      </c>
      <c r="AH276" s="29">
        <f>IF($W276="","",IFERROR(IF(ISNUMBER(INDEX($J$9:$J$2008,$W276)),INDEX($J$9:$J$2008,$W276),VALUE(SUBSTITUTE(INDEX($J$9:$J$2008,$W276),",",""))),""))</f>
        <v/>
      </c>
      <c r="AI276" s="29">
        <f>IF($W276="","",IFERROR(IF(ISNUMBER(INDEX($K$9:$K$2008,$W276)),INDEX($K$9:$K$2008,$W276),VALUE(SUBSTITUTE(INDEX($K$9:$K$2008,$W276),",",""))),""))</f>
        <v/>
      </c>
      <c r="AJ276" s="30">
        <f>IF($W276="","",IFERROR(IF(ISNUMBER(INDEX($L$9:$L$2008,$W276)),INDEX($L$9:$L$2008,$W276),VALUE(SUBSTITUTE(INDEX($L$9:$L$2008,$W276),",",""))),""))</f>
        <v/>
      </c>
      <c r="AK276" s="30">
        <f>IF($W276="","",IFERROR(IF(ISNUMBER(INDEX($M$9:$M$2008,$W276)),INDEX($M$9:$M$2008,$W276),VALUE(SUBSTITUTE(INDEX($M$9:$M$2008,$W276),",",""))),""))</f>
        <v/>
      </c>
      <c r="AL276" s="31">
        <f>IF($W276="","",IFERROR(IF(ISNUMBER(INDEX($P$9:$P$2008,$W276)),INDEX($P$9:$P$2008,$W276),VALUE(SUBSTITUTE(INDEX($P$9:$P$2008,$W276),"%",""))/100),""))</f>
        <v/>
      </c>
    </row>
    <row r="277">
      <c r="S277">
        <f>IF(AND(ISTEXT($A277),ISNUMBER(SEARCH(" - ",$A277)),ISERROR(SEARCH("Folio",$A277)),$D277=""),TRIM($A277),$S276)</f>
        <v/>
      </c>
      <c r="T277">
        <f>IF(AND(ISNUMBER(SEARCH("Folio",$A277)),$D277&lt;&gt;""),1,"")</f>
        <v/>
      </c>
      <c r="U277">
        <f>IF($T277=1,COUNTIF($T$9:$T277,1),"")</f>
        <v/>
      </c>
      <c r="V277">
        <f>IF(AND(ISTEXT($A277),LEFT($A278,3)="Pan"),1,"")</f>
        <v/>
      </c>
      <c r="W277" s="21">
        <f>IFERROR(MATCH(269,$U$9:$U$2008,0),"")</f>
        <v/>
      </c>
      <c r="X277" s="22">
        <f>IF($W277="","",IF($R$5&lt;&gt;"",$R$5,$R$6))</f>
        <v/>
      </c>
      <c r="Y277" s="22">
        <f>IF($W277="","",INDEX($S$9:$S$2008,$W277))</f>
        <v/>
      </c>
      <c r="Z277" s="22">
        <f>IF($W277="","",IFERROR(TRIM(LEFT(SUBSTITUTE(INDEX($A$9:$A$2008,$W277),CHAR(10)," "),SEARCH("Folio",SUBSTITUTE(INDEX($A$9:$A$2008,$W277),CHAR(10)," "))-1)),TRIM(SUBSTITUTE(INDEX($A$9:$A$2008,$W277),CHAR(10)," "))))</f>
        <v/>
      </c>
      <c r="AA277" s="22">
        <f>IF($W277="","",IFERROR(TRIM(SUBSTITUTE(MID(SUBSTITUTE(INDEX($A$9:$A$2008,$W277),CHAR(10)," "),SEARCH("Folio",SUBSTITUTE(INDEX($A$9:$A$2008,$W277),CHAR(10)," "))+5,200),":","")),""))</f>
        <v/>
      </c>
      <c r="AB277" s="23">
        <f>IF($W277="","",IF(ISNUMBER(INDEX($D$9:$D$2008,$W277)),INDEX($D$9:$D$2008,$W277),IFERROR(DATE(2000+VALUE(RIGHT(INDEX($D$9:$D$2008,$W277),2)),VALUE(MID(INDEX($D$9:$D$2008,$W277),4,2)),VALUE(LEFT(INDEX($D$9:$D$2008,$W277),2))),"")))</f>
        <v/>
      </c>
      <c r="AC277" s="24">
        <f>IF($W277="","",IFERROR(IF(ISNUMBER(INDEX($E$9:$E$2008,$W277)),INDEX($E$9:$E$2008,$W277),VALUE(SUBSTITUTE(INDEX($E$9:$E$2008,$W277),",",""))),""))</f>
        <v/>
      </c>
      <c r="AD277" s="24">
        <f>IF($W277="","",IFERROR(IF(ISNUMBER(INDEX($F$9:$F$2008,$W277)),INDEX($F$9:$F$2008,$W277),VALUE(SUBSTITUTE(INDEX($F$9:$F$2008,$W277),",",""))),""))</f>
        <v/>
      </c>
      <c r="AE277" s="24">
        <f>IF($W277="","",IFERROR(IF(ISNUMBER(INDEX($G$9:$G$2008,$W277)),INDEX($G$9:$G$2008,$W277),VALUE(SUBSTITUTE(INDEX($G$9:$G$2008,$W277),",",""))),""))</f>
        <v/>
      </c>
      <c r="AF277" s="24">
        <f>IF($W277="","",IFERROR(IF(ISNUMBER(INDEX($H$9:$H$2008,$W277)),INDEX($H$9:$H$2008,$W277),VALUE(SUBSTITUTE(INDEX($H$9:$H$2008,$W277),",",""))),""))</f>
        <v/>
      </c>
      <c r="AG277" s="24">
        <f>IF($W277="","",IFERROR(IF(ISNUMBER(INDEX($I$9:$I$2008,$W277)),INDEX($I$9:$I$2008,$W277),VALUE(SUBSTITUTE(INDEX($I$9:$I$2008,$W277),",",""))),""))</f>
        <v/>
      </c>
      <c r="AH277" s="24">
        <f>IF($W277="","",IFERROR(IF(ISNUMBER(INDEX($J$9:$J$2008,$W277)),INDEX($J$9:$J$2008,$W277),VALUE(SUBSTITUTE(INDEX($J$9:$J$2008,$W277),",",""))),""))</f>
        <v/>
      </c>
      <c r="AI277" s="24">
        <f>IF($W277="","",IFERROR(IF(ISNUMBER(INDEX($K$9:$K$2008,$W277)),INDEX($K$9:$K$2008,$W277),VALUE(SUBSTITUTE(INDEX($K$9:$K$2008,$W277),",",""))),""))</f>
        <v/>
      </c>
      <c r="AJ277" s="25">
        <f>IF($W277="","",IFERROR(IF(ISNUMBER(INDEX($L$9:$L$2008,$W277)),INDEX($L$9:$L$2008,$W277),VALUE(SUBSTITUTE(INDEX($L$9:$L$2008,$W277),",",""))),""))</f>
        <v/>
      </c>
      <c r="AK277" s="25">
        <f>IF($W277="","",IFERROR(IF(ISNUMBER(INDEX($M$9:$M$2008,$W277)),INDEX($M$9:$M$2008,$W277),VALUE(SUBSTITUTE(INDEX($M$9:$M$2008,$W277),",",""))),""))</f>
        <v/>
      </c>
      <c r="AL277" s="26">
        <f>IF($W277="","",IFERROR(IF(ISNUMBER(INDEX($P$9:$P$2008,$W277)),INDEX($P$9:$P$2008,$W277),VALUE(SUBSTITUTE(INDEX($P$9:$P$2008,$W277),"%",""))/100),""))</f>
        <v/>
      </c>
    </row>
    <row r="278">
      <c r="S278">
        <f>IF(AND(ISTEXT($A278),ISNUMBER(SEARCH(" - ",$A278)),ISERROR(SEARCH("Folio",$A278)),$D278=""),TRIM($A278),$S277)</f>
        <v/>
      </c>
      <c r="T278">
        <f>IF(AND(ISNUMBER(SEARCH("Folio",$A278)),$D278&lt;&gt;""),1,"")</f>
        <v/>
      </c>
      <c r="U278">
        <f>IF($T278=1,COUNTIF($T$9:$T278,1),"")</f>
        <v/>
      </c>
      <c r="V278">
        <f>IF(AND(ISTEXT($A278),LEFT($A279,3)="Pan"),1,"")</f>
        <v/>
      </c>
      <c r="W278" s="21">
        <f>IFERROR(MATCH(270,$U$9:$U$2008,0),"")</f>
        <v/>
      </c>
      <c r="X278" s="27">
        <f>IF($W278="","",IF($R$5&lt;&gt;"",$R$5,$R$6))</f>
        <v/>
      </c>
      <c r="Y278" s="27">
        <f>IF($W278="","",INDEX($S$9:$S$2008,$W278))</f>
        <v/>
      </c>
      <c r="Z278" s="27">
        <f>IF($W278="","",IFERROR(TRIM(LEFT(SUBSTITUTE(INDEX($A$9:$A$2008,$W278),CHAR(10)," "),SEARCH("Folio",SUBSTITUTE(INDEX($A$9:$A$2008,$W278),CHAR(10)," "))-1)),TRIM(SUBSTITUTE(INDEX($A$9:$A$2008,$W278),CHAR(10)," "))))</f>
        <v/>
      </c>
      <c r="AA278" s="27">
        <f>IF($W278="","",IFERROR(TRIM(SUBSTITUTE(MID(SUBSTITUTE(INDEX($A$9:$A$2008,$W278),CHAR(10)," "),SEARCH("Folio",SUBSTITUTE(INDEX($A$9:$A$2008,$W278),CHAR(10)," "))+5,200),":","")),""))</f>
        <v/>
      </c>
      <c r="AB278" s="28">
        <f>IF($W278="","",IF(ISNUMBER(INDEX($D$9:$D$2008,$W278)),INDEX($D$9:$D$2008,$W278),IFERROR(DATE(2000+VALUE(RIGHT(INDEX($D$9:$D$2008,$W278),2)),VALUE(MID(INDEX($D$9:$D$2008,$W278),4,2)),VALUE(LEFT(INDEX($D$9:$D$2008,$W278),2))),"")))</f>
        <v/>
      </c>
      <c r="AC278" s="29">
        <f>IF($W278="","",IFERROR(IF(ISNUMBER(INDEX($E$9:$E$2008,$W278)),INDEX($E$9:$E$2008,$W278),VALUE(SUBSTITUTE(INDEX($E$9:$E$2008,$W278),",",""))),""))</f>
        <v/>
      </c>
      <c r="AD278" s="29">
        <f>IF($W278="","",IFERROR(IF(ISNUMBER(INDEX($F$9:$F$2008,$W278)),INDEX($F$9:$F$2008,$W278),VALUE(SUBSTITUTE(INDEX($F$9:$F$2008,$W278),",",""))),""))</f>
        <v/>
      </c>
      <c r="AE278" s="29">
        <f>IF($W278="","",IFERROR(IF(ISNUMBER(INDEX($G$9:$G$2008,$W278)),INDEX($G$9:$G$2008,$W278),VALUE(SUBSTITUTE(INDEX($G$9:$G$2008,$W278),",",""))),""))</f>
        <v/>
      </c>
      <c r="AF278" s="29">
        <f>IF($W278="","",IFERROR(IF(ISNUMBER(INDEX($H$9:$H$2008,$W278)),INDEX($H$9:$H$2008,$W278),VALUE(SUBSTITUTE(INDEX($H$9:$H$2008,$W278),",",""))),""))</f>
        <v/>
      </c>
      <c r="AG278" s="29">
        <f>IF($W278="","",IFERROR(IF(ISNUMBER(INDEX($I$9:$I$2008,$W278)),INDEX($I$9:$I$2008,$W278),VALUE(SUBSTITUTE(INDEX($I$9:$I$2008,$W278),",",""))),""))</f>
        <v/>
      </c>
      <c r="AH278" s="29">
        <f>IF($W278="","",IFERROR(IF(ISNUMBER(INDEX($J$9:$J$2008,$W278)),INDEX($J$9:$J$2008,$W278),VALUE(SUBSTITUTE(INDEX($J$9:$J$2008,$W278),",",""))),""))</f>
        <v/>
      </c>
      <c r="AI278" s="29">
        <f>IF($W278="","",IFERROR(IF(ISNUMBER(INDEX($K$9:$K$2008,$W278)),INDEX($K$9:$K$2008,$W278),VALUE(SUBSTITUTE(INDEX($K$9:$K$2008,$W278),",",""))),""))</f>
        <v/>
      </c>
      <c r="AJ278" s="30">
        <f>IF($W278="","",IFERROR(IF(ISNUMBER(INDEX($L$9:$L$2008,$W278)),INDEX($L$9:$L$2008,$W278),VALUE(SUBSTITUTE(INDEX($L$9:$L$2008,$W278),",",""))),""))</f>
        <v/>
      </c>
      <c r="AK278" s="30">
        <f>IF($W278="","",IFERROR(IF(ISNUMBER(INDEX($M$9:$M$2008,$W278)),INDEX($M$9:$M$2008,$W278),VALUE(SUBSTITUTE(INDEX($M$9:$M$2008,$W278),",",""))),""))</f>
        <v/>
      </c>
      <c r="AL278" s="31">
        <f>IF($W278="","",IFERROR(IF(ISNUMBER(INDEX($P$9:$P$2008,$W278)),INDEX($P$9:$P$2008,$W278),VALUE(SUBSTITUTE(INDEX($P$9:$P$2008,$W278),"%",""))/100),""))</f>
        <v/>
      </c>
    </row>
    <row r="279">
      <c r="S279">
        <f>IF(AND(ISTEXT($A279),ISNUMBER(SEARCH(" - ",$A279)),ISERROR(SEARCH("Folio",$A279)),$D279=""),TRIM($A279),$S278)</f>
        <v/>
      </c>
      <c r="T279">
        <f>IF(AND(ISNUMBER(SEARCH("Folio",$A279)),$D279&lt;&gt;""),1,"")</f>
        <v/>
      </c>
      <c r="U279">
        <f>IF($T279=1,COUNTIF($T$9:$T279,1),"")</f>
        <v/>
      </c>
      <c r="V279">
        <f>IF(AND(ISTEXT($A279),LEFT($A280,3)="Pan"),1,"")</f>
        <v/>
      </c>
      <c r="W279" s="21">
        <f>IFERROR(MATCH(271,$U$9:$U$2008,0),"")</f>
        <v/>
      </c>
      <c r="X279" s="22">
        <f>IF($W279="","",IF($R$5&lt;&gt;"",$R$5,$R$6))</f>
        <v/>
      </c>
      <c r="Y279" s="22">
        <f>IF($W279="","",INDEX($S$9:$S$2008,$W279))</f>
        <v/>
      </c>
      <c r="Z279" s="22">
        <f>IF($W279="","",IFERROR(TRIM(LEFT(SUBSTITUTE(INDEX($A$9:$A$2008,$W279),CHAR(10)," "),SEARCH("Folio",SUBSTITUTE(INDEX($A$9:$A$2008,$W279),CHAR(10)," "))-1)),TRIM(SUBSTITUTE(INDEX($A$9:$A$2008,$W279),CHAR(10)," "))))</f>
        <v/>
      </c>
      <c r="AA279" s="22">
        <f>IF($W279="","",IFERROR(TRIM(SUBSTITUTE(MID(SUBSTITUTE(INDEX($A$9:$A$2008,$W279),CHAR(10)," "),SEARCH("Folio",SUBSTITUTE(INDEX($A$9:$A$2008,$W279),CHAR(10)," "))+5,200),":","")),""))</f>
        <v/>
      </c>
      <c r="AB279" s="23">
        <f>IF($W279="","",IF(ISNUMBER(INDEX($D$9:$D$2008,$W279)),INDEX($D$9:$D$2008,$W279),IFERROR(DATE(2000+VALUE(RIGHT(INDEX($D$9:$D$2008,$W279),2)),VALUE(MID(INDEX($D$9:$D$2008,$W279),4,2)),VALUE(LEFT(INDEX($D$9:$D$2008,$W279),2))),"")))</f>
        <v/>
      </c>
      <c r="AC279" s="24">
        <f>IF($W279="","",IFERROR(IF(ISNUMBER(INDEX($E$9:$E$2008,$W279)),INDEX($E$9:$E$2008,$W279),VALUE(SUBSTITUTE(INDEX($E$9:$E$2008,$W279),",",""))),""))</f>
        <v/>
      </c>
      <c r="AD279" s="24">
        <f>IF($W279="","",IFERROR(IF(ISNUMBER(INDEX($F$9:$F$2008,$W279)),INDEX($F$9:$F$2008,$W279),VALUE(SUBSTITUTE(INDEX($F$9:$F$2008,$W279),",",""))),""))</f>
        <v/>
      </c>
      <c r="AE279" s="24">
        <f>IF($W279="","",IFERROR(IF(ISNUMBER(INDEX($G$9:$G$2008,$W279)),INDEX($G$9:$G$2008,$W279),VALUE(SUBSTITUTE(INDEX($G$9:$G$2008,$W279),",",""))),""))</f>
        <v/>
      </c>
      <c r="AF279" s="24">
        <f>IF($W279="","",IFERROR(IF(ISNUMBER(INDEX($H$9:$H$2008,$W279)),INDEX($H$9:$H$2008,$W279),VALUE(SUBSTITUTE(INDEX($H$9:$H$2008,$W279),",",""))),""))</f>
        <v/>
      </c>
      <c r="AG279" s="24">
        <f>IF($W279="","",IFERROR(IF(ISNUMBER(INDEX($I$9:$I$2008,$W279)),INDEX($I$9:$I$2008,$W279),VALUE(SUBSTITUTE(INDEX($I$9:$I$2008,$W279),",",""))),""))</f>
        <v/>
      </c>
      <c r="AH279" s="24">
        <f>IF($W279="","",IFERROR(IF(ISNUMBER(INDEX($J$9:$J$2008,$W279)),INDEX($J$9:$J$2008,$W279),VALUE(SUBSTITUTE(INDEX($J$9:$J$2008,$W279),",",""))),""))</f>
        <v/>
      </c>
      <c r="AI279" s="24">
        <f>IF($W279="","",IFERROR(IF(ISNUMBER(INDEX($K$9:$K$2008,$W279)),INDEX($K$9:$K$2008,$W279),VALUE(SUBSTITUTE(INDEX($K$9:$K$2008,$W279),",",""))),""))</f>
        <v/>
      </c>
      <c r="AJ279" s="25">
        <f>IF($W279="","",IFERROR(IF(ISNUMBER(INDEX($L$9:$L$2008,$W279)),INDEX($L$9:$L$2008,$W279),VALUE(SUBSTITUTE(INDEX($L$9:$L$2008,$W279),",",""))),""))</f>
        <v/>
      </c>
      <c r="AK279" s="25">
        <f>IF($W279="","",IFERROR(IF(ISNUMBER(INDEX($M$9:$M$2008,$W279)),INDEX($M$9:$M$2008,$W279),VALUE(SUBSTITUTE(INDEX($M$9:$M$2008,$W279),",",""))),""))</f>
        <v/>
      </c>
      <c r="AL279" s="26">
        <f>IF($W279="","",IFERROR(IF(ISNUMBER(INDEX($P$9:$P$2008,$W279)),INDEX($P$9:$P$2008,$W279),VALUE(SUBSTITUTE(INDEX($P$9:$P$2008,$W279),"%",""))/100),""))</f>
        <v/>
      </c>
    </row>
    <row r="280">
      <c r="S280">
        <f>IF(AND(ISTEXT($A280),ISNUMBER(SEARCH(" - ",$A280)),ISERROR(SEARCH("Folio",$A280)),$D280=""),TRIM($A280),$S279)</f>
        <v/>
      </c>
      <c r="T280">
        <f>IF(AND(ISNUMBER(SEARCH("Folio",$A280)),$D280&lt;&gt;""),1,"")</f>
        <v/>
      </c>
      <c r="U280">
        <f>IF($T280=1,COUNTIF($T$9:$T280,1),"")</f>
        <v/>
      </c>
      <c r="V280">
        <f>IF(AND(ISTEXT($A280),LEFT($A281,3)="Pan"),1,"")</f>
        <v/>
      </c>
      <c r="W280" s="21">
        <f>IFERROR(MATCH(272,$U$9:$U$2008,0),"")</f>
        <v/>
      </c>
      <c r="X280" s="27">
        <f>IF($W280="","",IF($R$5&lt;&gt;"",$R$5,$R$6))</f>
        <v/>
      </c>
      <c r="Y280" s="27">
        <f>IF($W280="","",INDEX($S$9:$S$2008,$W280))</f>
        <v/>
      </c>
      <c r="Z280" s="27">
        <f>IF($W280="","",IFERROR(TRIM(LEFT(SUBSTITUTE(INDEX($A$9:$A$2008,$W280),CHAR(10)," "),SEARCH("Folio",SUBSTITUTE(INDEX($A$9:$A$2008,$W280),CHAR(10)," "))-1)),TRIM(SUBSTITUTE(INDEX($A$9:$A$2008,$W280),CHAR(10)," "))))</f>
        <v/>
      </c>
      <c r="AA280" s="27">
        <f>IF($W280="","",IFERROR(TRIM(SUBSTITUTE(MID(SUBSTITUTE(INDEX($A$9:$A$2008,$W280),CHAR(10)," "),SEARCH("Folio",SUBSTITUTE(INDEX($A$9:$A$2008,$W280),CHAR(10)," "))+5,200),":","")),""))</f>
        <v/>
      </c>
      <c r="AB280" s="28">
        <f>IF($W280="","",IF(ISNUMBER(INDEX($D$9:$D$2008,$W280)),INDEX($D$9:$D$2008,$W280),IFERROR(DATE(2000+VALUE(RIGHT(INDEX($D$9:$D$2008,$W280),2)),VALUE(MID(INDEX($D$9:$D$2008,$W280),4,2)),VALUE(LEFT(INDEX($D$9:$D$2008,$W280),2))),"")))</f>
        <v/>
      </c>
      <c r="AC280" s="29">
        <f>IF($W280="","",IFERROR(IF(ISNUMBER(INDEX($E$9:$E$2008,$W280)),INDEX($E$9:$E$2008,$W280),VALUE(SUBSTITUTE(INDEX($E$9:$E$2008,$W280),",",""))),""))</f>
        <v/>
      </c>
      <c r="AD280" s="29">
        <f>IF($W280="","",IFERROR(IF(ISNUMBER(INDEX($F$9:$F$2008,$W280)),INDEX($F$9:$F$2008,$W280),VALUE(SUBSTITUTE(INDEX($F$9:$F$2008,$W280),",",""))),""))</f>
        <v/>
      </c>
      <c r="AE280" s="29">
        <f>IF($W280="","",IFERROR(IF(ISNUMBER(INDEX($G$9:$G$2008,$W280)),INDEX($G$9:$G$2008,$W280),VALUE(SUBSTITUTE(INDEX($G$9:$G$2008,$W280),",",""))),""))</f>
        <v/>
      </c>
      <c r="AF280" s="29">
        <f>IF($W280="","",IFERROR(IF(ISNUMBER(INDEX($H$9:$H$2008,$W280)),INDEX($H$9:$H$2008,$W280),VALUE(SUBSTITUTE(INDEX($H$9:$H$2008,$W280),",",""))),""))</f>
        <v/>
      </c>
      <c r="AG280" s="29">
        <f>IF($W280="","",IFERROR(IF(ISNUMBER(INDEX($I$9:$I$2008,$W280)),INDEX($I$9:$I$2008,$W280),VALUE(SUBSTITUTE(INDEX($I$9:$I$2008,$W280),",",""))),""))</f>
        <v/>
      </c>
      <c r="AH280" s="29">
        <f>IF($W280="","",IFERROR(IF(ISNUMBER(INDEX($J$9:$J$2008,$W280)),INDEX($J$9:$J$2008,$W280),VALUE(SUBSTITUTE(INDEX($J$9:$J$2008,$W280),",",""))),""))</f>
        <v/>
      </c>
      <c r="AI280" s="29">
        <f>IF($W280="","",IFERROR(IF(ISNUMBER(INDEX($K$9:$K$2008,$W280)),INDEX($K$9:$K$2008,$W280),VALUE(SUBSTITUTE(INDEX($K$9:$K$2008,$W280),",",""))),""))</f>
        <v/>
      </c>
      <c r="AJ280" s="30">
        <f>IF($W280="","",IFERROR(IF(ISNUMBER(INDEX($L$9:$L$2008,$W280)),INDEX($L$9:$L$2008,$W280),VALUE(SUBSTITUTE(INDEX($L$9:$L$2008,$W280),",",""))),""))</f>
        <v/>
      </c>
      <c r="AK280" s="30">
        <f>IF($W280="","",IFERROR(IF(ISNUMBER(INDEX($M$9:$M$2008,$W280)),INDEX($M$9:$M$2008,$W280),VALUE(SUBSTITUTE(INDEX($M$9:$M$2008,$W280),",",""))),""))</f>
        <v/>
      </c>
      <c r="AL280" s="31">
        <f>IF($W280="","",IFERROR(IF(ISNUMBER(INDEX($P$9:$P$2008,$W280)),INDEX($P$9:$P$2008,$W280),VALUE(SUBSTITUTE(INDEX($P$9:$P$2008,$W280),"%",""))/100),""))</f>
        <v/>
      </c>
    </row>
    <row r="281">
      <c r="S281">
        <f>IF(AND(ISTEXT($A281),ISNUMBER(SEARCH(" - ",$A281)),ISERROR(SEARCH("Folio",$A281)),$D281=""),TRIM($A281),$S280)</f>
        <v/>
      </c>
      <c r="T281">
        <f>IF(AND(ISNUMBER(SEARCH("Folio",$A281)),$D281&lt;&gt;""),1,"")</f>
        <v/>
      </c>
      <c r="U281">
        <f>IF($T281=1,COUNTIF($T$9:$T281,1),"")</f>
        <v/>
      </c>
      <c r="V281">
        <f>IF(AND(ISTEXT($A281),LEFT($A282,3)="Pan"),1,"")</f>
        <v/>
      </c>
      <c r="W281" s="21">
        <f>IFERROR(MATCH(273,$U$9:$U$2008,0),"")</f>
        <v/>
      </c>
      <c r="X281" s="22">
        <f>IF($W281="","",IF($R$5&lt;&gt;"",$R$5,$R$6))</f>
        <v/>
      </c>
      <c r="Y281" s="22">
        <f>IF($W281="","",INDEX($S$9:$S$2008,$W281))</f>
        <v/>
      </c>
      <c r="Z281" s="22">
        <f>IF($W281="","",IFERROR(TRIM(LEFT(SUBSTITUTE(INDEX($A$9:$A$2008,$W281),CHAR(10)," "),SEARCH("Folio",SUBSTITUTE(INDEX($A$9:$A$2008,$W281),CHAR(10)," "))-1)),TRIM(SUBSTITUTE(INDEX($A$9:$A$2008,$W281),CHAR(10)," "))))</f>
        <v/>
      </c>
      <c r="AA281" s="22">
        <f>IF($W281="","",IFERROR(TRIM(SUBSTITUTE(MID(SUBSTITUTE(INDEX($A$9:$A$2008,$W281),CHAR(10)," "),SEARCH("Folio",SUBSTITUTE(INDEX($A$9:$A$2008,$W281),CHAR(10)," "))+5,200),":","")),""))</f>
        <v/>
      </c>
      <c r="AB281" s="23">
        <f>IF($W281="","",IF(ISNUMBER(INDEX($D$9:$D$2008,$W281)),INDEX($D$9:$D$2008,$W281),IFERROR(DATE(2000+VALUE(RIGHT(INDEX($D$9:$D$2008,$W281),2)),VALUE(MID(INDEX($D$9:$D$2008,$W281),4,2)),VALUE(LEFT(INDEX($D$9:$D$2008,$W281),2))),"")))</f>
        <v/>
      </c>
      <c r="AC281" s="24">
        <f>IF($W281="","",IFERROR(IF(ISNUMBER(INDEX($E$9:$E$2008,$W281)),INDEX($E$9:$E$2008,$W281),VALUE(SUBSTITUTE(INDEX($E$9:$E$2008,$W281),",",""))),""))</f>
        <v/>
      </c>
      <c r="AD281" s="24">
        <f>IF($W281="","",IFERROR(IF(ISNUMBER(INDEX($F$9:$F$2008,$W281)),INDEX($F$9:$F$2008,$W281),VALUE(SUBSTITUTE(INDEX($F$9:$F$2008,$W281),",",""))),""))</f>
        <v/>
      </c>
      <c r="AE281" s="24">
        <f>IF($W281="","",IFERROR(IF(ISNUMBER(INDEX($G$9:$G$2008,$W281)),INDEX($G$9:$G$2008,$W281),VALUE(SUBSTITUTE(INDEX($G$9:$G$2008,$W281),",",""))),""))</f>
        <v/>
      </c>
      <c r="AF281" s="24">
        <f>IF($W281="","",IFERROR(IF(ISNUMBER(INDEX($H$9:$H$2008,$W281)),INDEX($H$9:$H$2008,$W281),VALUE(SUBSTITUTE(INDEX($H$9:$H$2008,$W281),",",""))),""))</f>
        <v/>
      </c>
      <c r="AG281" s="24">
        <f>IF($W281="","",IFERROR(IF(ISNUMBER(INDEX($I$9:$I$2008,$W281)),INDEX($I$9:$I$2008,$W281),VALUE(SUBSTITUTE(INDEX($I$9:$I$2008,$W281),",",""))),""))</f>
        <v/>
      </c>
      <c r="AH281" s="24">
        <f>IF($W281="","",IFERROR(IF(ISNUMBER(INDEX($J$9:$J$2008,$W281)),INDEX($J$9:$J$2008,$W281),VALUE(SUBSTITUTE(INDEX($J$9:$J$2008,$W281),",",""))),""))</f>
        <v/>
      </c>
      <c r="AI281" s="24">
        <f>IF($W281="","",IFERROR(IF(ISNUMBER(INDEX($K$9:$K$2008,$W281)),INDEX($K$9:$K$2008,$W281),VALUE(SUBSTITUTE(INDEX($K$9:$K$2008,$W281),",",""))),""))</f>
        <v/>
      </c>
      <c r="AJ281" s="25">
        <f>IF($W281="","",IFERROR(IF(ISNUMBER(INDEX($L$9:$L$2008,$W281)),INDEX($L$9:$L$2008,$W281),VALUE(SUBSTITUTE(INDEX($L$9:$L$2008,$W281),",",""))),""))</f>
        <v/>
      </c>
      <c r="AK281" s="25">
        <f>IF($W281="","",IFERROR(IF(ISNUMBER(INDEX($M$9:$M$2008,$W281)),INDEX($M$9:$M$2008,$W281),VALUE(SUBSTITUTE(INDEX($M$9:$M$2008,$W281),",",""))),""))</f>
        <v/>
      </c>
      <c r="AL281" s="26">
        <f>IF($W281="","",IFERROR(IF(ISNUMBER(INDEX($P$9:$P$2008,$W281)),INDEX($P$9:$P$2008,$W281),VALUE(SUBSTITUTE(INDEX($P$9:$P$2008,$W281),"%",""))/100),""))</f>
        <v/>
      </c>
    </row>
    <row r="282">
      <c r="S282">
        <f>IF(AND(ISTEXT($A282),ISNUMBER(SEARCH(" - ",$A282)),ISERROR(SEARCH("Folio",$A282)),$D282=""),TRIM($A282),$S281)</f>
        <v/>
      </c>
      <c r="T282">
        <f>IF(AND(ISNUMBER(SEARCH("Folio",$A282)),$D282&lt;&gt;""),1,"")</f>
        <v/>
      </c>
      <c r="U282">
        <f>IF($T282=1,COUNTIF($T$9:$T282,1),"")</f>
        <v/>
      </c>
      <c r="V282">
        <f>IF(AND(ISTEXT($A282),LEFT($A283,3)="Pan"),1,"")</f>
        <v/>
      </c>
      <c r="W282" s="21">
        <f>IFERROR(MATCH(274,$U$9:$U$2008,0),"")</f>
        <v/>
      </c>
      <c r="X282" s="27">
        <f>IF($W282="","",IF($R$5&lt;&gt;"",$R$5,$R$6))</f>
        <v/>
      </c>
      <c r="Y282" s="27">
        <f>IF($W282="","",INDEX($S$9:$S$2008,$W282))</f>
        <v/>
      </c>
      <c r="Z282" s="27">
        <f>IF($W282="","",IFERROR(TRIM(LEFT(SUBSTITUTE(INDEX($A$9:$A$2008,$W282),CHAR(10)," "),SEARCH("Folio",SUBSTITUTE(INDEX($A$9:$A$2008,$W282),CHAR(10)," "))-1)),TRIM(SUBSTITUTE(INDEX($A$9:$A$2008,$W282),CHAR(10)," "))))</f>
        <v/>
      </c>
      <c r="AA282" s="27">
        <f>IF($W282="","",IFERROR(TRIM(SUBSTITUTE(MID(SUBSTITUTE(INDEX($A$9:$A$2008,$W282),CHAR(10)," "),SEARCH("Folio",SUBSTITUTE(INDEX($A$9:$A$2008,$W282),CHAR(10)," "))+5,200),":","")),""))</f>
        <v/>
      </c>
      <c r="AB282" s="28">
        <f>IF($W282="","",IF(ISNUMBER(INDEX($D$9:$D$2008,$W282)),INDEX($D$9:$D$2008,$W282),IFERROR(DATE(2000+VALUE(RIGHT(INDEX($D$9:$D$2008,$W282),2)),VALUE(MID(INDEX($D$9:$D$2008,$W282),4,2)),VALUE(LEFT(INDEX($D$9:$D$2008,$W282),2))),"")))</f>
        <v/>
      </c>
      <c r="AC282" s="29">
        <f>IF($W282="","",IFERROR(IF(ISNUMBER(INDEX($E$9:$E$2008,$W282)),INDEX($E$9:$E$2008,$W282),VALUE(SUBSTITUTE(INDEX($E$9:$E$2008,$W282),",",""))),""))</f>
        <v/>
      </c>
      <c r="AD282" s="29">
        <f>IF($W282="","",IFERROR(IF(ISNUMBER(INDEX($F$9:$F$2008,$W282)),INDEX($F$9:$F$2008,$W282),VALUE(SUBSTITUTE(INDEX($F$9:$F$2008,$W282),",",""))),""))</f>
        <v/>
      </c>
      <c r="AE282" s="29">
        <f>IF($W282="","",IFERROR(IF(ISNUMBER(INDEX($G$9:$G$2008,$W282)),INDEX($G$9:$G$2008,$W282),VALUE(SUBSTITUTE(INDEX($G$9:$G$2008,$W282),",",""))),""))</f>
        <v/>
      </c>
      <c r="AF282" s="29">
        <f>IF($W282="","",IFERROR(IF(ISNUMBER(INDEX($H$9:$H$2008,$W282)),INDEX($H$9:$H$2008,$W282),VALUE(SUBSTITUTE(INDEX($H$9:$H$2008,$W282),",",""))),""))</f>
        <v/>
      </c>
      <c r="AG282" s="29">
        <f>IF($W282="","",IFERROR(IF(ISNUMBER(INDEX($I$9:$I$2008,$W282)),INDEX($I$9:$I$2008,$W282),VALUE(SUBSTITUTE(INDEX($I$9:$I$2008,$W282),",",""))),""))</f>
        <v/>
      </c>
      <c r="AH282" s="29">
        <f>IF($W282="","",IFERROR(IF(ISNUMBER(INDEX($J$9:$J$2008,$W282)),INDEX($J$9:$J$2008,$W282),VALUE(SUBSTITUTE(INDEX($J$9:$J$2008,$W282),",",""))),""))</f>
        <v/>
      </c>
      <c r="AI282" s="29">
        <f>IF($W282="","",IFERROR(IF(ISNUMBER(INDEX($K$9:$K$2008,$W282)),INDEX($K$9:$K$2008,$W282),VALUE(SUBSTITUTE(INDEX($K$9:$K$2008,$W282),",",""))),""))</f>
        <v/>
      </c>
      <c r="AJ282" s="30">
        <f>IF($W282="","",IFERROR(IF(ISNUMBER(INDEX($L$9:$L$2008,$W282)),INDEX($L$9:$L$2008,$W282),VALUE(SUBSTITUTE(INDEX($L$9:$L$2008,$W282),",",""))),""))</f>
        <v/>
      </c>
      <c r="AK282" s="30">
        <f>IF($W282="","",IFERROR(IF(ISNUMBER(INDEX($M$9:$M$2008,$W282)),INDEX($M$9:$M$2008,$W282),VALUE(SUBSTITUTE(INDEX($M$9:$M$2008,$W282),",",""))),""))</f>
        <v/>
      </c>
      <c r="AL282" s="31">
        <f>IF($W282="","",IFERROR(IF(ISNUMBER(INDEX($P$9:$P$2008,$W282)),INDEX($P$9:$P$2008,$W282),VALUE(SUBSTITUTE(INDEX($P$9:$P$2008,$W282),"%",""))/100),""))</f>
        <v/>
      </c>
    </row>
    <row r="283">
      <c r="S283">
        <f>IF(AND(ISTEXT($A283),ISNUMBER(SEARCH(" - ",$A283)),ISERROR(SEARCH("Folio",$A283)),$D283=""),TRIM($A283),$S282)</f>
        <v/>
      </c>
      <c r="T283">
        <f>IF(AND(ISNUMBER(SEARCH("Folio",$A283)),$D283&lt;&gt;""),1,"")</f>
        <v/>
      </c>
      <c r="U283">
        <f>IF($T283=1,COUNTIF($T$9:$T283,1),"")</f>
        <v/>
      </c>
      <c r="V283">
        <f>IF(AND(ISTEXT($A283),LEFT($A284,3)="Pan"),1,"")</f>
        <v/>
      </c>
      <c r="W283" s="21">
        <f>IFERROR(MATCH(275,$U$9:$U$2008,0),"")</f>
        <v/>
      </c>
      <c r="X283" s="22">
        <f>IF($W283="","",IF($R$5&lt;&gt;"",$R$5,$R$6))</f>
        <v/>
      </c>
      <c r="Y283" s="22">
        <f>IF($W283="","",INDEX($S$9:$S$2008,$W283))</f>
        <v/>
      </c>
      <c r="Z283" s="22">
        <f>IF($W283="","",IFERROR(TRIM(LEFT(SUBSTITUTE(INDEX($A$9:$A$2008,$W283),CHAR(10)," "),SEARCH("Folio",SUBSTITUTE(INDEX($A$9:$A$2008,$W283),CHAR(10)," "))-1)),TRIM(SUBSTITUTE(INDEX($A$9:$A$2008,$W283),CHAR(10)," "))))</f>
        <v/>
      </c>
      <c r="AA283" s="22">
        <f>IF($W283="","",IFERROR(TRIM(SUBSTITUTE(MID(SUBSTITUTE(INDEX($A$9:$A$2008,$W283),CHAR(10)," "),SEARCH("Folio",SUBSTITUTE(INDEX($A$9:$A$2008,$W283),CHAR(10)," "))+5,200),":","")),""))</f>
        <v/>
      </c>
      <c r="AB283" s="23">
        <f>IF($W283="","",IF(ISNUMBER(INDEX($D$9:$D$2008,$W283)),INDEX($D$9:$D$2008,$W283),IFERROR(DATE(2000+VALUE(RIGHT(INDEX($D$9:$D$2008,$W283),2)),VALUE(MID(INDEX($D$9:$D$2008,$W283),4,2)),VALUE(LEFT(INDEX($D$9:$D$2008,$W283),2))),"")))</f>
        <v/>
      </c>
      <c r="AC283" s="24">
        <f>IF($W283="","",IFERROR(IF(ISNUMBER(INDEX($E$9:$E$2008,$W283)),INDEX($E$9:$E$2008,$W283),VALUE(SUBSTITUTE(INDEX($E$9:$E$2008,$W283),",",""))),""))</f>
        <v/>
      </c>
      <c r="AD283" s="24">
        <f>IF($W283="","",IFERROR(IF(ISNUMBER(INDEX($F$9:$F$2008,$W283)),INDEX($F$9:$F$2008,$W283),VALUE(SUBSTITUTE(INDEX($F$9:$F$2008,$W283),",",""))),""))</f>
        <v/>
      </c>
      <c r="AE283" s="24">
        <f>IF($W283="","",IFERROR(IF(ISNUMBER(INDEX($G$9:$G$2008,$W283)),INDEX($G$9:$G$2008,$W283),VALUE(SUBSTITUTE(INDEX($G$9:$G$2008,$W283),",",""))),""))</f>
        <v/>
      </c>
      <c r="AF283" s="24">
        <f>IF($W283="","",IFERROR(IF(ISNUMBER(INDEX($H$9:$H$2008,$W283)),INDEX($H$9:$H$2008,$W283),VALUE(SUBSTITUTE(INDEX($H$9:$H$2008,$W283),",",""))),""))</f>
        <v/>
      </c>
      <c r="AG283" s="24">
        <f>IF($W283="","",IFERROR(IF(ISNUMBER(INDEX($I$9:$I$2008,$W283)),INDEX($I$9:$I$2008,$W283),VALUE(SUBSTITUTE(INDEX($I$9:$I$2008,$W283),",",""))),""))</f>
        <v/>
      </c>
      <c r="AH283" s="24">
        <f>IF($W283="","",IFERROR(IF(ISNUMBER(INDEX($J$9:$J$2008,$W283)),INDEX($J$9:$J$2008,$W283),VALUE(SUBSTITUTE(INDEX($J$9:$J$2008,$W283),",",""))),""))</f>
        <v/>
      </c>
      <c r="AI283" s="24">
        <f>IF($W283="","",IFERROR(IF(ISNUMBER(INDEX($K$9:$K$2008,$W283)),INDEX($K$9:$K$2008,$W283),VALUE(SUBSTITUTE(INDEX($K$9:$K$2008,$W283),",",""))),""))</f>
        <v/>
      </c>
      <c r="AJ283" s="25">
        <f>IF($W283="","",IFERROR(IF(ISNUMBER(INDEX($L$9:$L$2008,$W283)),INDEX($L$9:$L$2008,$W283),VALUE(SUBSTITUTE(INDEX($L$9:$L$2008,$W283),",",""))),""))</f>
        <v/>
      </c>
      <c r="AK283" s="25">
        <f>IF($W283="","",IFERROR(IF(ISNUMBER(INDEX($M$9:$M$2008,$W283)),INDEX($M$9:$M$2008,$W283),VALUE(SUBSTITUTE(INDEX($M$9:$M$2008,$W283),",",""))),""))</f>
        <v/>
      </c>
      <c r="AL283" s="26">
        <f>IF($W283="","",IFERROR(IF(ISNUMBER(INDEX($P$9:$P$2008,$W283)),INDEX($P$9:$P$2008,$W283),VALUE(SUBSTITUTE(INDEX($P$9:$P$2008,$W283),"%",""))/100),""))</f>
        <v/>
      </c>
    </row>
    <row r="284">
      <c r="S284">
        <f>IF(AND(ISTEXT($A284),ISNUMBER(SEARCH(" - ",$A284)),ISERROR(SEARCH("Folio",$A284)),$D284=""),TRIM($A284),$S283)</f>
        <v/>
      </c>
      <c r="T284">
        <f>IF(AND(ISNUMBER(SEARCH("Folio",$A284)),$D284&lt;&gt;""),1,"")</f>
        <v/>
      </c>
      <c r="U284">
        <f>IF($T284=1,COUNTIF($T$9:$T284,1),"")</f>
        <v/>
      </c>
      <c r="V284">
        <f>IF(AND(ISTEXT($A284),LEFT($A285,3)="Pan"),1,"")</f>
        <v/>
      </c>
      <c r="W284" s="21">
        <f>IFERROR(MATCH(276,$U$9:$U$2008,0),"")</f>
        <v/>
      </c>
      <c r="X284" s="27">
        <f>IF($W284="","",IF($R$5&lt;&gt;"",$R$5,$R$6))</f>
        <v/>
      </c>
      <c r="Y284" s="27">
        <f>IF($W284="","",INDEX($S$9:$S$2008,$W284))</f>
        <v/>
      </c>
      <c r="Z284" s="27">
        <f>IF($W284="","",IFERROR(TRIM(LEFT(SUBSTITUTE(INDEX($A$9:$A$2008,$W284),CHAR(10)," "),SEARCH("Folio",SUBSTITUTE(INDEX($A$9:$A$2008,$W284),CHAR(10)," "))-1)),TRIM(SUBSTITUTE(INDEX($A$9:$A$2008,$W284),CHAR(10)," "))))</f>
        <v/>
      </c>
      <c r="AA284" s="27">
        <f>IF($W284="","",IFERROR(TRIM(SUBSTITUTE(MID(SUBSTITUTE(INDEX($A$9:$A$2008,$W284),CHAR(10)," "),SEARCH("Folio",SUBSTITUTE(INDEX($A$9:$A$2008,$W284),CHAR(10)," "))+5,200),":","")),""))</f>
        <v/>
      </c>
      <c r="AB284" s="28">
        <f>IF($W284="","",IF(ISNUMBER(INDEX($D$9:$D$2008,$W284)),INDEX($D$9:$D$2008,$W284),IFERROR(DATE(2000+VALUE(RIGHT(INDEX($D$9:$D$2008,$W284),2)),VALUE(MID(INDEX($D$9:$D$2008,$W284),4,2)),VALUE(LEFT(INDEX($D$9:$D$2008,$W284),2))),"")))</f>
        <v/>
      </c>
      <c r="AC284" s="29">
        <f>IF($W284="","",IFERROR(IF(ISNUMBER(INDEX($E$9:$E$2008,$W284)),INDEX($E$9:$E$2008,$W284),VALUE(SUBSTITUTE(INDEX($E$9:$E$2008,$W284),",",""))),""))</f>
        <v/>
      </c>
      <c r="AD284" s="29">
        <f>IF($W284="","",IFERROR(IF(ISNUMBER(INDEX($F$9:$F$2008,$W284)),INDEX($F$9:$F$2008,$W284),VALUE(SUBSTITUTE(INDEX($F$9:$F$2008,$W284),",",""))),""))</f>
        <v/>
      </c>
      <c r="AE284" s="29">
        <f>IF($W284="","",IFERROR(IF(ISNUMBER(INDEX($G$9:$G$2008,$W284)),INDEX($G$9:$G$2008,$W284),VALUE(SUBSTITUTE(INDEX($G$9:$G$2008,$W284),",",""))),""))</f>
        <v/>
      </c>
      <c r="AF284" s="29">
        <f>IF($W284="","",IFERROR(IF(ISNUMBER(INDEX($H$9:$H$2008,$W284)),INDEX($H$9:$H$2008,$W284),VALUE(SUBSTITUTE(INDEX($H$9:$H$2008,$W284),",",""))),""))</f>
        <v/>
      </c>
      <c r="AG284" s="29">
        <f>IF($W284="","",IFERROR(IF(ISNUMBER(INDEX($I$9:$I$2008,$W284)),INDEX($I$9:$I$2008,$W284),VALUE(SUBSTITUTE(INDEX($I$9:$I$2008,$W284),",",""))),""))</f>
        <v/>
      </c>
      <c r="AH284" s="29">
        <f>IF($W284="","",IFERROR(IF(ISNUMBER(INDEX($J$9:$J$2008,$W284)),INDEX($J$9:$J$2008,$W284),VALUE(SUBSTITUTE(INDEX($J$9:$J$2008,$W284),",",""))),""))</f>
        <v/>
      </c>
      <c r="AI284" s="29">
        <f>IF($W284="","",IFERROR(IF(ISNUMBER(INDEX($K$9:$K$2008,$W284)),INDEX($K$9:$K$2008,$W284),VALUE(SUBSTITUTE(INDEX($K$9:$K$2008,$W284),",",""))),""))</f>
        <v/>
      </c>
      <c r="AJ284" s="30">
        <f>IF($W284="","",IFERROR(IF(ISNUMBER(INDEX($L$9:$L$2008,$W284)),INDEX($L$9:$L$2008,$W284),VALUE(SUBSTITUTE(INDEX($L$9:$L$2008,$W284),",",""))),""))</f>
        <v/>
      </c>
      <c r="AK284" s="30">
        <f>IF($W284="","",IFERROR(IF(ISNUMBER(INDEX($M$9:$M$2008,$W284)),INDEX($M$9:$M$2008,$W284),VALUE(SUBSTITUTE(INDEX($M$9:$M$2008,$W284),",",""))),""))</f>
        <v/>
      </c>
      <c r="AL284" s="31">
        <f>IF($W284="","",IFERROR(IF(ISNUMBER(INDEX($P$9:$P$2008,$W284)),INDEX($P$9:$P$2008,$W284),VALUE(SUBSTITUTE(INDEX($P$9:$P$2008,$W284),"%",""))/100),""))</f>
        <v/>
      </c>
    </row>
    <row r="285">
      <c r="S285">
        <f>IF(AND(ISTEXT($A285),ISNUMBER(SEARCH(" - ",$A285)),ISERROR(SEARCH("Folio",$A285)),$D285=""),TRIM($A285),$S284)</f>
        <v/>
      </c>
      <c r="T285">
        <f>IF(AND(ISNUMBER(SEARCH("Folio",$A285)),$D285&lt;&gt;""),1,"")</f>
        <v/>
      </c>
      <c r="U285">
        <f>IF($T285=1,COUNTIF($T$9:$T285,1),"")</f>
        <v/>
      </c>
      <c r="V285">
        <f>IF(AND(ISTEXT($A285),LEFT($A286,3)="Pan"),1,"")</f>
        <v/>
      </c>
      <c r="W285" s="21">
        <f>IFERROR(MATCH(277,$U$9:$U$2008,0),"")</f>
        <v/>
      </c>
      <c r="X285" s="22">
        <f>IF($W285="","",IF($R$5&lt;&gt;"",$R$5,$R$6))</f>
        <v/>
      </c>
      <c r="Y285" s="22">
        <f>IF($W285="","",INDEX($S$9:$S$2008,$W285))</f>
        <v/>
      </c>
      <c r="Z285" s="22">
        <f>IF($W285="","",IFERROR(TRIM(LEFT(SUBSTITUTE(INDEX($A$9:$A$2008,$W285),CHAR(10)," "),SEARCH("Folio",SUBSTITUTE(INDEX($A$9:$A$2008,$W285),CHAR(10)," "))-1)),TRIM(SUBSTITUTE(INDEX($A$9:$A$2008,$W285),CHAR(10)," "))))</f>
        <v/>
      </c>
      <c r="AA285" s="22">
        <f>IF($W285="","",IFERROR(TRIM(SUBSTITUTE(MID(SUBSTITUTE(INDEX($A$9:$A$2008,$W285),CHAR(10)," "),SEARCH("Folio",SUBSTITUTE(INDEX($A$9:$A$2008,$W285),CHAR(10)," "))+5,200),":","")),""))</f>
        <v/>
      </c>
      <c r="AB285" s="23">
        <f>IF($W285="","",IF(ISNUMBER(INDEX($D$9:$D$2008,$W285)),INDEX($D$9:$D$2008,$W285),IFERROR(DATE(2000+VALUE(RIGHT(INDEX($D$9:$D$2008,$W285),2)),VALUE(MID(INDEX($D$9:$D$2008,$W285),4,2)),VALUE(LEFT(INDEX($D$9:$D$2008,$W285),2))),"")))</f>
        <v/>
      </c>
      <c r="AC285" s="24">
        <f>IF($W285="","",IFERROR(IF(ISNUMBER(INDEX($E$9:$E$2008,$W285)),INDEX($E$9:$E$2008,$W285),VALUE(SUBSTITUTE(INDEX($E$9:$E$2008,$W285),",",""))),""))</f>
        <v/>
      </c>
      <c r="AD285" s="24">
        <f>IF($W285="","",IFERROR(IF(ISNUMBER(INDEX($F$9:$F$2008,$W285)),INDEX($F$9:$F$2008,$W285),VALUE(SUBSTITUTE(INDEX($F$9:$F$2008,$W285),",",""))),""))</f>
        <v/>
      </c>
      <c r="AE285" s="24">
        <f>IF($W285="","",IFERROR(IF(ISNUMBER(INDEX($G$9:$G$2008,$W285)),INDEX($G$9:$G$2008,$W285),VALUE(SUBSTITUTE(INDEX($G$9:$G$2008,$W285),",",""))),""))</f>
        <v/>
      </c>
      <c r="AF285" s="24">
        <f>IF($W285="","",IFERROR(IF(ISNUMBER(INDEX($H$9:$H$2008,$W285)),INDEX($H$9:$H$2008,$W285),VALUE(SUBSTITUTE(INDEX($H$9:$H$2008,$W285),",",""))),""))</f>
        <v/>
      </c>
      <c r="AG285" s="24">
        <f>IF($W285="","",IFERROR(IF(ISNUMBER(INDEX($I$9:$I$2008,$W285)),INDEX($I$9:$I$2008,$W285),VALUE(SUBSTITUTE(INDEX($I$9:$I$2008,$W285),",",""))),""))</f>
        <v/>
      </c>
      <c r="AH285" s="24">
        <f>IF($W285="","",IFERROR(IF(ISNUMBER(INDEX($J$9:$J$2008,$W285)),INDEX($J$9:$J$2008,$W285),VALUE(SUBSTITUTE(INDEX($J$9:$J$2008,$W285),",",""))),""))</f>
        <v/>
      </c>
      <c r="AI285" s="24">
        <f>IF($W285="","",IFERROR(IF(ISNUMBER(INDEX($K$9:$K$2008,$W285)),INDEX($K$9:$K$2008,$W285),VALUE(SUBSTITUTE(INDEX($K$9:$K$2008,$W285),",",""))),""))</f>
        <v/>
      </c>
      <c r="AJ285" s="25">
        <f>IF($W285="","",IFERROR(IF(ISNUMBER(INDEX($L$9:$L$2008,$W285)),INDEX($L$9:$L$2008,$W285),VALUE(SUBSTITUTE(INDEX($L$9:$L$2008,$W285),",",""))),""))</f>
        <v/>
      </c>
      <c r="AK285" s="25">
        <f>IF($W285="","",IFERROR(IF(ISNUMBER(INDEX($M$9:$M$2008,$W285)),INDEX($M$9:$M$2008,$W285),VALUE(SUBSTITUTE(INDEX($M$9:$M$2008,$W285),",",""))),""))</f>
        <v/>
      </c>
      <c r="AL285" s="26">
        <f>IF($W285="","",IFERROR(IF(ISNUMBER(INDEX($P$9:$P$2008,$W285)),INDEX($P$9:$P$2008,$W285),VALUE(SUBSTITUTE(INDEX($P$9:$P$2008,$W285),"%",""))/100),""))</f>
        <v/>
      </c>
    </row>
    <row r="286">
      <c r="S286">
        <f>IF(AND(ISTEXT($A286),ISNUMBER(SEARCH(" - ",$A286)),ISERROR(SEARCH("Folio",$A286)),$D286=""),TRIM($A286),$S285)</f>
        <v/>
      </c>
      <c r="T286">
        <f>IF(AND(ISNUMBER(SEARCH("Folio",$A286)),$D286&lt;&gt;""),1,"")</f>
        <v/>
      </c>
      <c r="U286">
        <f>IF($T286=1,COUNTIF($T$9:$T286,1),"")</f>
        <v/>
      </c>
      <c r="V286">
        <f>IF(AND(ISTEXT($A286),LEFT($A287,3)="Pan"),1,"")</f>
        <v/>
      </c>
      <c r="W286" s="21">
        <f>IFERROR(MATCH(278,$U$9:$U$2008,0),"")</f>
        <v/>
      </c>
      <c r="X286" s="27">
        <f>IF($W286="","",IF($R$5&lt;&gt;"",$R$5,$R$6))</f>
        <v/>
      </c>
      <c r="Y286" s="27">
        <f>IF($W286="","",INDEX($S$9:$S$2008,$W286))</f>
        <v/>
      </c>
      <c r="Z286" s="27">
        <f>IF($W286="","",IFERROR(TRIM(LEFT(SUBSTITUTE(INDEX($A$9:$A$2008,$W286),CHAR(10)," "),SEARCH("Folio",SUBSTITUTE(INDEX($A$9:$A$2008,$W286),CHAR(10)," "))-1)),TRIM(SUBSTITUTE(INDEX($A$9:$A$2008,$W286),CHAR(10)," "))))</f>
        <v/>
      </c>
      <c r="AA286" s="27">
        <f>IF($W286="","",IFERROR(TRIM(SUBSTITUTE(MID(SUBSTITUTE(INDEX($A$9:$A$2008,$W286),CHAR(10)," "),SEARCH("Folio",SUBSTITUTE(INDEX($A$9:$A$2008,$W286),CHAR(10)," "))+5,200),":","")),""))</f>
        <v/>
      </c>
      <c r="AB286" s="28">
        <f>IF($W286="","",IF(ISNUMBER(INDEX($D$9:$D$2008,$W286)),INDEX($D$9:$D$2008,$W286),IFERROR(DATE(2000+VALUE(RIGHT(INDEX($D$9:$D$2008,$W286),2)),VALUE(MID(INDEX($D$9:$D$2008,$W286),4,2)),VALUE(LEFT(INDEX($D$9:$D$2008,$W286),2))),"")))</f>
        <v/>
      </c>
      <c r="AC286" s="29">
        <f>IF($W286="","",IFERROR(IF(ISNUMBER(INDEX($E$9:$E$2008,$W286)),INDEX($E$9:$E$2008,$W286),VALUE(SUBSTITUTE(INDEX($E$9:$E$2008,$W286),",",""))),""))</f>
        <v/>
      </c>
      <c r="AD286" s="29">
        <f>IF($W286="","",IFERROR(IF(ISNUMBER(INDEX($F$9:$F$2008,$W286)),INDEX($F$9:$F$2008,$W286),VALUE(SUBSTITUTE(INDEX($F$9:$F$2008,$W286),",",""))),""))</f>
        <v/>
      </c>
      <c r="AE286" s="29">
        <f>IF($W286="","",IFERROR(IF(ISNUMBER(INDEX($G$9:$G$2008,$W286)),INDEX($G$9:$G$2008,$W286),VALUE(SUBSTITUTE(INDEX($G$9:$G$2008,$W286),",",""))),""))</f>
        <v/>
      </c>
      <c r="AF286" s="29">
        <f>IF($W286="","",IFERROR(IF(ISNUMBER(INDEX($H$9:$H$2008,$W286)),INDEX($H$9:$H$2008,$W286),VALUE(SUBSTITUTE(INDEX($H$9:$H$2008,$W286),",",""))),""))</f>
        <v/>
      </c>
      <c r="AG286" s="29">
        <f>IF($W286="","",IFERROR(IF(ISNUMBER(INDEX($I$9:$I$2008,$W286)),INDEX($I$9:$I$2008,$W286),VALUE(SUBSTITUTE(INDEX($I$9:$I$2008,$W286),",",""))),""))</f>
        <v/>
      </c>
      <c r="AH286" s="29">
        <f>IF($W286="","",IFERROR(IF(ISNUMBER(INDEX($J$9:$J$2008,$W286)),INDEX($J$9:$J$2008,$W286),VALUE(SUBSTITUTE(INDEX($J$9:$J$2008,$W286),",",""))),""))</f>
        <v/>
      </c>
      <c r="AI286" s="29">
        <f>IF($W286="","",IFERROR(IF(ISNUMBER(INDEX($K$9:$K$2008,$W286)),INDEX($K$9:$K$2008,$W286),VALUE(SUBSTITUTE(INDEX($K$9:$K$2008,$W286),",",""))),""))</f>
        <v/>
      </c>
      <c r="AJ286" s="30">
        <f>IF($W286="","",IFERROR(IF(ISNUMBER(INDEX($L$9:$L$2008,$W286)),INDEX($L$9:$L$2008,$W286),VALUE(SUBSTITUTE(INDEX($L$9:$L$2008,$W286),",",""))),""))</f>
        <v/>
      </c>
      <c r="AK286" s="30">
        <f>IF($W286="","",IFERROR(IF(ISNUMBER(INDEX($M$9:$M$2008,$W286)),INDEX($M$9:$M$2008,$W286),VALUE(SUBSTITUTE(INDEX($M$9:$M$2008,$W286),",",""))),""))</f>
        <v/>
      </c>
      <c r="AL286" s="31">
        <f>IF($W286="","",IFERROR(IF(ISNUMBER(INDEX($P$9:$P$2008,$W286)),INDEX($P$9:$P$2008,$W286),VALUE(SUBSTITUTE(INDEX($P$9:$P$2008,$W286),"%",""))/100),""))</f>
        <v/>
      </c>
    </row>
    <row r="287">
      <c r="S287">
        <f>IF(AND(ISTEXT($A287),ISNUMBER(SEARCH(" - ",$A287)),ISERROR(SEARCH("Folio",$A287)),$D287=""),TRIM($A287),$S286)</f>
        <v/>
      </c>
      <c r="T287">
        <f>IF(AND(ISNUMBER(SEARCH("Folio",$A287)),$D287&lt;&gt;""),1,"")</f>
        <v/>
      </c>
      <c r="U287">
        <f>IF($T287=1,COUNTIF($T$9:$T287,1),"")</f>
        <v/>
      </c>
      <c r="V287">
        <f>IF(AND(ISTEXT($A287),LEFT($A288,3)="Pan"),1,"")</f>
        <v/>
      </c>
      <c r="W287" s="21">
        <f>IFERROR(MATCH(279,$U$9:$U$2008,0),"")</f>
        <v/>
      </c>
      <c r="X287" s="22">
        <f>IF($W287="","",IF($R$5&lt;&gt;"",$R$5,$R$6))</f>
        <v/>
      </c>
      <c r="Y287" s="22">
        <f>IF($W287="","",INDEX($S$9:$S$2008,$W287))</f>
        <v/>
      </c>
      <c r="Z287" s="22">
        <f>IF($W287="","",IFERROR(TRIM(LEFT(SUBSTITUTE(INDEX($A$9:$A$2008,$W287),CHAR(10)," "),SEARCH("Folio",SUBSTITUTE(INDEX($A$9:$A$2008,$W287),CHAR(10)," "))-1)),TRIM(SUBSTITUTE(INDEX($A$9:$A$2008,$W287),CHAR(10)," "))))</f>
        <v/>
      </c>
      <c r="AA287" s="22">
        <f>IF($W287="","",IFERROR(TRIM(SUBSTITUTE(MID(SUBSTITUTE(INDEX($A$9:$A$2008,$W287),CHAR(10)," "),SEARCH("Folio",SUBSTITUTE(INDEX($A$9:$A$2008,$W287),CHAR(10)," "))+5,200),":","")),""))</f>
        <v/>
      </c>
      <c r="AB287" s="23">
        <f>IF($W287="","",IF(ISNUMBER(INDEX($D$9:$D$2008,$W287)),INDEX($D$9:$D$2008,$W287),IFERROR(DATE(2000+VALUE(RIGHT(INDEX($D$9:$D$2008,$W287),2)),VALUE(MID(INDEX($D$9:$D$2008,$W287),4,2)),VALUE(LEFT(INDEX($D$9:$D$2008,$W287),2))),"")))</f>
        <v/>
      </c>
      <c r="AC287" s="24">
        <f>IF($W287="","",IFERROR(IF(ISNUMBER(INDEX($E$9:$E$2008,$W287)),INDEX($E$9:$E$2008,$W287),VALUE(SUBSTITUTE(INDEX($E$9:$E$2008,$W287),",",""))),""))</f>
        <v/>
      </c>
      <c r="AD287" s="24">
        <f>IF($W287="","",IFERROR(IF(ISNUMBER(INDEX($F$9:$F$2008,$W287)),INDEX($F$9:$F$2008,$W287),VALUE(SUBSTITUTE(INDEX($F$9:$F$2008,$W287),",",""))),""))</f>
        <v/>
      </c>
      <c r="AE287" s="24">
        <f>IF($W287="","",IFERROR(IF(ISNUMBER(INDEX($G$9:$G$2008,$W287)),INDEX($G$9:$G$2008,$W287),VALUE(SUBSTITUTE(INDEX($G$9:$G$2008,$W287),",",""))),""))</f>
        <v/>
      </c>
      <c r="AF287" s="24">
        <f>IF($W287="","",IFERROR(IF(ISNUMBER(INDEX($H$9:$H$2008,$W287)),INDEX($H$9:$H$2008,$W287),VALUE(SUBSTITUTE(INDEX($H$9:$H$2008,$W287),",",""))),""))</f>
        <v/>
      </c>
      <c r="AG287" s="24">
        <f>IF($W287="","",IFERROR(IF(ISNUMBER(INDEX($I$9:$I$2008,$W287)),INDEX($I$9:$I$2008,$W287),VALUE(SUBSTITUTE(INDEX($I$9:$I$2008,$W287),",",""))),""))</f>
        <v/>
      </c>
      <c r="AH287" s="24">
        <f>IF($W287="","",IFERROR(IF(ISNUMBER(INDEX($J$9:$J$2008,$W287)),INDEX($J$9:$J$2008,$W287),VALUE(SUBSTITUTE(INDEX($J$9:$J$2008,$W287),",",""))),""))</f>
        <v/>
      </c>
      <c r="AI287" s="24">
        <f>IF($W287="","",IFERROR(IF(ISNUMBER(INDEX($K$9:$K$2008,$W287)),INDEX($K$9:$K$2008,$W287),VALUE(SUBSTITUTE(INDEX($K$9:$K$2008,$W287),",",""))),""))</f>
        <v/>
      </c>
      <c r="AJ287" s="25">
        <f>IF($W287="","",IFERROR(IF(ISNUMBER(INDEX($L$9:$L$2008,$W287)),INDEX($L$9:$L$2008,$W287),VALUE(SUBSTITUTE(INDEX($L$9:$L$2008,$W287),",",""))),""))</f>
        <v/>
      </c>
      <c r="AK287" s="25">
        <f>IF($W287="","",IFERROR(IF(ISNUMBER(INDEX($M$9:$M$2008,$W287)),INDEX($M$9:$M$2008,$W287),VALUE(SUBSTITUTE(INDEX($M$9:$M$2008,$W287),",",""))),""))</f>
        <v/>
      </c>
      <c r="AL287" s="26">
        <f>IF($W287="","",IFERROR(IF(ISNUMBER(INDEX($P$9:$P$2008,$W287)),INDEX($P$9:$P$2008,$W287),VALUE(SUBSTITUTE(INDEX($P$9:$P$2008,$W287),"%",""))/100),""))</f>
        <v/>
      </c>
    </row>
    <row r="288">
      <c r="S288">
        <f>IF(AND(ISTEXT($A288),ISNUMBER(SEARCH(" - ",$A288)),ISERROR(SEARCH("Folio",$A288)),$D288=""),TRIM($A288),$S287)</f>
        <v/>
      </c>
      <c r="T288">
        <f>IF(AND(ISNUMBER(SEARCH("Folio",$A288)),$D288&lt;&gt;""),1,"")</f>
        <v/>
      </c>
      <c r="U288">
        <f>IF($T288=1,COUNTIF($T$9:$T288,1),"")</f>
        <v/>
      </c>
      <c r="V288">
        <f>IF(AND(ISTEXT($A288),LEFT($A289,3)="Pan"),1,"")</f>
        <v/>
      </c>
      <c r="W288" s="21">
        <f>IFERROR(MATCH(280,$U$9:$U$2008,0),"")</f>
        <v/>
      </c>
      <c r="X288" s="27">
        <f>IF($W288="","",IF($R$5&lt;&gt;"",$R$5,$R$6))</f>
        <v/>
      </c>
      <c r="Y288" s="27">
        <f>IF($W288="","",INDEX($S$9:$S$2008,$W288))</f>
        <v/>
      </c>
      <c r="Z288" s="27">
        <f>IF($W288="","",IFERROR(TRIM(LEFT(SUBSTITUTE(INDEX($A$9:$A$2008,$W288),CHAR(10)," "),SEARCH("Folio",SUBSTITUTE(INDEX($A$9:$A$2008,$W288),CHAR(10)," "))-1)),TRIM(SUBSTITUTE(INDEX($A$9:$A$2008,$W288),CHAR(10)," "))))</f>
        <v/>
      </c>
      <c r="AA288" s="27">
        <f>IF($W288="","",IFERROR(TRIM(SUBSTITUTE(MID(SUBSTITUTE(INDEX($A$9:$A$2008,$W288),CHAR(10)," "),SEARCH("Folio",SUBSTITUTE(INDEX($A$9:$A$2008,$W288),CHAR(10)," "))+5,200),":","")),""))</f>
        <v/>
      </c>
      <c r="AB288" s="28">
        <f>IF($W288="","",IF(ISNUMBER(INDEX($D$9:$D$2008,$W288)),INDEX($D$9:$D$2008,$W288),IFERROR(DATE(2000+VALUE(RIGHT(INDEX($D$9:$D$2008,$W288),2)),VALUE(MID(INDEX($D$9:$D$2008,$W288),4,2)),VALUE(LEFT(INDEX($D$9:$D$2008,$W288),2))),"")))</f>
        <v/>
      </c>
      <c r="AC288" s="29">
        <f>IF($W288="","",IFERROR(IF(ISNUMBER(INDEX($E$9:$E$2008,$W288)),INDEX($E$9:$E$2008,$W288),VALUE(SUBSTITUTE(INDEX($E$9:$E$2008,$W288),",",""))),""))</f>
        <v/>
      </c>
      <c r="AD288" s="29">
        <f>IF($W288="","",IFERROR(IF(ISNUMBER(INDEX($F$9:$F$2008,$W288)),INDEX($F$9:$F$2008,$W288),VALUE(SUBSTITUTE(INDEX($F$9:$F$2008,$W288),",",""))),""))</f>
        <v/>
      </c>
      <c r="AE288" s="29">
        <f>IF($W288="","",IFERROR(IF(ISNUMBER(INDEX($G$9:$G$2008,$W288)),INDEX($G$9:$G$2008,$W288),VALUE(SUBSTITUTE(INDEX($G$9:$G$2008,$W288),",",""))),""))</f>
        <v/>
      </c>
      <c r="AF288" s="29">
        <f>IF($W288="","",IFERROR(IF(ISNUMBER(INDEX($H$9:$H$2008,$W288)),INDEX($H$9:$H$2008,$W288),VALUE(SUBSTITUTE(INDEX($H$9:$H$2008,$W288),",",""))),""))</f>
        <v/>
      </c>
      <c r="AG288" s="29">
        <f>IF($W288="","",IFERROR(IF(ISNUMBER(INDEX($I$9:$I$2008,$W288)),INDEX($I$9:$I$2008,$W288),VALUE(SUBSTITUTE(INDEX($I$9:$I$2008,$W288),",",""))),""))</f>
        <v/>
      </c>
      <c r="AH288" s="29">
        <f>IF($W288="","",IFERROR(IF(ISNUMBER(INDEX($J$9:$J$2008,$W288)),INDEX($J$9:$J$2008,$W288),VALUE(SUBSTITUTE(INDEX($J$9:$J$2008,$W288),",",""))),""))</f>
        <v/>
      </c>
      <c r="AI288" s="29">
        <f>IF($W288="","",IFERROR(IF(ISNUMBER(INDEX($K$9:$K$2008,$W288)),INDEX($K$9:$K$2008,$W288),VALUE(SUBSTITUTE(INDEX($K$9:$K$2008,$W288),",",""))),""))</f>
        <v/>
      </c>
      <c r="AJ288" s="30">
        <f>IF($W288="","",IFERROR(IF(ISNUMBER(INDEX($L$9:$L$2008,$W288)),INDEX($L$9:$L$2008,$W288),VALUE(SUBSTITUTE(INDEX($L$9:$L$2008,$W288),",",""))),""))</f>
        <v/>
      </c>
      <c r="AK288" s="30">
        <f>IF($W288="","",IFERROR(IF(ISNUMBER(INDEX($M$9:$M$2008,$W288)),INDEX($M$9:$M$2008,$W288),VALUE(SUBSTITUTE(INDEX($M$9:$M$2008,$W288),",",""))),""))</f>
        <v/>
      </c>
      <c r="AL288" s="31">
        <f>IF($W288="","",IFERROR(IF(ISNUMBER(INDEX($P$9:$P$2008,$W288)),INDEX($P$9:$P$2008,$W288),VALUE(SUBSTITUTE(INDEX($P$9:$P$2008,$W288),"%",""))/100),""))</f>
        <v/>
      </c>
    </row>
    <row r="289">
      <c r="S289">
        <f>IF(AND(ISTEXT($A289),ISNUMBER(SEARCH(" - ",$A289)),ISERROR(SEARCH("Folio",$A289)),$D289=""),TRIM($A289),$S288)</f>
        <v/>
      </c>
      <c r="T289">
        <f>IF(AND(ISNUMBER(SEARCH("Folio",$A289)),$D289&lt;&gt;""),1,"")</f>
        <v/>
      </c>
      <c r="U289">
        <f>IF($T289=1,COUNTIF($T$9:$T289,1),"")</f>
        <v/>
      </c>
      <c r="V289">
        <f>IF(AND(ISTEXT($A289),LEFT($A290,3)="Pan"),1,"")</f>
        <v/>
      </c>
      <c r="W289" s="21">
        <f>IFERROR(MATCH(281,$U$9:$U$2008,0),"")</f>
        <v/>
      </c>
      <c r="X289" s="22">
        <f>IF($W289="","",IF($R$5&lt;&gt;"",$R$5,$R$6))</f>
        <v/>
      </c>
      <c r="Y289" s="22">
        <f>IF($W289="","",INDEX($S$9:$S$2008,$W289))</f>
        <v/>
      </c>
      <c r="Z289" s="22">
        <f>IF($W289="","",IFERROR(TRIM(LEFT(SUBSTITUTE(INDEX($A$9:$A$2008,$W289),CHAR(10)," "),SEARCH("Folio",SUBSTITUTE(INDEX($A$9:$A$2008,$W289),CHAR(10)," "))-1)),TRIM(SUBSTITUTE(INDEX($A$9:$A$2008,$W289),CHAR(10)," "))))</f>
        <v/>
      </c>
      <c r="AA289" s="22">
        <f>IF($W289="","",IFERROR(TRIM(SUBSTITUTE(MID(SUBSTITUTE(INDEX($A$9:$A$2008,$W289),CHAR(10)," "),SEARCH("Folio",SUBSTITUTE(INDEX($A$9:$A$2008,$W289),CHAR(10)," "))+5,200),":","")),""))</f>
        <v/>
      </c>
      <c r="AB289" s="23">
        <f>IF($W289="","",IF(ISNUMBER(INDEX($D$9:$D$2008,$W289)),INDEX($D$9:$D$2008,$W289),IFERROR(DATE(2000+VALUE(RIGHT(INDEX($D$9:$D$2008,$W289),2)),VALUE(MID(INDEX($D$9:$D$2008,$W289),4,2)),VALUE(LEFT(INDEX($D$9:$D$2008,$W289),2))),"")))</f>
        <v/>
      </c>
      <c r="AC289" s="24">
        <f>IF($W289="","",IFERROR(IF(ISNUMBER(INDEX($E$9:$E$2008,$W289)),INDEX($E$9:$E$2008,$W289),VALUE(SUBSTITUTE(INDEX($E$9:$E$2008,$W289),",",""))),""))</f>
        <v/>
      </c>
      <c r="AD289" s="24">
        <f>IF($W289="","",IFERROR(IF(ISNUMBER(INDEX($F$9:$F$2008,$W289)),INDEX($F$9:$F$2008,$W289),VALUE(SUBSTITUTE(INDEX($F$9:$F$2008,$W289),",",""))),""))</f>
        <v/>
      </c>
      <c r="AE289" s="24">
        <f>IF($W289="","",IFERROR(IF(ISNUMBER(INDEX($G$9:$G$2008,$W289)),INDEX($G$9:$G$2008,$W289),VALUE(SUBSTITUTE(INDEX($G$9:$G$2008,$W289),",",""))),""))</f>
        <v/>
      </c>
      <c r="AF289" s="24">
        <f>IF($W289="","",IFERROR(IF(ISNUMBER(INDEX($H$9:$H$2008,$W289)),INDEX($H$9:$H$2008,$W289),VALUE(SUBSTITUTE(INDEX($H$9:$H$2008,$W289),",",""))),""))</f>
        <v/>
      </c>
      <c r="AG289" s="24">
        <f>IF($W289="","",IFERROR(IF(ISNUMBER(INDEX($I$9:$I$2008,$W289)),INDEX($I$9:$I$2008,$W289),VALUE(SUBSTITUTE(INDEX($I$9:$I$2008,$W289),",",""))),""))</f>
        <v/>
      </c>
      <c r="AH289" s="24">
        <f>IF($W289="","",IFERROR(IF(ISNUMBER(INDEX($J$9:$J$2008,$W289)),INDEX($J$9:$J$2008,$W289),VALUE(SUBSTITUTE(INDEX($J$9:$J$2008,$W289),",",""))),""))</f>
        <v/>
      </c>
      <c r="AI289" s="24">
        <f>IF($W289="","",IFERROR(IF(ISNUMBER(INDEX($K$9:$K$2008,$W289)),INDEX($K$9:$K$2008,$W289),VALUE(SUBSTITUTE(INDEX($K$9:$K$2008,$W289),",",""))),""))</f>
        <v/>
      </c>
      <c r="AJ289" s="25">
        <f>IF($W289="","",IFERROR(IF(ISNUMBER(INDEX($L$9:$L$2008,$W289)),INDEX($L$9:$L$2008,$W289),VALUE(SUBSTITUTE(INDEX($L$9:$L$2008,$W289),",",""))),""))</f>
        <v/>
      </c>
      <c r="AK289" s="25">
        <f>IF($W289="","",IFERROR(IF(ISNUMBER(INDEX($M$9:$M$2008,$W289)),INDEX($M$9:$M$2008,$W289),VALUE(SUBSTITUTE(INDEX($M$9:$M$2008,$W289),",",""))),""))</f>
        <v/>
      </c>
      <c r="AL289" s="26">
        <f>IF($W289="","",IFERROR(IF(ISNUMBER(INDEX($P$9:$P$2008,$W289)),INDEX($P$9:$P$2008,$W289),VALUE(SUBSTITUTE(INDEX($P$9:$P$2008,$W289),"%",""))/100),""))</f>
        <v/>
      </c>
    </row>
    <row r="290">
      <c r="S290">
        <f>IF(AND(ISTEXT($A290),ISNUMBER(SEARCH(" - ",$A290)),ISERROR(SEARCH("Folio",$A290)),$D290=""),TRIM($A290),$S289)</f>
        <v/>
      </c>
      <c r="T290">
        <f>IF(AND(ISNUMBER(SEARCH("Folio",$A290)),$D290&lt;&gt;""),1,"")</f>
        <v/>
      </c>
      <c r="U290">
        <f>IF($T290=1,COUNTIF($T$9:$T290,1),"")</f>
        <v/>
      </c>
      <c r="V290">
        <f>IF(AND(ISTEXT($A290),LEFT($A291,3)="Pan"),1,"")</f>
        <v/>
      </c>
      <c r="W290" s="21">
        <f>IFERROR(MATCH(282,$U$9:$U$2008,0),"")</f>
        <v/>
      </c>
      <c r="X290" s="27">
        <f>IF($W290="","",IF($R$5&lt;&gt;"",$R$5,$R$6))</f>
        <v/>
      </c>
      <c r="Y290" s="27">
        <f>IF($W290="","",INDEX($S$9:$S$2008,$W290))</f>
        <v/>
      </c>
      <c r="Z290" s="27">
        <f>IF($W290="","",IFERROR(TRIM(LEFT(SUBSTITUTE(INDEX($A$9:$A$2008,$W290),CHAR(10)," "),SEARCH("Folio",SUBSTITUTE(INDEX($A$9:$A$2008,$W290),CHAR(10)," "))-1)),TRIM(SUBSTITUTE(INDEX($A$9:$A$2008,$W290),CHAR(10)," "))))</f>
        <v/>
      </c>
      <c r="AA290" s="27">
        <f>IF($W290="","",IFERROR(TRIM(SUBSTITUTE(MID(SUBSTITUTE(INDEX($A$9:$A$2008,$W290),CHAR(10)," "),SEARCH("Folio",SUBSTITUTE(INDEX($A$9:$A$2008,$W290),CHAR(10)," "))+5,200),":","")),""))</f>
        <v/>
      </c>
      <c r="AB290" s="28">
        <f>IF($W290="","",IF(ISNUMBER(INDEX($D$9:$D$2008,$W290)),INDEX($D$9:$D$2008,$W290),IFERROR(DATE(2000+VALUE(RIGHT(INDEX($D$9:$D$2008,$W290),2)),VALUE(MID(INDEX($D$9:$D$2008,$W290),4,2)),VALUE(LEFT(INDEX($D$9:$D$2008,$W290),2))),"")))</f>
        <v/>
      </c>
      <c r="AC290" s="29">
        <f>IF($W290="","",IFERROR(IF(ISNUMBER(INDEX($E$9:$E$2008,$W290)),INDEX($E$9:$E$2008,$W290),VALUE(SUBSTITUTE(INDEX($E$9:$E$2008,$W290),",",""))),""))</f>
        <v/>
      </c>
      <c r="AD290" s="29">
        <f>IF($W290="","",IFERROR(IF(ISNUMBER(INDEX($F$9:$F$2008,$W290)),INDEX($F$9:$F$2008,$W290),VALUE(SUBSTITUTE(INDEX($F$9:$F$2008,$W290),",",""))),""))</f>
        <v/>
      </c>
      <c r="AE290" s="29">
        <f>IF($W290="","",IFERROR(IF(ISNUMBER(INDEX($G$9:$G$2008,$W290)),INDEX($G$9:$G$2008,$W290),VALUE(SUBSTITUTE(INDEX($G$9:$G$2008,$W290),",",""))),""))</f>
        <v/>
      </c>
      <c r="AF290" s="29">
        <f>IF($W290="","",IFERROR(IF(ISNUMBER(INDEX($H$9:$H$2008,$W290)),INDEX($H$9:$H$2008,$W290),VALUE(SUBSTITUTE(INDEX($H$9:$H$2008,$W290),",",""))),""))</f>
        <v/>
      </c>
      <c r="AG290" s="29">
        <f>IF($W290="","",IFERROR(IF(ISNUMBER(INDEX($I$9:$I$2008,$W290)),INDEX($I$9:$I$2008,$W290),VALUE(SUBSTITUTE(INDEX($I$9:$I$2008,$W290),",",""))),""))</f>
        <v/>
      </c>
      <c r="AH290" s="29">
        <f>IF($W290="","",IFERROR(IF(ISNUMBER(INDEX($J$9:$J$2008,$W290)),INDEX($J$9:$J$2008,$W290),VALUE(SUBSTITUTE(INDEX($J$9:$J$2008,$W290),",",""))),""))</f>
        <v/>
      </c>
      <c r="AI290" s="29">
        <f>IF($W290="","",IFERROR(IF(ISNUMBER(INDEX($K$9:$K$2008,$W290)),INDEX($K$9:$K$2008,$W290),VALUE(SUBSTITUTE(INDEX($K$9:$K$2008,$W290),",",""))),""))</f>
        <v/>
      </c>
      <c r="AJ290" s="30">
        <f>IF($W290="","",IFERROR(IF(ISNUMBER(INDEX($L$9:$L$2008,$W290)),INDEX($L$9:$L$2008,$W290),VALUE(SUBSTITUTE(INDEX($L$9:$L$2008,$W290),",",""))),""))</f>
        <v/>
      </c>
      <c r="AK290" s="30">
        <f>IF($W290="","",IFERROR(IF(ISNUMBER(INDEX($M$9:$M$2008,$W290)),INDEX($M$9:$M$2008,$W290),VALUE(SUBSTITUTE(INDEX($M$9:$M$2008,$W290),",",""))),""))</f>
        <v/>
      </c>
      <c r="AL290" s="31">
        <f>IF($W290="","",IFERROR(IF(ISNUMBER(INDEX($P$9:$P$2008,$W290)),INDEX($P$9:$P$2008,$W290),VALUE(SUBSTITUTE(INDEX($P$9:$P$2008,$W290),"%",""))/100),""))</f>
        <v/>
      </c>
    </row>
    <row r="291">
      <c r="S291">
        <f>IF(AND(ISTEXT($A291),ISNUMBER(SEARCH(" - ",$A291)),ISERROR(SEARCH("Folio",$A291)),$D291=""),TRIM($A291),$S290)</f>
        <v/>
      </c>
      <c r="T291">
        <f>IF(AND(ISNUMBER(SEARCH("Folio",$A291)),$D291&lt;&gt;""),1,"")</f>
        <v/>
      </c>
      <c r="U291">
        <f>IF($T291=1,COUNTIF($T$9:$T291,1),"")</f>
        <v/>
      </c>
      <c r="V291">
        <f>IF(AND(ISTEXT($A291),LEFT($A292,3)="Pan"),1,"")</f>
        <v/>
      </c>
      <c r="W291" s="21">
        <f>IFERROR(MATCH(283,$U$9:$U$2008,0),"")</f>
        <v/>
      </c>
      <c r="X291" s="22">
        <f>IF($W291="","",IF($R$5&lt;&gt;"",$R$5,$R$6))</f>
        <v/>
      </c>
      <c r="Y291" s="22">
        <f>IF($W291="","",INDEX($S$9:$S$2008,$W291))</f>
        <v/>
      </c>
      <c r="Z291" s="22">
        <f>IF($W291="","",IFERROR(TRIM(LEFT(SUBSTITUTE(INDEX($A$9:$A$2008,$W291),CHAR(10)," "),SEARCH("Folio",SUBSTITUTE(INDEX($A$9:$A$2008,$W291),CHAR(10)," "))-1)),TRIM(SUBSTITUTE(INDEX($A$9:$A$2008,$W291),CHAR(10)," "))))</f>
        <v/>
      </c>
      <c r="AA291" s="22">
        <f>IF($W291="","",IFERROR(TRIM(SUBSTITUTE(MID(SUBSTITUTE(INDEX($A$9:$A$2008,$W291),CHAR(10)," "),SEARCH("Folio",SUBSTITUTE(INDEX($A$9:$A$2008,$W291),CHAR(10)," "))+5,200),":","")),""))</f>
        <v/>
      </c>
      <c r="AB291" s="23">
        <f>IF($W291="","",IF(ISNUMBER(INDEX($D$9:$D$2008,$W291)),INDEX($D$9:$D$2008,$W291),IFERROR(DATE(2000+VALUE(RIGHT(INDEX($D$9:$D$2008,$W291),2)),VALUE(MID(INDEX($D$9:$D$2008,$W291),4,2)),VALUE(LEFT(INDEX($D$9:$D$2008,$W291),2))),"")))</f>
        <v/>
      </c>
      <c r="AC291" s="24">
        <f>IF($W291="","",IFERROR(IF(ISNUMBER(INDEX($E$9:$E$2008,$W291)),INDEX($E$9:$E$2008,$W291),VALUE(SUBSTITUTE(INDEX($E$9:$E$2008,$W291),",",""))),""))</f>
        <v/>
      </c>
      <c r="AD291" s="24">
        <f>IF($W291="","",IFERROR(IF(ISNUMBER(INDEX($F$9:$F$2008,$W291)),INDEX($F$9:$F$2008,$W291),VALUE(SUBSTITUTE(INDEX($F$9:$F$2008,$W291),",",""))),""))</f>
        <v/>
      </c>
      <c r="AE291" s="24">
        <f>IF($W291="","",IFERROR(IF(ISNUMBER(INDEX($G$9:$G$2008,$W291)),INDEX($G$9:$G$2008,$W291),VALUE(SUBSTITUTE(INDEX($G$9:$G$2008,$W291),",",""))),""))</f>
        <v/>
      </c>
      <c r="AF291" s="24">
        <f>IF($W291="","",IFERROR(IF(ISNUMBER(INDEX($H$9:$H$2008,$W291)),INDEX($H$9:$H$2008,$W291),VALUE(SUBSTITUTE(INDEX($H$9:$H$2008,$W291),",",""))),""))</f>
        <v/>
      </c>
      <c r="AG291" s="24">
        <f>IF($W291="","",IFERROR(IF(ISNUMBER(INDEX($I$9:$I$2008,$W291)),INDEX($I$9:$I$2008,$W291),VALUE(SUBSTITUTE(INDEX($I$9:$I$2008,$W291),",",""))),""))</f>
        <v/>
      </c>
      <c r="AH291" s="24">
        <f>IF($W291="","",IFERROR(IF(ISNUMBER(INDEX($J$9:$J$2008,$W291)),INDEX($J$9:$J$2008,$W291),VALUE(SUBSTITUTE(INDEX($J$9:$J$2008,$W291),",",""))),""))</f>
        <v/>
      </c>
      <c r="AI291" s="24">
        <f>IF($W291="","",IFERROR(IF(ISNUMBER(INDEX($K$9:$K$2008,$W291)),INDEX($K$9:$K$2008,$W291),VALUE(SUBSTITUTE(INDEX($K$9:$K$2008,$W291),",",""))),""))</f>
        <v/>
      </c>
      <c r="AJ291" s="25">
        <f>IF($W291="","",IFERROR(IF(ISNUMBER(INDEX($L$9:$L$2008,$W291)),INDEX($L$9:$L$2008,$W291),VALUE(SUBSTITUTE(INDEX($L$9:$L$2008,$W291),",",""))),""))</f>
        <v/>
      </c>
      <c r="AK291" s="25">
        <f>IF($W291="","",IFERROR(IF(ISNUMBER(INDEX($M$9:$M$2008,$W291)),INDEX($M$9:$M$2008,$W291),VALUE(SUBSTITUTE(INDEX($M$9:$M$2008,$W291),",",""))),""))</f>
        <v/>
      </c>
      <c r="AL291" s="26">
        <f>IF($W291="","",IFERROR(IF(ISNUMBER(INDEX($P$9:$P$2008,$W291)),INDEX($P$9:$P$2008,$W291),VALUE(SUBSTITUTE(INDEX($P$9:$P$2008,$W291),"%",""))/100),""))</f>
        <v/>
      </c>
    </row>
    <row r="292">
      <c r="S292">
        <f>IF(AND(ISTEXT($A292),ISNUMBER(SEARCH(" - ",$A292)),ISERROR(SEARCH("Folio",$A292)),$D292=""),TRIM($A292),$S291)</f>
        <v/>
      </c>
      <c r="T292">
        <f>IF(AND(ISNUMBER(SEARCH("Folio",$A292)),$D292&lt;&gt;""),1,"")</f>
        <v/>
      </c>
      <c r="U292">
        <f>IF($T292=1,COUNTIF($T$9:$T292,1),"")</f>
        <v/>
      </c>
      <c r="V292">
        <f>IF(AND(ISTEXT($A292),LEFT($A293,3)="Pan"),1,"")</f>
        <v/>
      </c>
      <c r="W292" s="21">
        <f>IFERROR(MATCH(284,$U$9:$U$2008,0),"")</f>
        <v/>
      </c>
      <c r="X292" s="27">
        <f>IF($W292="","",IF($R$5&lt;&gt;"",$R$5,$R$6))</f>
        <v/>
      </c>
      <c r="Y292" s="27">
        <f>IF($W292="","",INDEX($S$9:$S$2008,$W292))</f>
        <v/>
      </c>
      <c r="Z292" s="27">
        <f>IF($W292="","",IFERROR(TRIM(LEFT(SUBSTITUTE(INDEX($A$9:$A$2008,$W292),CHAR(10)," "),SEARCH("Folio",SUBSTITUTE(INDEX($A$9:$A$2008,$W292),CHAR(10)," "))-1)),TRIM(SUBSTITUTE(INDEX($A$9:$A$2008,$W292),CHAR(10)," "))))</f>
        <v/>
      </c>
      <c r="AA292" s="27">
        <f>IF($W292="","",IFERROR(TRIM(SUBSTITUTE(MID(SUBSTITUTE(INDEX($A$9:$A$2008,$W292),CHAR(10)," "),SEARCH("Folio",SUBSTITUTE(INDEX($A$9:$A$2008,$W292),CHAR(10)," "))+5,200),":","")),""))</f>
        <v/>
      </c>
      <c r="AB292" s="28">
        <f>IF($W292="","",IF(ISNUMBER(INDEX($D$9:$D$2008,$W292)),INDEX($D$9:$D$2008,$W292),IFERROR(DATE(2000+VALUE(RIGHT(INDEX($D$9:$D$2008,$W292),2)),VALUE(MID(INDEX($D$9:$D$2008,$W292),4,2)),VALUE(LEFT(INDEX($D$9:$D$2008,$W292),2))),"")))</f>
        <v/>
      </c>
      <c r="AC292" s="29">
        <f>IF($W292="","",IFERROR(IF(ISNUMBER(INDEX($E$9:$E$2008,$W292)),INDEX($E$9:$E$2008,$W292),VALUE(SUBSTITUTE(INDEX($E$9:$E$2008,$W292),",",""))),""))</f>
        <v/>
      </c>
      <c r="AD292" s="29">
        <f>IF($W292="","",IFERROR(IF(ISNUMBER(INDEX($F$9:$F$2008,$W292)),INDEX($F$9:$F$2008,$W292),VALUE(SUBSTITUTE(INDEX($F$9:$F$2008,$W292),",",""))),""))</f>
        <v/>
      </c>
      <c r="AE292" s="29">
        <f>IF($W292="","",IFERROR(IF(ISNUMBER(INDEX($G$9:$G$2008,$W292)),INDEX($G$9:$G$2008,$W292),VALUE(SUBSTITUTE(INDEX($G$9:$G$2008,$W292),",",""))),""))</f>
        <v/>
      </c>
      <c r="AF292" s="29">
        <f>IF($W292="","",IFERROR(IF(ISNUMBER(INDEX($H$9:$H$2008,$W292)),INDEX($H$9:$H$2008,$W292),VALUE(SUBSTITUTE(INDEX($H$9:$H$2008,$W292),",",""))),""))</f>
        <v/>
      </c>
      <c r="AG292" s="29">
        <f>IF($W292="","",IFERROR(IF(ISNUMBER(INDEX($I$9:$I$2008,$W292)),INDEX($I$9:$I$2008,$W292),VALUE(SUBSTITUTE(INDEX($I$9:$I$2008,$W292),",",""))),""))</f>
        <v/>
      </c>
      <c r="AH292" s="29">
        <f>IF($W292="","",IFERROR(IF(ISNUMBER(INDEX($J$9:$J$2008,$W292)),INDEX($J$9:$J$2008,$W292),VALUE(SUBSTITUTE(INDEX($J$9:$J$2008,$W292),",",""))),""))</f>
        <v/>
      </c>
      <c r="AI292" s="29">
        <f>IF($W292="","",IFERROR(IF(ISNUMBER(INDEX($K$9:$K$2008,$W292)),INDEX($K$9:$K$2008,$W292),VALUE(SUBSTITUTE(INDEX($K$9:$K$2008,$W292),",",""))),""))</f>
        <v/>
      </c>
      <c r="AJ292" s="30">
        <f>IF($W292="","",IFERROR(IF(ISNUMBER(INDEX($L$9:$L$2008,$W292)),INDEX($L$9:$L$2008,$W292),VALUE(SUBSTITUTE(INDEX($L$9:$L$2008,$W292),",",""))),""))</f>
        <v/>
      </c>
      <c r="AK292" s="30">
        <f>IF($W292="","",IFERROR(IF(ISNUMBER(INDEX($M$9:$M$2008,$W292)),INDEX($M$9:$M$2008,$W292),VALUE(SUBSTITUTE(INDEX($M$9:$M$2008,$W292),",",""))),""))</f>
        <v/>
      </c>
      <c r="AL292" s="31">
        <f>IF($W292="","",IFERROR(IF(ISNUMBER(INDEX($P$9:$P$2008,$W292)),INDEX($P$9:$P$2008,$W292),VALUE(SUBSTITUTE(INDEX($P$9:$P$2008,$W292),"%",""))/100),""))</f>
        <v/>
      </c>
    </row>
    <row r="293">
      <c r="S293">
        <f>IF(AND(ISTEXT($A293),ISNUMBER(SEARCH(" - ",$A293)),ISERROR(SEARCH("Folio",$A293)),$D293=""),TRIM($A293),$S292)</f>
        <v/>
      </c>
      <c r="T293">
        <f>IF(AND(ISNUMBER(SEARCH("Folio",$A293)),$D293&lt;&gt;""),1,"")</f>
        <v/>
      </c>
      <c r="U293">
        <f>IF($T293=1,COUNTIF($T$9:$T293,1),"")</f>
        <v/>
      </c>
      <c r="V293">
        <f>IF(AND(ISTEXT($A293),LEFT($A294,3)="Pan"),1,"")</f>
        <v/>
      </c>
      <c r="W293" s="21">
        <f>IFERROR(MATCH(285,$U$9:$U$2008,0),"")</f>
        <v/>
      </c>
      <c r="X293" s="22">
        <f>IF($W293="","",IF($R$5&lt;&gt;"",$R$5,$R$6))</f>
        <v/>
      </c>
      <c r="Y293" s="22">
        <f>IF($W293="","",INDEX($S$9:$S$2008,$W293))</f>
        <v/>
      </c>
      <c r="Z293" s="22">
        <f>IF($W293="","",IFERROR(TRIM(LEFT(SUBSTITUTE(INDEX($A$9:$A$2008,$W293),CHAR(10)," "),SEARCH("Folio",SUBSTITUTE(INDEX($A$9:$A$2008,$W293),CHAR(10)," "))-1)),TRIM(SUBSTITUTE(INDEX($A$9:$A$2008,$W293),CHAR(10)," "))))</f>
        <v/>
      </c>
      <c r="AA293" s="22">
        <f>IF($W293="","",IFERROR(TRIM(SUBSTITUTE(MID(SUBSTITUTE(INDEX($A$9:$A$2008,$W293),CHAR(10)," "),SEARCH("Folio",SUBSTITUTE(INDEX($A$9:$A$2008,$W293),CHAR(10)," "))+5,200),":","")),""))</f>
        <v/>
      </c>
      <c r="AB293" s="23">
        <f>IF($W293="","",IF(ISNUMBER(INDEX($D$9:$D$2008,$W293)),INDEX($D$9:$D$2008,$W293),IFERROR(DATE(2000+VALUE(RIGHT(INDEX($D$9:$D$2008,$W293),2)),VALUE(MID(INDEX($D$9:$D$2008,$W293),4,2)),VALUE(LEFT(INDEX($D$9:$D$2008,$W293),2))),"")))</f>
        <v/>
      </c>
      <c r="AC293" s="24">
        <f>IF($W293="","",IFERROR(IF(ISNUMBER(INDEX($E$9:$E$2008,$W293)),INDEX($E$9:$E$2008,$W293),VALUE(SUBSTITUTE(INDEX($E$9:$E$2008,$W293),",",""))),""))</f>
        <v/>
      </c>
      <c r="AD293" s="24">
        <f>IF($W293="","",IFERROR(IF(ISNUMBER(INDEX($F$9:$F$2008,$W293)),INDEX($F$9:$F$2008,$W293),VALUE(SUBSTITUTE(INDEX($F$9:$F$2008,$W293),",",""))),""))</f>
        <v/>
      </c>
      <c r="AE293" s="24">
        <f>IF($W293="","",IFERROR(IF(ISNUMBER(INDEX($G$9:$G$2008,$W293)),INDEX($G$9:$G$2008,$W293),VALUE(SUBSTITUTE(INDEX($G$9:$G$2008,$W293),",",""))),""))</f>
        <v/>
      </c>
      <c r="AF293" s="24">
        <f>IF($W293="","",IFERROR(IF(ISNUMBER(INDEX($H$9:$H$2008,$W293)),INDEX($H$9:$H$2008,$W293),VALUE(SUBSTITUTE(INDEX($H$9:$H$2008,$W293),",",""))),""))</f>
        <v/>
      </c>
      <c r="AG293" s="24">
        <f>IF($W293="","",IFERROR(IF(ISNUMBER(INDEX($I$9:$I$2008,$W293)),INDEX($I$9:$I$2008,$W293),VALUE(SUBSTITUTE(INDEX($I$9:$I$2008,$W293),",",""))),""))</f>
        <v/>
      </c>
      <c r="AH293" s="24">
        <f>IF($W293="","",IFERROR(IF(ISNUMBER(INDEX($J$9:$J$2008,$W293)),INDEX($J$9:$J$2008,$W293),VALUE(SUBSTITUTE(INDEX($J$9:$J$2008,$W293),",",""))),""))</f>
        <v/>
      </c>
      <c r="AI293" s="24">
        <f>IF($W293="","",IFERROR(IF(ISNUMBER(INDEX($K$9:$K$2008,$W293)),INDEX($K$9:$K$2008,$W293),VALUE(SUBSTITUTE(INDEX($K$9:$K$2008,$W293),",",""))),""))</f>
        <v/>
      </c>
      <c r="AJ293" s="25">
        <f>IF($W293="","",IFERROR(IF(ISNUMBER(INDEX($L$9:$L$2008,$W293)),INDEX($L$9:$L$2008,$W293),VALUE(SUBSTITUTE(INDEX($L$9:$L$2008,$W293),",",""))),""))</f>
        <v/>
      </c>
      <c r="AK293" s="25">
        <f>IF($W293="","",IFERROR(IF(ISNUMBER(INDEX($M$9:$M$2008,$W293)),INDEX($M$9:$M$2008,$W293),VALUE(SUBSTITUTE(INDEX($M$9:$M$2008,$W293),",",""))),""))</f>
        <v/>
      </c>
      <c r="AL293" s="26">
        <f>IF($W293="","",IFERROR(IF(ISNUMBER(INDEX($P$9:$P$2008,$W293)),INDEX($P$9:$P$2008,$W293),VALUE(SUBSTITUTE(INDEX($P$9:$P$2008,$W293),"%",""))/100),""))</f>
        <v/>
      </c>
    </row>
    <row r="294">
      <c r="S294">
        <f>IF(AND(ISTEXT($A294),ISNUMBER(SEARCH(" - ",$A294)),ISERROR(SEARCH("Folio",$A294)),$D294=""),TRIM($A294),$S293)</f>
        <v/>
      </c>
      <c r="T294">
        <f>IF(AND(ISNUMBER(SEARCH("Folio",$A294)),$D294&lt;&gt;""),1,"")</f>
        <v/>
      </c>
      <c r="U294">
        <f>IF($T294=1,COUNTIF($T$9:$T294,1),"")</f>
        <v/>
      </c>
      <c r="V294">
        <f>IF(AND(ISTEXT($A294),LEFT($A295,3)="Pan"),1,"")</f>
        <v/>
      </c>
      <c r="W294" s="21">
        <f>IFERROR(MATCH(286,$U$9:$U$2008,0),"")</f>
        <v/>
      </c>
      <c r="X294" s="27">
        <f>IF($W294="","",IF($R$5&lt;&gt;"",$R$5,$R$6))</f>
        <v/>
      </c>
      <c r="Y294" s="27">
        <f>IF($W294="","",INDEX($S$9:$S$2008,$W294))</f>
        <v/>
      </c>
      <c r="Z294" s="27">
        <f>IF($W294="","",IFERROR(TRIM(LEFT(SUBSTITUTE(INDEX($A$9:$A$2008,$W294),CHAR(10)," "),SEARCH("Folio",SUBSTITUTE(INDEX($A$9:$A$2008,$W294),CHAR(10)," "))-1)),TRIM(SUBSTITUTE(INDEX($A$9:$A$2008,$W294),CHAR(10)," "))))</f>
        <v/>
      </c>
      <c r="AA294" s="27">
        <f>IF($W294="","",IFERROR(TRIM(SUBSTITUTE(MID(SUBSTITUTE(INDEX($A$9:$A$2008,$W294),CHAR(10)," "),SEARCH("Folio",SUBSTITUTE(INDEX($A$9:$A$2008,$W294),CHAR(10)," "))+5,200),":","")),""))</f>
        <v/>
      </c>
      <c r="AB294" s="28">
        <f>IF($W294="","",IF(ISNUMBER(INDEX($D$9:$D$2008,$W294)),INDEX($D$9:$D$2008,$W294),IFERROR(DATE(2000+VALUE(RIGHT(INDEX($D$9:$D$2008,$W294),2)),VALUE(MID(INDEX($D$9:$D$2008,$W294),4,2)),VALUE(LEFT(INDEX($D$9:$D$2008,$W294),2))),"")))</f>
        <v/>
      </c>
      <c r="AC294" s="29">
        <f>IF($W294="","",IFERROR(IF(ISNUMBER(INDEX($E$9:$E$2008,$W294)),INDEX($E$9:$E$2008,$W294),VALUE(SUBSTITUTE(INDEX($E$9:$E$2008,$W294),",",""))),""))</f>
        <v/>
      </c>
      <c r="AD294" s="29">
        <f>IF($W294="","",IFERROR(IF(ISNUMBER(INDEX($F$9:$F$2008,$W294)),INDEX($F$9:$F$2008,$W294),VALUE(SUBSTITUTE(INDEX($F$9:$F$2008,$W294),",",""))),""))</f>
        <v/>
      </c>
      <c r="AE294" s="29">
        <f>IF($W294="","",IFERROR(IF(ISNUMBER(INDEX($G$9:$G$2008,$W294)),INDEX($G$9:$G$2008,$W294),VALUE(SUBSTITUTE(INDEX($G$9:$G$2008,$W294),",",""))),""))</f>
        <v/>
      </c>
      <c r="AF294" s="29">
        <f>IF($W294="","",IFERROR(IF(ISNUMBER(INDEX($H$9:$H$2008,$W294)),INDEX($H$9:$H$2008,$W294),VALUE(SUBSTITUTE(INDEX($H$9:$H$2008,$W294),",",""))),""))</f>
        <v/>
      </c>
      <c r="AG294" s="29">
        <f>IF($W294="","",IFERROR(IF(ISNUMBER(INDEX($I$9:$I$2008,$W294)),INDEX($I$9:$I$2008,$W294),VALUE(SUBSTITUTE(INDEX($I$9:$I$2008,$W294),",",""))),""))</f>
        <v/>
      </c>
      <c r="AH294" s="29">
        <f>IF($W294="","",IFERROR(IF(ISNUMBER(INDEX($J$9:$J$2008,$W294)),INDEX($J$9:$J$2008,$W294),VALUE(SUBSTITUTE(INDEX($J$9:$J$2008,$W294),",",""))),""))</f>
        <v/>
      </c>
      <c r="AI294" s="29">
        <f>IF($W294="","",IFERROR(IF(ISNUMBER(INDEX($K$9:$K$2008,$W294)),INDEX($K$9:$K$2008,$W294),VALUE(SUBSTITUTE(INDEX($K$9:$K$2008,$W294),",",""))),""))</f>
        <v/>
      </c>
      <c r="AJ294" s="30">
        <f>IF($W294="","",IFERROR(IF(ISNUMBER(INDEX($L$9:$L$2008,$W294)),INDEX($L$9:$L$2008,$W294),VALUE(SUBSTITUTE(INDEX($L$9:$L$2008,$W294),",",""))),""))</f>
        <v/>
      </c>
      <c r="AK294" s="30">
        <f>IF($W294="","",IFERROR(IF(ISNUMBER(INDEX($M$9:$M$2008,$W294)),INDEX($M$9:$M$2008,$W294),VALUE(SUBSTITUTE(INDEX($M$9:$M$2008,$W294),",",""))),""))</f>
        <v/>
      </c>
      <c r="AL294" s="31">
        <f>IF($W294="","",IFERROR(IF(ISNUMBER(INDEX($P$9:$P$2008,$W294)),INDEX($P$9:$P$2008,$W294),VALUE(SUBSTITUTE(INDEX($P$9:$P$2008,$W294),"%",""))/100),""))</f>
        <v/>
      </c>
    </row>
    <row r="295">
      <c r="S295">
        <f>IF(AND(ISTEXT($A295),ISNUMBER(SEARCH(" - ",$A295)),ISERROR(SEARCH("Folio",$A295)),$D295=""),TRIM($A295),$S294)</f>
        <v/>
      </c>
      <c r="T295">
        <f>IF(AND(ISNUMBER(SEARCH("Folio",$A295)),$D295&lt;&gt;""),1,"")</f>
        <v/>
      </c>
      <c r="U295">
        <f>IF($T295=1,COUNTIF($T$9:$T295,1),"")</f>
        <v/>
      </c>
      <c r="V295">
        <f>IF(AND(ISTEXT($A295),LEFT($A296,3)="Pan"),1,"")</f>
        <v/>
      </c>
      <c r="W295" s="21">
        <f>IFERROR(MATCH(287,$U$9:$U$2008,0),"")</f>
        <v/>
      </c>
      <c r="X295" s="22">
        <f>IF($W295="","",IF($R$5&lt;&gt;"",$R$5,$R$6))</f>
        <v/>
      </c>
      <c r="Y295" s="22">
        <f>IF($W295="","",INDEX($S$9:$S$2008,$W295))</f>
        <v/>
      </c>
      <c r="Z295" s="22">
        <f>IF($W295="","",IFERROR(TRIM(LEFT(SUBSTITUTE(INDEX($A$9:$A$2008,$W295),CHAR(10)," "),SEARCH("Folio",SUBSTITUTE(INDEX($A$9:$A$2008,$W295),CHAR(10)," "))-1)),TRIM(SUBSTITUTE(INDEX($A$9:$A$2008,$W295),CHAR(10)," "))))</f>
        <v/>
      </c>
      <c r="AA295" s="22">
        <f>IF($W295="","",IFERROR(TRIM(SUBSTITUTE(MID(SUBSTITUTE(INDEX($A$9:$A$2008,$W295),CHAR(10)," "),SEARCH("Folio",SUBSTITUTE(INDEX($A$9:$A$2008,$W295),CHAR(10)," "))+5,200),":","")),""))</f>
        <v/>
      </c>
      <c r="AB295" s="23">
        <f>IF($W295="","",IF(ISNUMBER(INDEX($D$9:$D$2008,$W295)),INDEX($D$9:$D$2008,$W295),IFERROR(DATE(2000+VALUE(RIGHT(INDEX($D$9:$D$2008,$W295),2)),VALUE(MID(INDEX($D$9:$D$2008,$W295),4,2)),VALUE(LEFT(INDEX($D$9:$D$2008,$W295),2))),"")))</f>
        <v/>
      </c>
      <c r="AC295" s="24">
        <f>IF($W295="","",IFERROR(IF(ISNUMBER(INDEX($E$9:$E$2008,$W295)),INDEX($E$9:$E$2008,$W295),VALUE(SUBSTITUTE(INDEX($E$9:$E$2008,$W295),",",""))),""))</f>
        <v/>
      </c>
      <c r="AD295" s="24">
        <f>IF($W295="","",IFERROR(IF(ISNUMBER(INDEX($F$9:$F$2008,$W295)),INDEX($F$9:$F$2008,$W295),VALUE(SUBSTITUTE(INDEX($F$9:$F$2008,$W295),",",""))),""))</f>
        <v/>
      </c>
      <c r="AE295" s="24">
        <f>IF($W295="","",IFERROR(IF(ISNUMBER(INDEX($G$9:$G$2008,$W295)),INDEX($G$9:$G$2008,$W295),VALUE(SUBSTITUTE(INDEX($G$9:$G$2008,$W295),",",""))),""))</f>
        <v/>
      </c>
      <c r="AF295" s="24">
        <f>IF($W295="","",IFERROR(IF(ISNUMBER(INDEX($H$9:$H$2008,$W295)),INDEX($H$9:$H$2008,$W295),VALUE(SUBSTITUTE(INDEX($H$9:$H$2008,$W295),",",""))),""))</f>
        <v/>
      </c>
      <c r="AG295" s="24">
        <f>IF($W295="","",IFERROR(IF(ISNUMBER(INDEX($I$9:$I$2008,$W295)),INDEX($I$9:$I$2008,$W295),VALUE(SUBSTITUTE(INDEX($I$9:$I$2008,$W295),",",""))),""))</f>
        <v/>
      </c>
      <c r="AH295" s="24">
        <f>IF($W295="","",IFERROR(IF(ISNUMBER(INDEX($J$9:$J$2008,$W295)),INDEX($J$9:$J$2008,$W295),VALUE(SUBSTITUTE(INDEX($J$9:$J$2008,$W295),",",""))),""))</f>
        <v/>
      </c>
      <c r="AI295" s="24">
        <f>IF($W295="","",IFERROR(IF(ISNUMBER(INDEX($K$9:$K$2008,$W295)),INDEX($K$9:$K$2008,$W295),VALUE(SUBSTITUTE(INDEX($K$9:$K$2008,$W295),",",""))),""))</f>
        <v/>
      </c>
      <c r="AJ295" s="25">
        <f>IF($W295="","",IFERROR(IF(ISNUMBER(INDEX($L$9:$L$2008,$W295)),INDEX($L$9:$L$2008,$W295),VALUE(SUBSTITUTE(INDEX($L$9:$L$2008,$W295),",",""))),""))</f>
        <v/>
      </c>
      <c r="AK295" s="25">
        <f>IF($W295="","",IFERROR(IF(ISNUMBER(INDEX($M$9:$M$2008,$W295)),INDEX($M$9:$M$2008,$W295),VALUE(SUBSTITUTE(INDEX($M$9:$M$2008,$W295),",",""))),""))</f>
        <v/>
      </c>
      <c r="AL295" s="26">
        <f>IF($W295="","",IFERROR(IF(ISNUMBER(INDEX($P$9:$P$2008,$W295)),INDEX($P$9:$P$2008,$W295),VALUE(SUBSTITUTE(INDEX($P$9:$P$2008,$W295),"%",""))/100),""))</f>
        <v/>
      </c>
    </row>
    <row r="296">
      <c r="S296">
        <f>IF(AND(ISTEXT($A296),ISNUMBER(SEARCH(" - ",$A296)),ISERROR(SEARCH("Folio",$A296)),$D296=""),TRIM($A296),$S295)</f>
        <v/>
      </c>
      <c r="T296">
        <f>IF(AND(ISNUMBER(SEARCH("Folio",$A296)),$D296&lt;&gt;""),1,"")</f>
        <v/>
      </c>
      <c r="U296">
        <f>IF($T296=1,COUNTIF($T$9:$T296,1),"")</f>
        <v/>
      </c>
      <c r="V296">
        <f>IF(AND(ISTEXT($A296),LEFT($A297,3)="Pan"),1,"")</f>
        <v/>
      </c>
      <c r="W296" s="21">
        <f>IFERROR(MATCH(288,$U$9:$U$2008,0),"")</f>
        <v/>
      </c>
      <c r="X296" s="27">
        <f>IF($W296="","",IF($R$5&lt;&gt;"",$R$5,$R$6))</f>
        <v/>
      </c>
      <c r="Y296" s="27">
        <f>IF($W296="","",INDEX($S$9:$S$2008,$W296))</f>
        <v/>
      </c>
      <c r="Z296" s="27">
        <f>IF($W296="","",IFERROR(TRIM(LEFT(SUBSTITUTE(INDEX($A$9:$A$2008,$W296),CHAR(10)," "),SEARCH("Folio",SUBSTITUTE(INDEX($A$9:$A$2008,$W296),CHAR(10)," "))-1)),TRIM(SUBSTITUTE(INDEX($A$9:$A$2008,$W296),CHAR(10)," "))))</f>
        <v/>
      </c>
      <c r="AA296" s="27">
        <f>IF($W296="","",IFERROR(TRIM(SUBSTITUTE(MID(SUBSTITUTE(INDEX($A$9:$A$2008,$W296),CHAR(10)," "),SEARCH("Folio",SUBSTITUTE(INDEX($A$9:$A$2008,$W296),CHAR(10)," "))+5,200),":","")),""))</f>
        <v/>
      </c>
      <c r="AB296" s="28">
        <f>IF($W296="","",IF(ISNUMBER(INDEX($D$9:$D$2008,$W296)),INDEX($D$9:$D$2008,$W296),IFERROR(DATE(2000+VALUE(RIGHT(INDEX($D$9:$D$2008,$W296),2)),VALUE(MID(INDEX($D$9:$D$2008,$W296),4,2)),VALUE(LEFT(INDEX($D$9:$D$2008,$W296),2))),"")))</f>
        <v/>
      </c>
      <c r="AC296" s="29">
        <f>IF($W296="","",IFERROR(IF(ISNUMBER(INDEX($E$9:$E$2008,$W296)),INDEX($E$9:$E$2008,$W296),VALUE(SUBSTITUTE(INDEX($E$9:$E$2008,$W296),",",""))),""))</f>
        <v/>
      </c>
      <c r="AD296" s="29">
        <f>IF($W296="","",IFERROR(IF(ISNUMBER(INDEX($F$9:$F$2008,$W296)),INDEX($F$9:$F$2008,$W296),VALUE(SUBSTITUTE(INDEX($F$9:$F$2008,$W296),",",""))),""))</f>
        <v/>
      </c>
      <c r="AE296" s="29">
        <f>IF($W296="","",IFERROR(IF(ISNUMBER(INDEX($G$9:$G$2008,$W296)),INDEX($G$9:$G$2008,$W296),VALUE(SUBSTITUTE(INDEX($G$9:$G$2008,$W296),",",""))),""))</f>
        <v/>
      </c>
      <c r="AF296" s="29">
        <f>IF($W296="","",IFERROR(IF(ISNUMBER(INDEX($H$9:$H$2008,$W296)),INDEX($H$9:$H$2008,$W296),VALUE(SUBSTITUTE(INDEX($H$9:$H$2008,$W296),",",""))),""))</f>
        <v/>
      </c>
      <c r="AG296" s="29">
        <f>IF($W296="","",IFERROR(IF(ISNUMBER(INDEX($I$9:$I$2008,$W296)),INDEX($I$9:$I$2008,$W296),VALUE(SUBSTITUTE(INDEX($I$9:$I$2008,$W296),",",""))),""))</f>
        <v/>
      </c>
      <c r="AH296" s="29">
        <f>IF($W296="","",IFERROR(IF(ISNUMBER(INDEX($J$9:$J$2008,$W296)),INDEX($J$9:$J$2008,$W296),VALUE(SUBSTITUTE(INDEX($J$9:$J$2008,$W296),",",""))),""))</f>
        <v/>
      </c>
      <c r="AI296" s="29">
        <f>IF($W296="","",IFERROR(IF(ISNUMBER(INDEX($K$9:$K$2008,$W296)),INDEX($K$9:$K$2008,$W296),VALUE(SUBSTITUTE(INDEX($K$9:$K$2008,$W296),",",""))),""))</f>
        <v/>
      </c>
      <c r="AJ296" s="30">
        <f>IF($W296="","",IFERROR(IF(ISNUMBER(INDEX($L$9:$L$2008,$W296)),INDEX($L$9:$L$2008,$W296),VALUE(SUBSTITUTE(INDEX($L$9:$L$2008,$W296),",",""))),""))</f>
        <v/>
      </c>
      <c r="AK296" s="30">
        <f>IF($W296="","",IFERROR(IF(ISNUMBER(INDEX($M$9:$M$2008,$W296)),INDEX($M$9:$M$2008,$W296),VALUE(SUBSTITUTE(INDEX($M$9:$M$2008,$W296),",",""))),""))</f>
        <v/>
      </c>
      <c r="AL296" s="31">
        <f>IF($W296="","",IFERROR(IF(ISNUMBER(INDEX($P$9:$P$2008,$W296)),INDEX($P$9:$P$2008,$W296),VALUE(SUBSTITUTE(INDEX($P$9:$P$2008,$W296),"%",""))/100),""))</f>
        <v/>
      </c>
    </row>
    <row r="297">
      <c r="S297">
        <f>IF(AND(ISTEXT($A297),ISNUMBER(SEARCH(" - ",$A297)),ISERROR(SEARCH("Folio",$A297)),$D297=""),TRIM($A297),$S296)</f>
        <v/>
      </c>
      <c r="T297">
        <f>IF(AND(ISNUMBER(SEARCH("Folio",$A297)),$D297&lt;&gt;""),1,"")</f>
        <v/>
      </c>
      <c r="U297">
        <f>IF($T297=1,COUNTIF($T$9:$T297,1),"")</f>
        <v/>
      </c>
      <c r="V297">
        <f>IF(AND(ISTEXT($A297),LEFT($A298,3)="Pan"),1,"")</f>
        <v/>
      </c>
      <c r="W297" s="21">
        <f>IFERROR(MATCH(289,$U$9:$U$2008,0),"")</f>
        <v/>
      </c>
      <c r="X297" s="22">
        <f>IF($W297="","",IF($R$5&lt;&gt;"",$R$5,$R$6))</f>
        <v/>
      </c>
      <c r="Y297" s="22">
        <f>IF($W297="","",INDEX($S$9:$S$2008,$W297))</f>
        <v/>
      </c>
      <c r="Z297" s="22">
        <f>IF($W297="","",IFERROR(TRIM(LEFT(SUBSTITUTE(INDEX($A$9:$A$2008,$W297),CHAR(10)," "),SEARCH("Folio",SUBSTITUTE(INDEX($A$9:$A$2008,$W297),CHAR(10)," "))-1)),TRIM(SUBSTITUTE(INDEX($A$9:$A$2008,$W297),CHAR(10)," "))))</f>
        <v/>
      </c>
      <c r="AA297" s="22">
        <f>IF($W297="","",IFERROR(TRIM(SUBSTITUTE(MID(SUBSTITUTE(INDEX($A$9:$A$2008,$W297),CHAR(10)," "),SEARCH("Folio",SUBSTITUTE(INDEX($A$9:$A$2008,$W297),CHAR(10)," "))+5,200),":","")),""))</f>
        <v/>
      </c>
      <c r="AB297" s="23">
        <f>IF($W297="","",IF(ISNUMBER(INDEX($D$9:$D$2008,$W297)),INDEX($D$9:$D$2008,$W297),IFERROR(DATE(2000+VALUE(RIGHT(INDEX($D$9:$D$2008,$W297),2)),VALUE(MID(INDEX($D$9:$D$2008,$W297),4,2)),VALUE(LEFT(INDEX($D$9:$D$2008,$W297),2))),"")))</f>
        <v/>
      </c>
      <c r="AC297" s="24">
        <f>IF($W297="","",IFERROR(IF(ISNUMBER(INDEX($E$9:$E$2008,$W297)),INDEX($E$9:$E$2008,$W297),VALUE(SUBSTITUTE(INDEX($E$9:$E$2008,$W297),",",""))),""))</f>
        <v/>
      </c>
      <c r="AD297" s="24">
        <f>IF($W297="","",IFERROR(IF(ISNUMBER(INDEX($F$9:$F$2008,$W297)),INDEX($F$9:$F$2008,$W297),VALUE(SUBSTITUTE(INDEX($F$9:$F$2008,$W297),",",""))),""))</f>
        <v/>
      </c>
      <c r="AE297" s="24">
        <f>IF($W297="","",IFERROR(IF(ISNUMBER(INDEX($G$9:$G$2008,$W297)),INDEX($G$9:$G$2008,$W297),VALUE(SUBSTITUTE(INDEX($G$9:$G$2008,$W297),",",""))),""))</f>
        <v/>
      </c>
      <c r="AF297" s="24">
        <f>IF($W297="","",IFERROR(IF(ISNUMBER(INDEX($H$9:$H$2008,$W297)),INDEX($H$9:$H$2008,$W297),VALUE(SUBSTITUTE(INDEX($H$9:$H$2008,$W297),",",""))),""))</f>
        <v/>
      </c>
      <c r="AG297" s="24">
        <f>IF($W297="","",IFERROR(IF(ISNUMBER(INDEX($I$9:$I$2008,$W297)),INDEX($I$9:$I$2008,$W297),VALUE(SUBSTITUTE(INDEX($I$9:$I$2008,$W297),",",""))),""))</f>
        <v/>
      </c>
      <c r="AH297" s="24">
        <f>IF($W297="","",IFERROR(IF(ISNUMBER(INDEX($J$9:$J$2008,$W297)),INDEX($J$9:$J$2008,$W297),VALUE(SUBSTITUTE(INDEX($J$9:$J$2008,$W297),",",""))),""))</f>
        <v/>
      </c>
      <c r="AI297" s="24">
        <f>IF($W297="","",IFERROR(IF(ISNUMBER(INDEX($K$9:$K$2008,$W297)),INDEX($K$9:$K$2008,$W297),VALUE(SUBSTITUTE(INDEX($K$9:$K$2008,$W297),",",""))),""))</f>
        <v/>
      </c>
      <c r="AJ297" s="25">
        <f>IF($W297="","",IFERROR(IF(ISNUMBER(INDEX($L$9:$L$2008,$W297)),INDEX($L$9:$L$2008,$W297),VALUE(SUBSTITUTE(INDEX($L$9:$L$2008,$W297),",",""))),""))</f>
        <v/>
      </c>
      <c r="AK297" s="25">
        <f>IF($W297="","",IFERROR(IF(ISNUMBER(INDEX($M$9:$M$2008,$W297)),INDEX($M$9:$M$2008,$W297),VALUE(SUBSTITUTE(INDEX($M$9:$M$2008,$W297),",",""))),""))</f>
        <v/>
      </c>
      <c r="AL297" s="26">
        <f>IF($W297="","",IFERROR(IF(ISNUMBER(INDEX($P$9:$P$2008,$W297)),INDEX($P$9:$P$2008,$W297),VALUE(SUBSTITUTE(INDEX($P$9:$P$2008,$W297),"%",""))/100),""))</f>
        <v/>
      </c>
    </row>
    <row r="298">
      <c r="S298">
        <f>IF(AND(ISTEXT($A298),ISNUMBER(SEARCH(" - ",$A298)),ISERROR(SEARCH("Folio",$A298)),$D298=""),TRIM($A298),$S297)</f>
        <v/>
      </c>
      <c r="T298">
        <f>IF(AND(ISNUMBER(SEARCH("Folio",$A298)),$D298&lt;&gt;""),1,"")</f>
        <v/>
      </c>
      <c r="U298">
        <f>IF($T298=1,COUNTIF($T$9:$T298,1),"")</f>
        <v/>
      </c>
      <c r="V298">
        <f>IF(AND(ISTEXT($A298),LEFT($A299,3)="Pan"),1,"")</f>
        <v/>
      </c>
      <c r="W298" s="21">
        <f>IFERROR(MATCH(290,$U$9:$U$2008,0),"")</f>
        <v/>
      </c>
      <c r="X298" s="27">
        <f>IF($W298="","",IF($R$5&lt;&gt;"",$R$5,$R$6))</f>
        <v/>
      </c>
      <c r="Y298" s="27">
        <f>IF($W298="","",INDEX($S$9:$S$2008,$W298))</f>
        <v/>
      </c>
      <c r="Z298" s="27">
        <f>IF($W298="","",IFERROR(TRIM(LEFT(SUBSTITUTE(INDEX($A$9:$A$2008,$W298),CHAR(10)," "),SEARCH("Folio",SUBSTITUTE(INDEX($A$9:$A$2008,$W298),CHAR(10)," "))-1)),TRIM(SUBSTITUTE(INDEX($A$9:$A$2008,$W298),CHAR(10)," "))))</f>
        <v/>
      </c>
      <c r="AA298" s="27">
        <f>IF($W298="","",IFERROR(TRIM(SUBSTITUTE(MID(SUBSTITUTE(INDEX($A$9:$A$2008,$W298),CHAR(10)," "),SEARCH("Folio",SUBSTITUTE(INDEX($A$9:$A$2008,$W298),CHAR(10)," "))+5,200),":","")),""))</f>
        <v/>
      </c>
      <c r="AB298" s="28">
        <f>IF($W298="","",IF(ISNUMBER(INDEX($D$9:$D$2008,$W298)),INDEX($D$9:$D$2008,$W298),IFERROR(DATE(2000+VALUE(RIGHT(INDEX($D$9:$D$2008,$W298),2)),VALUE(MID(INDEX($D$9:$D$2008,$W298),4,2)),VALUE(LEFT(INDEX($D$9:$D$2008,$W298),2))),"")))</f>
        <v/>
      </c>
      <c r="AC298" s="29">
        <f>IF($W298="","",IFERROR(IF(ISNUMBER(INDEX($E$9:$E$2008,$W298)),INDEX($E$9:$E$2008,$W298),VALUE(SUBSTITUTE(INDEX($E$9:$E$2008,$W298),",",""))),""))</f>
        <v/>
      </c>
      <c r="AD298" s="29">
        <f>IF($W298="","",IFERROR(IF(ISNUMBER(INDEX($F$9:$F$2008,$W298)),INDEX($F$9:$F$2008,$W298),VALUE(SUBSTITUTE(INDEX($F$9:$F$2008,$W298),",",""))),""))</f>
        <v/>
      </c>
      <c r="AE298" s="29">
        <f>IF($W298="","",IFERROR(IF(ISNUMBER(INDEX($G$9:$G$2008,$W298)),INDEX($G$9:$G$2008,$W298),VALUE(SUBSTITUTE(INDEX($G$9:$G$2008,$W298),",",""))),""))</f>
        <v/>
      </c>
      <c r="AF298" s="29">
        <f>IF($W298="","",IFERROR(IF(ISNUMBER(INDEX($H$9:$H$2008,$W298)),INDEX($H$9:$H$2008,$W298),VALUE(SUBSTITUTE(INDEX($H$9:$H$2008,$W298),",",""))),""))</f>
        <v/>
      </c>
      <c r="AG298" s="29">
        <f>IF($W298="","",IFERROR(IF(ISNUMBER(INDEX($I$9:$I$2008,$W298)),INDEX($I$9:$I$2008,$W298),VALUE(SUBSTITUTE(INDEX($I$9:$I$2008,$W298),",",""))),""))</f>
        <v/>
      </c>
      <c r="AH298" s="29">
        <f>IF($W298="","",IFERROR(IF(ISNUMBER(INDEX($J$9:$J$2008,$W298)),INDEX($J$9:$J$2008,$W298),VALUE(SUBSTITUTE(INDEX($J$9:$J$2008,$W298),",",""))),""))</f>
        <v/>
      </c>
      <c r="AI298" s="29">
        <f>IF($W298="","",IFERROR(IF(ISNUMBER(INDEX($K$9:$K$2008,$W298)),INDEX($K$9:$K$2008,$W298),VALUE(SUBSTITUTE(INDEX($K$9:$K$2008,$W298),",",""))),""))</f>
        <v/>
      </c>
      <c r="AJ298" s="30">
        <f>IF($W298="","",IFERROR(IF(ISNUMBER(INDEX($L$9:$L$2008,$W298)),INDEX($L$9:$L$2008,$W298),VALUE(SUBSTITUTE(INDEX($L$9:$L$2008,$W298),",",""))),""))</f>
        <v/>
      </c>
      <c r="AK298" s="30">
        <f>IF($W298="","",IFERROR(IF(ISNUMBER(INDEX($M$9:$M$2008,$W298)),INDEX($M$9:$M$2008,$W298),VALUE(SUBSTITUTE(INDEX($M$9:$M$2008,$W298),",",""))),""))</f>
        <v/>
      </c>
      <c r="AL298" s="31">
        <f>IF($W298="","",IFERROR(IF(ISNUMBER(INDEX($P$9:$P$2008,$W298)),INDEX($P$9:$P$2008,$W298),VALUE(SUBSTITUTE(INDEX($P$9:$P$2008,$W298),"%",""))/100),""))</f>
        <v/>
      </c>
    </row>
    <row r="299">
      <c r="S299">
        <f>IF(AND(ISTEXT($A299),ISNUMBER(SEARCH(" - ",$A299)),ISERROR(SEARCH("Folio",$A299)),$D299=""),TRIM($A299),$S298)</f>
        <v/>
      </c>
      <c r="T299">
        <f>IF(AND(ISNUMBER(SEARCH("Folio",$A299)),$D299&lt;&gt;""),1,"")</f>
        <v/>
      </c>
      <c r="U299">
        <f>IF($T299=1,COUNTIF($T$9:$T299,1),"")</f>
        <v/>
      </c>
      <c r="V299">
        <f>IF(AND(ISTEXT($A299),LEFT($A300,3)="Pan"),1,"")</f>
        <v/>
      </c>
      <c r="W299" s="21">
        <f>IFERROR(MATCH(291,$U$9:$U$2008,0),"")</f>
        <v/>
      </c>
      <c r="X299" s="22">
        <f>IF($W299="","",IF($R$5&lt;&gt;"",$R$5,$R$6))</f>
        <v/>
      </c>
      <c r="Y299" s="22">
        <f>IF($W299="","",INDEX($S$9:$S$2008,$W299))</f>
        <v/>
      </c>
      <c r="Z299" s="22">
        <f>IF($W299="","",IFERROR(TRIM(LEFT(SUBSTITUTE(INDEX($A$9:$A$2008,$W299),CHAR(10)," "),SEARCH("Folio",SUBSTITUTE(INDEX($A$9:$A$2008,$W299),CHAR(10)," "))-1)),TRIM(SUBSTITUTE(INDEX($A$9:$A$2008,$W299),CHAR(10)," "))))</f>
        <v/>
      </c>
      <c r="AA299" s="22">
        <f>IF($W299="","",IFERROR(TRIM(SUBSTITUTE(MID(SUBSTITUTE(INDEX($A$9:$A$2008,$W299),CHAR(10)," "),SEARCH("Folio",SUBSTITUTE(INDEX($A$9:$A$2008,$W299),CHAR(10)," "))+5,200),":","")),""))</f>
        <v/>
      </c>
      <c r="AB299" s="23">
        <f>IF($W299="","",IF(ISNUMBER(INDEX($D$9:$D$2008,$W299)),INDEX($D$9:$D$2008,$W299),IFERROR(DATE(2000+VALUE(RIGHT(INDEX($D$9:$D$2008,$W299),2)),VALUE(MID(INDEX($D$9:$D$2008,$W299),4,2)),VALUE(LEFT(INDEX($D$9:$D$2008,$W299),2))),"")))</f>
        <v/>
      </c>
      <c r="AC299" s="24">
        <f>IF($W299="","",IFERROR(IF(ISNUMBER(INDEX($E$9:$E$2008,$W299)),INDEX($E$9:$E$2008,$W299),VALUE(SUBSTITUTE(INDEX($E$9:$E$2008,$W299),",",""))),""))</f>
        <v/>
      </c>
      <c r="AD299" s="24">
        <f>IF($W299="","",IFERROR(IF(ISNUMBER(INDEX($F$9:$F$2008,$W299)),INDEX($F$9:$F$2008,$W299),VALUE(SUBSTITUTE(INDEX($F$9:$F$2008,$W299),",",""))),""))</f>
        <v/>
      </c>
      <c r="AE299" s="24">
        <f>IF($W299="","",IFERROR(IF(ISNUMBER(INDEX($G$9:$G$2008,$W299)),INDEX($G$9:$G$2008,$W299),VALUE(SUBSTITUTE(INDEX($G$9:$G$2008,$W299),",",""))),""))</f>
        <v/>
      </c>
      <c r="AF299" s="24">
        <f>IF($W299="","",IFERROR(IF(ISNUMBER(INDEX($H$9:$H$2008,$W299)),INDEX($H$9:$H$2008,$W299),VALUE(SUBSTITUTE(INDEX($H$9:$H$2008,$W299),",",""))),""))</f>
        <v/>
      </c>
      <c r="AG299" s="24">
        <f>IF($W299="","",IFERROR(IF(ISNUMBER(INDEX($I$9:$I$2008,$W299)),INDEX($I$9:$I$2008,$W299),VALUE(SUBSTITUTE(INDEX($I$9:$I$2008,$W299),",",""))),""))</f>
        <v/>
      </c>
      <c r="AH299" s="24">
        <f>IF($W299="","",IFERROR(IF(ISNUMBER(INDEX($J$9:$J$2008,$W299)),INDEX($J$9:$J$2008,$W299),VALUE(SUBSTITUTE(INDEX($J$9:$J$2008,$W299),",",""))),""))</f>
        <v/>
      </c>
      <c r="AI299" s="24">
        <f>IF($W299="","",IFERROR(IF(ISNUMBER(INDEX($K$9:$K$2008,$W299)),INDEX($K$9:$K$2008,$W299),VALUE(SUBSTITUTE(INDEX($K$9:$K$2008,$W299),",",""))),""))</f>
        <v/>
      </c>
      <c r="AJ299" s="25">
        <f>IF($W299="","",IFERROR(IF(ISNUMBER(INDEX($L$9:$L$2008,$W299)),INDEX($L$9:$L$2008,$W299),VALUE(SUBSTITUTE(INDEX($L$9:$L$2008,$W299),",",""))),""))</f>
        <v/>
      </c>
      <c r="AK299" s="25">
        <f>IF($W299="","",IFERROR(IF(ISNUMBER(INDEX($M$9:$M$2008,$W299)),INDEX($M$9:$M$2008,$W299),VALUE(SUBSTITUTE(INDEX($M$9:$M$2008,$W299),",",""))),""))</f>
        <v/>
      </c>
      <c r="AL299" s="26">
        <f>IF($W299="","",IFERROR(IF(ISNUMBER(INDEX($P$9:$P$2008,$W299)),INDEX($P$9:$P$2008,$W299),VALUE(SUBSTITUTE(INDEX($P$9:$P$2008,$W299),"%",""))/100),""))</f>
        <v/>
      </c>
    </row>
    <row r="300">
      <c r="S300">
        <f>IF(AND(ISTEXT($A300),ISNUMBER(SEARCH(" - ",$A300)),ISERROR(SEARCH("Folio",$A300)),$D300=""),TRIM($A300),$S299)</f>
        <v/>
      </c>
      <c r="T300">
        <f>IF(AND(ISNUMBER(SEARCH("Folio",$A300)),$D300&lt;&gt;""),1,"")</f>
        <v/>
      </c>
      <c r="U300">
        <f>IF($T300=1,COUNTIF($T$9:$T300,1),"")</f>
        <v/>
      </c>
      <c r="V300">
        <f>IF(AND(ISTEXT($A300),LEFT($A301,3)="Pan"),1,"")</f>
        <v/>
      </c>
      <c r="W300" s="21">
        <f>IFERROR(MATCH(292,$U$9:$U$2008,0),"")</f>
        <v/>
      </c>
      <c r="X300" s="27">
        <f>IF($W300="","",IF($R$5&lt;&gt;"",$R$5,$R$6))</f>
        <v/>
      </c>
      <c r="Y300" s="27">
        <f>IF($W300="","",INDEX($S$9:$S$2008,$W300))</f>
        <v/>
      </c>
      <c r="Z300" s="27">
        <f>IF($W300="","",IFERROR(TRIM(LEFT(SUBSTITUTE(INDEX($A$9:$A$2008,$W300),CHAR(10)," "),SEARCH("Folio",SUBSTITUTE(INDEX($A$9:$A$2008,$W300),CHAR(10)," "))-1)),TRIM(SUBSTITUTE(INDEX($A$9:$A$2008,$W300),CHAR(10)," "))))</f>
        <v/>
      </c>
      <c r="AA300" s="27">
        <f>IF($W300="","",IFERROR(TRIM(SUBSTITUTE(MID(SUBSTITUTE(INDEX($A$9:$A$2008,$W300),CHAR(10)," "),SEARCH("Folio",SUBSTITUTE(INDEX($A$9:$A$2008,$W300),CHAR(10)," "))+5,200),":","")),""))</f>
        <v/>
      </c>
      <c r="AB300" s="28">
        <f>IF($W300="","",IF(ISNUMBER(INDEX($D$9:$D$2008,$W300)),INDEX($D$9:$D$2008,$W300),IFERROR(DATE(2000+VALUE(RIGHT(INDEX($D$9:$D$2008,$W300),2)),VALUE(MID(INDEX($D$9:$D$2008,$W300),4,2)),VALUE(LEFT(INDEX($D$9:$D$2008,$W300),2))),"")))</f>
        <v/>
      </c>
      <c r="AC300" s="29">
        <f>IF($W300="","",IFERROR(IF(ISNUMBER(INDEX($E$9:$E$2008,$W300)),INDEX($E$9:$E$2008,$W300),VALUE(SUBSTITUTE(INDEX($E$9:$E$2008,$W300),",",""))),""))</f>
        <v/>
      </c>
      <c r="AD300" s="29">
        <f>IF($W300="","",IFERROR(IF(ISNUMBER(INDEX($F$9:$F$2008,$W300)),INDEX($F$9:$F$2008,$W300),VALUE(SUBSTITUTE(INDEX($F$9:$F$2008,$W300),",",""))),""))</f>
        <v/>
      </c>
      <c r="AE300" s="29">
        <f>IF($W300="","",IFERROR(IF(ISNUMBER(INDEX($G$9:$G$2008,$W300)),INDEX($G$9:$G$2008,$W300),VALUE(SUBSTITUTE(INDEX($G$9:$G$2008,$W300),",",""))),""))</f>
        <v/>
      </c>
      <c r="AF300" s="29">
        <f>IF($W300="","",IFERROR(IF(ISNUMBER(INDEX($H$9:$H$2008,$W300)),INDEX($H$9:$H$2008,$W300),VALUE(SUBSTITUTE(INDEX($H$9:$H$2008,$W300),",",""))),""))</f>
        <v/>
      </c>
      <c r="AG300" s="29">
        <f>IF($W300="","",IFERROR(IF(ISNUMBER(INDEX($I$9:$I$2008,$W300)),INDEX($I$9:$I$2008,$W300),VALUE(SUBSTITUTE(INDEX($I$9:$I$2008,$W300),",",""))),""))</f>
        <v/>
      </c>
      <c r="AH300" s="29">
        <f>IF($W300="","",IFERROR(IF(ISNUMBER(INDEX($J$9:$J$2008,$W300)),INDEX($J$9:$J$2008,$W300),VALUE(SUBSTITUTE(INDEX($J$9:$J$2008,$W300),",",""))),""))</f>
        <v/>
      </c>
      <c r="AI300" s="29">
        <f>IF($W300="","",IFERROR(IF(ISNUMBER(INDEX($K$9:$K$2008,$W300)),INDEX($K$9:$K$2008,$W300),VALUE(SUBSTITUTE(INDEX($K$9:$K$2008,$W300),",",""))),""))</f>
        <v/>
      </c>
      <c r="AJ300" s="30">
        <f>IF($W300="","",IFERROR(IF(ISNUMBER(INDEX($L$9:$L$2008,$W300)),INDEX($L$9:$L$2008,$W300),VALUE(SUBSTITUTE(INDEX($L$9:$L$2008,$W300),",",""))),""))</f>
        <v/>
      </c>
      <c r="AK300" s="30">
        <f>IF($W300="","",IFERROR(IF(ISNUMBER(INDEX($M$9:$M$2008,$W300)),INDEX($M$9:$M$2008,$W300),VALUE(SUBSTITUTE(INDEX($M$9:$M$2008,$W300),",",""))),""))</f>
        <v/>
      </c>
      <c r="AL300" s="31">
        <f>IF($W300="","",IFERROR(IF(ISNUMBER(INDEX($P$9:$P$2008,$W300)),INDEX($P$9:$P$2008,$W300),VALUE(SUBSTITUTE(INDEX($P$9:$P$2008,$W300),"%",""))/100),""))</f>
        <v/>
      </c>
    </row>
    <row r="301">
      <c r="S301">
        <f>IF(AND(ISTEXT($A301),ISNUMBER(SEARCH(" - ",$A301)),ISERROR(SEARCH("Folio",$A301)),$D301=""),TRIM($A301),$S300)</f>
        <v/>
      </c>
      <c r="T301">
        <f>IF(AND(ISNUMBER(SEARCH("Folio",$A301)),$D301&lt;&gt;""),1,"")</f>
        <v/>
      </c>
      <c r="U301">
        <f>IF($T301=1,COUNTIF($T$9:$T301,1),"")</f>
        <v/>
      </c>
      <c r="V301">
        <f>IF(AND(ISTEXT($A301),LEFT($A302,3)="Pan"),1,"")</f>
        <v/>
      </c>
      <c r="W301" s="21">
        <f>IFERROR(MATCH(293,$U$9:$U$2008,0),"")</f>
        <v/>
      </c>
      <c r="X301" s="22">
        <f>IF($W301="","",IF($R$5&lt;&gt;"",$R$5,$R$6))</f>
        <v/>
      </c>
      <c r="Y301" s="22">
        <f>IF($W301="","",INDEX($S$9:$S$2008,$W301))</f>
        <v/>
      </c>
      <c r="Z301" s="22">
        <f>IF($W301="","",IFERROR(TRIM(LEFT(SUBSTITUTE(INDEX($A$9:$A$2008,$W301),CHAR(10)," "),SEARCH("Folio",SUBSTITUTE(INDEX($A$9:$A$2008,$W301),CHAR(10)," "))-1)),TRIM(SUBSTITUTE(INDEX($A$9:$A$2008,$W301),CHAR(10)," "))))</f>
        <v/>
      </c>
      <c r="AA301" s="22">
        <f>IF($W301="","",IFERROR(TRIM(SUBSTITUTE(MID(SUBSTITUTE(INDEX($A$9:$A$2008,$W301),CHAR(10)," "),SEARCH("Folio",SUBSTITUTE(INDEX($A$9:$A$2008,$W301),CHAR(10)," "))+5,200),":","")),""))</f>
        <v/>
      </c>
      <c r="AB301" s="23">
        <f>IF($W301="","",IF(ISNUMBER(INDEX($D$9:$D$2008,$W301)),INDEX($D$9:$D$2008,$W301),IFERROR(DATE(2000+VALUE(RIGHT(INDEX($D$9:$D$2008,$W301),2)),VALUE(MID(INDEX($D$9:$D$2008,$W301),4,2)),VALUE(LEFT(INDEX($D$9:$D$2008,$W301),2))),"")))</f>
        <v/>
      </c>
      <c r="AC301" s="24">
        <f>IF($W301="","",IFERROR(IF(ISNUMBER(INDEX($E$9:$E$2008,$W301)),INDEX($E$9:$E$2008,$W301),VALUE(SUBSTITUTE(INDEX($E$9:$E$2008,$W301),",",""))),""))</f>
        <v/>
      </c>
      <c r="AD301" s="24">
        <f>IF($W301="","",IFERROR(IF(ISNUMBER(INDEX($F$9:$F$2008,$W301)),INDEX($F$9:$F$2008,$W301),VALUE(SUBSTITUTE(INDEX($F$9:$F$2008,$W301),",",""))),""))</f>
        <v/>
      </c>
      <c r="AE301" s="24">
        <f>IF($W301="","",IFERROR(IF(ISNUMBER(INDEX($G$9:$G$2008,$W301)),INDEX($G$9:$G$2008,$W301),VALUE(SUBSTITUTE(INDEX($G$9:$G$2008,$W301),",",""))),""))</f>
        <v/>
      </c>
      <c r="AF301" s="24">
        <f>IF($W301="","",IFERROR(IF(ISNUMBER(INDEX($H$9:$H$2008,$W301)),INDEX($H$9:$H$2008,$W301),VALUE(SUBSTITUTE(INDEX($H$9:$H$2008,$W301),",",""))),""))</f>
        <v/>
      </c>
      <c r="AG301" s="24">
        <f>IF($W301="","",IFERROR(IF(ISNUMBER(INDEX($I$9:$I$2008,$W301)),INDEX($I$9:$I$2008,$W301),VALUE(SUBSTITUTE(INDEX($I$9:$I$2008,$W301),",",""))),""))</f>
        <v/>
      </c>
      <c r="AH301" s="24">
        <f>IF($W301="","",IFERROR(IF(ISNUMBER(INDEX($J$9:$J$2008,$W301)),INDEX($J$9:$J$2008,$W301),VALUE(SUBSTITUTE(INDEX($J$9:$J$2008,$W301),",",""))),""))</f>
        <v/>
      </c>
      <c r="AI301" s="24">
        <f>IF($W301="","",IFERROR(IF(ISNUMBER(INDEX($K$9:$K$2008,$W301)),INDEX($K$9:$K$2008,$W301),VALUE(SUBSTITUTE(INDEX($K$9:$K$2008,$W301),",",""))),""))</f>
        <v/>
      </c>
      <c r="AJ301" s="25">
        <f>IF($W301="","",IFERROR(IF(ISNUMBER(INDEX($L$9:$L$2008,$W301)),INDEX($L$9:$L$2008,$W301),VALUE(SUBSTITUTE(INDEX($L$9:$L$2008,$W301),",",""))),""))</f>
        <v/>
      </c>
      <c r="AK301" s="25">
        <f>IF($W301="","",IFERROR(IF(ISNUMBER(INDEX($M$9:$M$2008,$W301)),INDEX($M$9:$M$2008,$W301),VALUE(SUBSTITUTE(INDEX($M$9:$M$2008,$W301),",",""))),""))</f>
        <v/>
      </c>
      <c r="AL301" s="26">
        <f>IF($W301="","",IFERROR(IF(ISNUMBER(INDEX($P$9:$P$2008,$W301)),INDEX($P$9:$P$2008,$W301),VALUE(SUBSTITUTE(INDEX($P$9:$P$2008,$W301),"%",""))/100),""))</f>
        <v/>
      </c>
    </row>
    <row r="302">
      <c r="S302">
        <f>IF(AND(ISTEXT($A302),ISNUMBER(SEARCH(" - ",$A302)),ISERROR(SEARCH("Folio",$A302)),$D302=""),TRIM($A302),$S301)</f>
        <v/>
      </c>
      <c r="T302">
        <f>IF(AND(ISNUMBER(SEARCH("Folio",$A302)),$D302&lt;&gt;""),1,"")</f>
        <v/>
      </c>
      <c r="U302">
        <f>IF($T302=1,COUNTIF($T$9:$T302,1),"")</f>
        <v/>
      </c>
      <c r="V302">
        <f>IF(AND(ISTEXT($A302),LEFT($A303,3)="Pan"),1,"")</f>
        <v/>
      </c>
      <c r="W302" s="21">
        <f>IFERROR(MATCH(294,$U$9:$U$2008,0),"")</f>
        <v/>
      </c>
      <c r="X302" s="27">
        <f>IF($W302="","",IF($R$5&lt;&gt;"",$R$5,$R$6))</f>
        <v/>
      </c>
      <c r="Y302" s="27">
        <f>IF($W302="","",INDEX($S$9:$S$2008,$W302))</f>
        <v/>
      </c>
      <c r="Z302" s="27">
        <f>IF($W302="","",IFERROR(TRIM(LEFT(SUBSTITUTE(INDEX($A$9:$A$2008,$W302),CHAR(10)," "),SEARCH("Folio",SUBSTITUTE(INDEX($A$9:$A$2008,$W302),CHAR(10)," "))-1)),TRIM(SUBSTITUTE(INDEX($A$9:$A$2008,$W302),CHAR(10)," "))))</f>
        <v/>
      </c>
      <c r="AA302" s="27">
        <f>IF($W302="","",IFERROR(TRIM(SUBSTITUTE(MID(SUBSTITUTE(INDEX($A$9:$A$2008,$W302),CHAR(10)," "),SEARCH("Folio",SUBSTITUTE(INDEX($A$9:$A$2008,$W302),CHAR(10)," "))+5,200),":","")),""))</f>
        <v/>
      </c>
      <c r="AB302" s="28">
        <f>IF($W302="","",IF(ISNUMBER(INDEX($D$9:$D$2008,$W302)),INDEX($D$9:$D$2008,$W302),IFERROR(DATE(2000+VALUE(RIGHT(INDEX($D$9:$D$2008,$W302),2)),VALUE(MID(INDEX($D$9:$D$2008,$W302),4,2)),VALUE(LEFT(INDEX($D$9:$D$2008,$W302),2))),"")))</f>
        <v/>
      </c>
      <c r="AC302" s="29">
        <f>IF($W302="","",IFERROR(IF(ISNUMBER(INDEX($E$9:$E$2008,$W302)),INDEX($E$9:$E$2008,$W302),VALUE(SUBSTITUTE(INDEX($E$9:$E$2008,$W302),",",""))),""))</f>
        <v/>
      </c>
      <c r="AD302" s="29">
        <f>IF($W302="","",IFERROR(IF(ISNUMBER(INDEX($F$9:$F$2008,$W302)),INDEX($F$9:$F$2008,$W302),VALUE(SUBSTITUTE(INDEX($F$9:$F$2008,$W302),",",""))),""))</f>
        <v/>
      </c>
      <c r="AE302" s="29">
        <f>IF($W302="","",IFERROR(IF(ISNUMBER(INDEX($G$9:$G$2008,$W302)),INDEX($G$9:$G$2008,$W302),VALUE(SUBSTITUTE(INDEX($G$9:$G$2008,$W302),",",""))),""))</f>
        <v/>
      </c>
      <c r="AF302" s="29">
        <f>IF($W302="","",IFERROR(IF(ISNUMBER(INDEX($H$9:$H$2008,$W302)),INDEX($H$9:$H$2008,$W302),VALUE(SUBSTITUTE(INDEX($H$9:$H$2008,$W302),",",""))),""))</f>
        <v/>
      </c>
      <c r="AG302" s="29">
        <f>IF($W302="","",IFERROR(IF(ISNUMBER(INDEX($I$9:$I$2008,$W302)),INDEX($I$9:$I$2008,$W302),VALUE(SUBSTITUTE(INDEX($I$9:$I$2008,$W302),",",""))),""))</f>
        <v/>
      </c>
      <c r="AH302" s="29">
        <f>IF($W302="","",IFERROR(IF(ISNUMBER(INDEX($J$9:$J$2008,$W302)),INDEX($J$9:$J$2008,$W302),VALUE(SUBSTITUTE(INDEX($J$9:$J$2008,$W302),",",""))),""))</f>
        <v/>
      </c>
      <c r="AI302" s="29">
        <f>IF($W302="","",IFERROR(IF(ISNUMBER(INDEX($K$9:$K$2008,$W302)),INDEX($K$9:$K$2008,$W302),VALUE(SUBSTITUTE(INDEX($K$9:$K$2008,$W302),",",""))),""))</f>
        <v/>
      </c>
      <c r="AJ302" s="30">
        <f>IF($W302="","",IFERROR(IF(ISNUMBER(INDEX($L$9:$L$2008,$W302)),INDEX($L$9:$L$2008,$W302),VALUE(SUBSTITUTE(INDEX($L$9:$L$2008,$W302),",",""))),""))</f>
        <v/>
      </c>
      <c r="AK302" s="30">
        <f>IF($W302="","",IFERROR(IF(ISNUMBER(INDEX($M$9:$M$2008,$W302)),INDEX($M$9:$M$2008,$W302),VALUE(SUBSTITUTE(INDEX($M$9:$M$2008,$W302),",",""))),""))</f>
        <v/>
      </c>
      <c r="AL302" s="31">
        <f>IF($W302="","",IFERROR(IF(ISNUMBER(INDEX($P$9:$P$2008,$W302)),INDEX($P$9:$P$2008,$W302),VALUE(SUBSTITUTE(INDEX($P$9:$P$2008,$W302),"%",""))/100),""))</f>
        <v/>
      </c>
    </row>
    <row r="303">
      <c r="S303">
        <f>IF(AND(ISTEXT($A303),ISNUMBER(SEARCH(" - ",$A303)),ISERROR(SEARCH("Folio",$A303)),$D303=""),TRIM($A303),$S302)</f>
        <v/>
      </c>
      <c r="T303">
        <f>IF(AND(ISNUMBER(SEARCH("Folio",$A303)),$D303&lt;&gt;""),1,"")</f>
        <v/>
      </c>
      <c r="U303">
        <f>IF($T303=1,COUNTIF($T$9:$T303,1),"")</f>
        <v/>
      </c>
      <c r="V303">
        <f>IF(AND(ISTEXT($A303),LEFT($A304,3)="Pan"),1,"")</f>
        <v/>
      </c>
      <c r="W303" s="21">
        <f>IFERROR(MATCH(295,$U$9:$U$2008,0),"")</f>
        <v/>
      </c>
      <c r="X303" s="22">
        <f>IF($W303="","",IF($R$5&lt;&gt;"",$R$5,$R$6))</f>
        <v/>
      </c>
      <c r="Y303" s="22">
        <f>IF($W303="","",INDEX($S$9:$S$2008,$W303))</f>
        <v/>
      </c>
      <c r="Z303" s="22">
        <f>IF($W303="","",IFERROR(TRIM(LEFT(SUBSTITUTE(INDEX($A$9:$A$2008,$W303),CHAR(10)," "),SEARCH("Folio",SUBSTITUTE(INDEX($A$9:$A$2008,$W303),CHAR(10)," "))-1)),TRIM(SUBSTITUTE(INDEX($A$9:$A$2008,$W303),CHAR(10)," "))))</f>
        <v/>
      </c>
      <c r="AA303" s="22">
        <f>IF($W303="","",IFERROR(TRIM(SUBSTITUTE(MID(SUBSTITUTE(INDEX($A$9:$A$2008,$W303),CHAR(10)," "),SEARCH("Folio",SUBSTITUTE(INDEX($A$9:$A$2008,$W303),CHAR(10)," "))+5,200),":","")),""))</f>
        <v/>
      </c>
      <c r="AB303" s="23">
        <f>IF($W303="","",IF(ISNUMBER(INDEX($D$9:$D$2008,$W303)),INDEX($D$9:$D$2008,$W303),IFERROR(DATE(2000+VALUE(RIGHT(INDEX($D$9:$D$2008,$W303),2)),VALUE(MID(INDEX($D$9:$D$2008,$W303),4,2)),VALUE(LEFT(INDEX($D$9:$D$2008,$W303),2))),"")))</f>
        <v/>
      </c>
      <c r="AC303" s="24">
        <f>IF($W303="","",IFERROR(IF(ISNUMBER(INDEX($E$9:$E$2008,$W303)),INDEX($E$9:$E$2008,$W303),VALUE(SUBSTITUTE(INDEX($E$9:$E$2008,$W303),",",""))),""))</f>
        <v/>
      </c>
      <c r="AD303" s="24">
        <f>IF($W303="","",IFERROR(IF(ISNUMBER(INDEX($F$9:$F$2008,$W303)),INDEX($F$9:$F$2008,$W303),VALUE(SUBSTITUTE(INDEX($F$9:$F$2008,$W303),",",""))),""))</f>
        <v/>
      </c>
      <c r="AE303" s="24">
        <f>IF($W303="","",IFERROR(IF(ISNUMBER(INDEX($G$9:$G$2008,$W303)),INDEX($G$9:$G$2008,$W303),VALUE(SUBSTITUTE(INDEX($G$9:$G$2008,$W303),",",""))),""))</f>
        <v/>
      </c>
      <c r="AF303" s="24">
        <f>IF($W303="","",IFERROR(IF(ISNUMBER(INDEX($H$9:$H$2008,$W303)),INDEX($H$9:$H$2008,$W303),VALUE(SUBSTITUTE(INDEX($H$9:$H$2008,$W303),",",""))),""))</f>
        <v/>
      </c>
      <c r="AG303" s="24">
        <f>IF($W303="","",IFERROR(IF(ISNUMBER(INDEX($I$9:$I$2008,$W303)),INDEX($I$9:$I$2008,$W303),VALUE(SUBSTITUTE(INDEX($I$9:$I$2008,$W303),",",""))),""))</f>
        <v/>
      </c>
      <c r="AH303" s="24">
        <f>IF($W303="","",IFERROR(IF(ISNUMBER(INDEX($J$9:$J$2008,$W303)),INDEX($J$9:$J$2008,$W303),VALUE(SUBSTITUTE(INDEX($J$9:$J$2008,$W303),",",""))),""))</f>
        <v/>
      </c>
      <c r="AI303" s="24">
        <f>IF($W303="","",IFERROR(IF(ISNUMBER(INDEX($K$9:$K$2008,$W303)),INDEX($K$9:$K$2008,$W303),VALUE(SUBSTITUTE(INDEX($K$9:$K$2008,$W303),",",""))),""))</f>
        <v/>
      </c>
      <c r="AJ303" s="25">
        <f>IF($W303="","",IFERROR(IF(ISNUMBER(INDEX($L$9:$L$2008,$W303)),INDEX($L$9:$L$2008,$W303),VALUE(SUBSTITUTE(INDEX($L$9:$L$2008,$W303),",",""))),""))</f>
        <v/>
      </c>
      <c r="AK303" s="25">
        <f>IF($W303="","",IFERROR(IF(ISNUMBER(INDEX($M$9:$M$2008,$W303)),INDEX($M$9:$M$2008,$W303),VALUE(SUBSTITUTE(INDEX($M$9:$M$2008,$W303),",",""))),""))</f>
        <v/>
      </c>
      <c r="AL303" s="26">
        <f>IF($W303="","",IFERROR(IF(ISNUMBER(INDEX($P$9:$P$2008,$W303)),INDEX($P$9:$P$2008,$W303),VALUE(SUBSTITUTE(INDEX($P$9:$P$2008,$W303),"%",""))/100),""))</f>
        <v/>
      </c>
    </row>
    <row r="304">
      <c r="S304">
        <f>IF(AND(ISTEXT($A304),ISNUMBER(SEARCH(" - ",$A304)),ISERROR(SEARCH("Folio",$A304)),$D304=""),TRIM($A304),$S303)</f>
        <v/>
      </c>
      <c r="T304">
        <f>IF(AND(ISNUMBER(SEARCH("Folio",$A304)),$D304&lt;&gt;""),1,"")</f>
        <v/>
      </c>
      <c r="U304">
        <f>IF($T304=1,COUNTIF($T$9:$T304,1),"")</f>
        <v/>
      </c>
      <c r="V304">
        <f>IF(AND(ISTEXT($A304),LEFT($A305,3)="Pan"),1,"")</f>
        <v/>
      </c>
      <c r="W304" s="21">
        <f>IFERROR(MATCH(296,$U$9:$U$2008,0),"")</f>
        <v/>
      </c>
      <c r="X304" s="27">
        <f>IF($W304="","",IF($R$5&lt;&gt;"",$R$5,$R$6))</f>
        <v/>
      </c>
      <c r="Y304" s="27">
        <f>IF($W304="","",INDEX($S$9:$S$2008,$W304))</f>
        <v/>
      </c>
      <c r="Z304" s="27">
        <f>IF($W304="","",IFERROR(TRIM(LEFT(SUBSTITUTE(INDEX($A$9:$A$2008,$W304),CHAR(10)," "),SEARCH("Folio",SUBSTITUTE(INDEX($A$9:$A$2008,$W304),CHAR(10)," "))-1)),TRIM(SUBSTITUTE(INDEX($A$9:$A$2008,$W304),CHAR(10)," "))))</f>
        <v/>
      </c>
      <c r="AA304" s="27">
        <f>IF($W304="","",IFERROR(TRIM(SUBSTITUTE(MID(SUBSTITUTE(INDEX($A$9:$A$2008,$W304),CHAR(10)," "),SEARCH("Folio",SUBSTITUTE(INDEX($A$9:$A$2008,$W304),CHAR(10)," "))+5,200),":","")),""))</f>
        <v/>
      </c>
      <c r="AB304" s="28">
        <f>IF($W304="","",IF(ISNUMBER(INDEX($D$9:$D$2008,$W304)),INDEX($D$9:$D$2008,$W304),IFERROR(DATE(2000+VALUE(RIGHT(INDEX($D$9:$D$2008,$W304),2)),VALUE(MID(INDEX($D$9:$D$2008,$W304),4,2)),VALUE(LEFT(INDEX($D$9:$D$2008,$W304),2))),"")))</f>
        <v/>
      </c>
      <c r="AC304" s="29">
        <f>IF($W304="","",IFERROR(IF(ISNUMBER(INDEX($E$9:$E$2008,$W304)),INDEX($E$9:$E$2008,$W304),VALUE(SUBSTITUTE(INDEX($E$9:$E$2008,$W304),",",""))),""))</f>
        <v/>
      </c>
      <c r="AD304" s="29">
        <f>IF($W304="","",IFERROR(IF(ISNUMBER(INDEX($F$9:$F$2008,$W304)),INDEX($F$9:$F$2008,$W304),VALUE(SUBSTITUTE(INDEX($F$9:$F$2008,$W304),",",""))),""))</f>
        <v/>
      </c>
      <c r="AE304" s="29">
        <f>IF($W304="","",IFERROR(IF(ISNUMBER(INDEX($G$9:$G$2008,$W304)),INDEX($G$9:$G$2008,$W304),VALUE(SUBSTITUTE(INDEX($G$9:$G$2008,$W304),",",""))),""))</f>
        <v/>
      </c>
      <c r="AF304" s="29">
        <f>IF($W304="","",IFERROR(IF(ISNUMBER(INDEX($H$9:$H$2008,$W304)),INDEX($H$9:$H$2008,$W304),VALUE(SUBSTITUTE(INDEX($H$9:$H$2008,$W304),",",""))),""))</f>
        <v/>
      </c>
      <c r="AG304" s="29">
        <f>IF($W304="","",IFERROR(IF(ISNUMBER(INDEX($I$9:$I$2008,$W304)),INDEX($I$9:$I$2008,$W304),VALUE(SUBSTITUTE(INDEX($I$9:$I$2008,$W304),",",""))),""))</f>
        <v/>
      </c>
      <c r="AH304" s="29">
        <f>IF($W304="","",IFERROR(IF(ISNUMBER(INDEX($J$9:$J$2008,$W304)),INDEX($J$9:$J$2008,$W304),VALUE(SUBSTITUTE(INDEX($J$9:$J$2008,$W304),",",""))),""))</f>
        <v/>
      </c>
      <c r="AI304" s="29">
        <f>IF($W304="","",IFERROR(IF(ISNUMBER(INDEX($K$9:$K$2008,$W304)),INDEX($K$9:$K$2008,$W304),VALUE(SUBSTITUTE(INDEX($K$9:$K$2008,$W304),",",""))),""))</f>
        <v/>
      </c>
      <c r="AJ304" s="30">
        <f>IF($W304="","",IFERROR(IF(ISNUMBER(INDEX($L$9:$L$2008,$W304)),INDEX($L$9:$L$2008,$W304),VALUE(SUBSTITUTE(INDEX($L$9:$L$2008,$W304),",",""))),""))</f>
        <v/>
      </c>
      <c r="AK304" s="30">
        <f>IF($W304="","",IFERROR(IF(ISNUMBER(INDEX($M$9:$M$2008,$W304)),INDEX($M$9:$M$2008,$W304),VALUE(SUBSTITUTE(INDEX($M$9:$M$2008,$W304),",",""))),""))</f>
        <v/>
      </c>
      <c r="AL304" s="31">
        <f>IF($W304="","",IFERROR(IF(ISNUMBER(INDEX($P$9:$P$2008,$W304)),INDEX($P$9:$P$2008,$W304),VALUE(SUBSTITUTE(INDEX($P$9:$P$2008,$W304),"%",""))/100),""))</f>
        <v/>
      </c>
    </row>
    <row r="305">
      <c r="S305">
        <f>IF(AND(ISTEXT($A305),ISNUMBER(SEARCH(" - ",$A305)),ISERROR(SEARCH("Folio",$A305)),$D305=""),TRIM($A305),$S304)</f>
        <v/>
      </c>
      <c r="T305">
        <f>IF(AND(ISNUMBER(SEARCH("Folio",$A305)),$D305&lt;&gt;""),1,"")</f>
        <v/>
      </c>
      <c r="U305">
        <f>IF($T305=1,COUNTIF($T$9:$T305,1),"")</f>
        <v/>
      </c>
      <c r="V305">
        <f>IF(AND(ISTEXT($A305),LEFT($A306,3)="Pan"),1,"")</f>
        <v/>
      </c>
      <c r="W305" s="21">
        <f>IFERROR(MATCH(297,$U$9:$U$2008,0),"")</f>
        <v/>
      </c>
      <c r="X305" s="22">
        <f>IF($W305="","",IF($R$5&lt;&gt;"",$R$5,$R$6))</f>
        <v/>
      </c>
      <c r="Y305" s="22">
        <f>IF($W305="","",INDEX($S$9:$S$2008,$W305))</f>
        <v/>
      </c>
      <c r="Z305" s="22">
        <f>IF($W305="","",IFERROR(TRIM(LEFT(SUBSTITUTE(INDEX($A$9:$A$2008,$W305),CHAR(10)," "),SEARCH("Folio",SUBSTITUTE(INDEX($A$9:$A$2008,$W305),CHAR(10)," "))-1)),TRIM(SUBSTITUTE(INDEX($A$9:$A$2008,$W305),CHAR(10)," "))))</f>
        <v/>
      </c>
      <c r="AA305" s="22">
        <f>IF($W305="","",IFERROR(TRIM(SUBSTITUTE(MID(SUBSTITUTE(INDEX($A$9:$A$2008,$W305),CHAR(10)," "),SEARCH("Folio",SUBSTITUTE(INDEX($A$9:$A$2008,$W305),CHAR(10)," "))+5,200),":","")),""))</f>
        <v/>
      </c>
      <c r="AB305" s="23">
        <f>IF($W305="","",IF(ISNUMBER(INDEX($D$9:$D$2008,$W305)),INDEX($D$9:$D$2008,$W305),IFERROR(DATE(2000+VALUE(RIGHT(INDEX($D$9:$D$2008,$W305),2)),VALUE(MID(INDEX($D$9:$D$2008,$W305),4,2)),VALUE(LEFT(INDEX($D$9:$D$2008,$W305),2))),"")))</f>
        <v/>
      </c>
      <c r="AC305" s="24">
        <f>IF($W305="","",IFERROR(IF(ISNUMBER(INDEX($E$9:$E$2008,$W305)),INDEX($E$9:$E$2008,$W305),VALUE(SUBSTITUTE(INDEX($E$9:$E$2008,$W305),",",""))),""))</f>
        <v/>
      </c>
      <c r="AD305" s="24">
        <f>IF($W305="","",IFERROR(IF(ISNUMBER(INDEX($F$9:$F$2008,$W305)),INDEX($F$9:$F$2008,$W305),VALUE(SUBSTITUTE(INDEX($F$9:$F$2008,$W305),",",""))),""))</f>
        <v/>
      </c>
      <c r="AE305" s="24">
        <f>IF($W305="","",IFERROR(IF(ISNUMBER(INDEX($G$9:$G$2008,$W305)),INDEX($G$9:$G$2008,$W305),VALUE(SUBSTITUTE(INDEX($G$9:$G$2008,$W305),",",""))),""))</f>
        <v/>
      </c>
      <c r="AF305" s="24">
        <f>IF($W305="","",IFERROR(IF(ISNUMBER(INDEX($H$9:$H$2008,$W305)),INDEX($H$9:$H$2008,$W305),VALUE(SUBSTITUTE(INDEX($H$9:$H$2008,$W305),",",""))),""))</f>
        <v/>
      </c>
      <c r="AG305" s="24">
        <f>IF($W305="","",IFERROR(IF(ISNUMBER(INDEX($I$9:$I$2008,$W305)),INDEX($I$9:$I$2008,$W305),VALUE(SUBSTITUTE(INDEX($I$9:$I$2008,$W305),",",""))),""))</f>
        <v/>
      </c>
      <c r="AH305" s="24">
        <f>IF($W305="","",IFERROR(IF(ISNUMBER(INDEX($J$9:$J$2008,$W305)),INDEX($J$9:$J$2008,$W305),VALUE(SUBSTITUTE(INDEX($J$9:$J$2008,$W305),",",""))),""))</f>
        <v/>
      </c>
      <c r="AI305" s="24">
        <f>IF($W305="","",IFERROR(IF(ISNUMBER(INDEX($K$9:$K$2008,$W305)),INDEX($K$9:$K$2008,$W305),VALUE(SUBSTITUTE(INDEX($K$9:$K$2008,$W305),",",""))),""))</f>
        <v/>
      </c>
      <c r="AJ305" s="25">
        <f>IF($W305="","",IFERROR(IF(ISNUMBER(INDEX($L$9:$L$2008,$W305)),INDEX($L$9:$L$2008,$W305),VALUE(SUBSTITUTE(INDEX($L$9:$L$2008,$W305),",",""))),""))</f>
        <v/>
      </c>
      <c r="AK305" s="25">
        <f>IF($W305="","",IFERROR(IF(ISNUMBER(INDEX($M$9:$M$2008,$W305)),INDEX($M$9:$M$2008,$W305),VALUE(SUBSTITUTE(INDEX($M$9:$M$2008,$W305),",",""))),""))</f>
        <v/>
      </c>
      <c r="AL305" s="26">
        <f>IF($W305="","",IFERROR(IF(ISNUMBER(INDEX($P$9:$P$2008,$W305)),INDEX($P$9:$P$2008,$W305),VALUE(SUBSTITUTE(INDEX($P$9:$P$2008,$W305),"%",""))/100),""))</f>
        <v/>
      </c>
    </row>
    <row r="306">
      <c r="S306">
        <f>IF(AND(ISTEXT($A306),ISNUMBER(SEARCH(" - ",$A306)),ISERROR(SEARCH("Folio",$A306)),$D306=""),TRIM($A306),$S305)</f>
        <v/>
      </c>
      <c r="T306">
        <f>IF(AND(ISNUMBER(SEARCH("Folio",$A306)),$D306&lt;&gt;""),1,"")</f>
        <v/>
      </c>
      <c r="U306">
        <f>IF($T306=1,COUNTIF($T$9:$T306,1),"")</f>
        <v/>
      </c>
      <c r="V306">
        <f>IF(AND(ISTEXT($A306),LEFT($A307,3)="Pan"),1,"")</f>
        <v/>
      </c>
      <c r="W306" s="21">
        <f>IFERROR(MATCH(298,$U$9:$U$2008,0),"")</f>
        <v/>
      </c>
      <c r="X306" s="27">
        <f>IF($W306="","",IF($R$5&lt;&gt;"",$R$5,$R$6))</f>
        <v/>
      </c>
      <c r="Y306" s="27">
        <f>IF($W306="","",INDEX($S$9:$S$2008,$W306))</f>
        <v/>
      </c>
      <c r="Z306" s="27">
        <f>IF($W306="","",IFERROR(TRIM(LEFT(SUBSTITUTE(INDEX($A$9:$A$2008,$W306),CHAR(10)," "),SEARCH("Folio",SUBSTITUTE(INDEX($A$9:$A$2008,$W306),CHAR(10)," "))-1)),TRIM(SUBSTITUTE(INDEX($A$9:$A$2008,$W306),CHAR(10)," "))))</f>
        <v/>
      </c>
      <c r="AA306" s="27">
        <f>IF($W306="","",IFERROR(TRIM(SUBSTITUTE(MID(SUBSTITUTE(INDEX($A$9:$A$2008,$W306),CHAR(10)," "),SEARCH("Folio",SUBSTITUTE(INDEX($A$9:$A$2008,$W306),CHAR(10)," "))+5,200),":","")),""))</f>
        <v/>
      </c>
      <c r="AB306" s="28">
        <f>IF($W306="","",IF(ISNUMBER(INDEX($D$9:$D$2008,$W306)),INDEX($D$9:$D$2008,$W306),IFERROR(DATE(2000+VALUE(RIGHT(INDEX($D$9:$D$2008,$W306),2)),VALUE(MID(INDEX($D$9:$D$2008,$W306),4,2)),VALUE(LEFT(INDEX($D$9:$D$2008,$W306),2))),"")))</f>
        <v/>
      </c>
      <c r="AC306" s="29">
        <f>IF($W306="","",IFERROR(IF(ISNUMBER(INDEX($E$9:$E$2008,$W306)),INDEX($E$9:$E$2008,$W306),VALUE(SUBSTITUTE(INDEX($E$9:$E$2008,$W306),",",""))),""))</f>
        <v/>
      </c>
      <c r="AD306" s="29">
        <f>IF($W306="","",IFERROR(IF(ISNUMBER(INDEX($F$9:$F$2008,$W306)),INDEX($F$9:$F$2008,$W306),VALUE(SUBSTITUTE(INDEX($F$9:$F$2008,$W306),",",""))),""))</f>
        <v/>
      </c>
      <c r="AE306" s="29">
        <f>IF($W306="","",IFERROR(IF(ISNUMBER(INDEX($G$9:$G$2008,$W306)),INDEX($G$9:$G$2008,$W306),VALUE(SUBSTITUTE(INDEX($G$9:$G$2008,$W306),",",""))),""))</f>
        <v/>
      </c>
      <c r="AF306" s="29">
        <f>IF($W306="","",IFERROR(IF(ISNUMBER(INDEX($H$9:$H$2008,$W306)),INDEX($H$9:$H$2008,$W306),VALUE(SUBSTITUTE(INDEX($H$9:$H$2008,$W306),",",""))),""))</f>
        <v/>
      </c>
      <c r="AG306" s="29">
        <f>IF($W306="","",IFERROR(IF(ISNUMBER(INDEX($I$9:$I$2008,$W306)),INDEX($I$9:$I$2008,$W306),VALUE(SUBSTITUTE(INDEX($I$9:$I$2008,$W306),",",""))),""))</f>
        <v/>
      </c>
      <c r="AH306" s="29">
        <f>IF($W306="","",IFERROR(IF(ISNUMBER(INDEX($J$9:$J$2008,$W306)),INDEX($J$9:$J$2008,$W306),VALUE(SUBSTITUTE(INDEX($J$9:$J$2008,$W306),",",""))),""))</f>
        <v/>
      </c>
      <c r="AI306" s="29">
        <f>IF($W306="","",IFERROR(IF(ISNUMBER(INDEX($K$9:$K$2008,$W306)),INDEX($K$9:$K$2008,$W306),VALUE(SUBSTITUTE(INDEX($K$9:$K$2008,$W306),",",""))),""))</f>
        <v/>
      </c>
      <c r="AJ306" s="30">
        <f>IF($W306="","",IFERROR(IF(ISNUMBER(INDEX($L$9:$L$2008,$W306)),INDEX($L$9:$L$2008,$W306),VALUE(SUBSTITUTE(INDEX($L$9:$L$2008,$W306),",",""))),""))</f>
        <v/>
      </c>
      <c r="AK306" s="30">
        <f>IF($W306="","",IFERROR(IF(ISNUMBER(INDEX($M$9:$M$2008,$W306)),INDEX($M$9:$M$2008,$W306),VALUE(SUBSTITUTE(INDEX($M$9:$M$2008,$W306),",",""))),""))</f>
        <v/>
      </c>
      <c r="AL306" s="31">
        <f>IF($W306="","",IFERROR(IF(ISNUMBER(INDEX($P$9:$P$2008,$W306)),INDEX($P$9:$P$2008,$W306),VALUE(SUBSTITUTE(INDEX($P$9:$P$2008,$W306),"%",""))/100),""))</f>
        <v/>
      </c>
    </row>
    <row r="307">
      <c r="S307">
        <f>IF(AND(ISTEXT($A307),ISNUMBER(SEARCH(" - ",$A307)),ISERROR(SEARCH("Folio",$A307)),$D307=""),TRIM($A307),$S306)</f>
        <v/>
      </c>
      <c r="T307">
        <f>IF(AND(ISNUMBER(SEARCH("Folio",$A307)),$D307&lt;&gt;""),1,"")</f>
        <v/>
      </c>
      <c r="U307">
        <f>IF($T307=1,COUNTIF($T$9:$T307,1),"")</f>
        <v/>
      </c>
      <c r="V307">
        <f>IF(AND(ISTEXT($A307),LEFT($A308,3)="Pan"),1,"")</f>
        <v/>
      </c>
      <c r="W307" s="21">
        <f>IFERROR(MATCH(299,$U$9:$U$2008,0),"")</f>
        <v/>
      </c>
      <c r="X307" s="22">
        <f>IF($W307="","",IF($R$5&lt;&gt;"",$R$5,$R$6))</f>
        <v/>
      </c>
      <c r="Y307" s="22">
        <f>IF($W307="","",INDEX($S$9:$S$2008,$W307))</f>
        <v/>
      </c>
      <c r="Z307" s="22">
        <f>IF($W307="","",IFERROR(TRIM(LEFT(SUBSTITUTE(INDEX($A$9:$A$2008,$W307),CHAR(10)," "),SEARCH("Folio",SUBSTITUTE(INDEX($A$9:$A$2008,$W307),CHAR(10)," "))-1)),TRIM(SUBSTITUTE(INDEX($A$9:$A$2008,$W307),CHAR(10)," "))))</f>
        <v/>
      </c>
      <c r="AA307" s="22">
        <f>IF($W307="","",IFERROR(TRIM(SUBSTITUTE(MID(SUBSTITUTE(INDEX($A$9:$A$2008,$W307),CHAR(10)," "),SEARCH("Folio",SUBSTITUTE(INDEX($A$9:$A$2008,$W307),CHAR(10)," "))+5,200),":","")),""))</f>
        <v/>
      </c>
      <c r="AB307" s="23">
        <f>IF($W307="","",IF(ISNUMBER(INDEX($D$9:$D$2008,$W307)),INDEX($D$9:$D$2008,$W307),IFERROR(DATE(2000+VALUE(RIGHT(INDEX($D$9:$D$2008,$W307),2)),VALUE(MID(INDEX($D$9:$D$2008,$W307),4,2)),VALUE(LEFT(INDEX($D$9:$D$2008,$W307),2))),"")))</f>
        <v/>
      </c>
      <c r="AC307" s="24">
        <f>IF($W307="","",IFERROR(IF(ISNUMBER(INDEX($E$9:$E$2008,$W307)),INDEX($E$9:$E$2008,$W307),VALUE(SUBSTITUTE(INDEX($E$9:$E$2008,$W307),",",""))),""))</f>
        <v/>
      </c>
      <c r="AD307" s="24">
        <f>IF($W307="","",IFERROR(IF(ISNUMBER(INDEX($F$9:$F$2008,$W307)),INDEX($F$9:$F$2008,$W307),VALUE(SUBSTITUTE(INDEX($F$9:$F$2008,$W307),",",""))),""))</f>
        <v/>
      </c>
      <c r="AE307" s="24">
        <f>IF($W307="","",IFERROR(IF(ISNUMBER(INDEX($G$9:$G$2008,$W307)),INDEX($G$9:$G$2008,$W307),VALUE(SUBSTITUTE(INDEX($G$9:$G$2008,$W307),",",""))),""))</f>
        <v/>
      </c>
      <c r="AF307" s="24">
        <f>IF($W307="","",IFERROR(IF(ISNUMBER(INDEX($H$9:$H$2008,$W307)),INDEX($H$9:$H$2008,$W307),VALUE(SUBSTITUTE(INDEX($H$9:$H$2008,$W307),",",""))),""))</f>
        <v/>
      </c>
      <c r="AG307" s="24">
        <f>IF($W307="","",IFERROR(IF(ISNUMBER(INDEX($I$9:$I$2008,$W307)),INDEX($I$9:$I$2008,$W307),VALUE(SUBSTITUTE(INDEX($I$9:$I$2008,$W307),",",""))),""))</f>
        <v/>
      </c>
      <c r="AH307" s="24">
        <f>IF($W307="","",IFERROR(IF(ISNUMBER(INDEX($J$9:$J$2008,$W307)),INDEX($J$9:$J$2008,$W307),VALUE(SUBSTITUTE(INDEX($J$9:$J$2008,$W307),",",""))),""))</f>
        <v/>
      </c>
      <c r="AI307" s="24">
        <f>IF($W307="","",IFERROR(IF(ISNUMBER(INDEX($K$9:$K$2008,$W307)),INDEX($K$9:$K$2008,$W307),VALUE(SUBSTITUTE(INDEX($K$9:$K$2008,$W307),",",""))),""))</f>
        <v/>
      </c>
      <c r="AJ307" s="25">
        <f>IF($W307="","",IFERROR(IF(ISNUMBER(INDEX($L$9:$L$2008,$W307)),INDEX($L$9:$L$2008,$W307),VALUE(SUBSTITUTE(INDEX($L$9:$L$2008,$W307),",",""))),""))</f>
        <v/>
      </c>
      <c r="AK307" s="25">
        <f>IF($W307="","",IFERROR(IF(ISNUMBER(INDEX($M$9:$M$2008,$W307)),INDEX($M$9:$M$2008,$W307),VALUE(SUBSTITUTE(INDEX($M$9:$M$2008,$W307),",",""))),""))</f>
        <v/>
      </c>
      <c r="AL307" s="26">
        <f>IF($W307="","",IFERROR(IF(ISNUMBER(INDEX($P$9:$P$2008,$W307)),INDEX($P$9:$P$2008,$W307),VALUE(SUBSTITUTE(INDEX($P$9:$P$2008,$W307),"%",""))/100),""))</f>
        <v/>
      </c>
    </row>
    <row r="308">
      <c r="S308">
        <f>IF(AND(ISTEXT($A308),ISNUMBER(SEARCH(" - ",$A308)),ISERROR(SEARCH("Folio",$A308)),$D308=""),TRIM($A308),$S307)</f>
        <v/>
      </c>
      <c r="T308">
        <f>IF(AND(ISNUMBER(SEARCH("Folio",$A308)),$D308&lt;&gt;""),1,"")</f>
        <v/>
      </c>
      <c r="U308">
        <f>IF($T308=1,COUNTIF($T$9:$T308,1),"")</f>
        <v/>
      </c>
      <c r="V308">
        <f>IF(AND(ISTEXT($A308),LEFT($A309,3)="Pan"),1,"")</f>
        <v/>
      </c>
      <c r="W308" s="21">
        <f>IFERROR(MATCH(300,$U$9:$U$2008,0),"")</f>
        <v/>
      </c>
      <c r="X308" s="27">
        <f>IF($W308="","",IF($R$5&lt;&gt;"",$R$5,$R$6))</f>
        <v/>
      </c>
      <c r="Y308" s="27">
        <f>IF($W308="","",INDEX($S$9:$S$2008,$W308))</f>
        <v/>
      </c>
      <c r="Z308" s="27">
        <f>IF($W308="","",IFERROR(TRIM(LEFT(SUBSTITUTE(INDEX($A$9:$A$2008,$W308),CHAR(10)," "),SEARCH("Folio",SUBSTITUTE(INDEX($A$9:$A$2008,$W308),CHAR(10)," "))-1)),TRIM(SUBSTITUTE(INDEX($A$9:$A$2008,$W308),CHAR(10)," "))))</f>
        <v/>
      </c>
      <c r="AA308" s="27">
        <f>IF($W308="","",IFERROR(TRIM(SUBSTITUTE(MID(SUBSTITUTE(INDEX($A$9:$A$2008,$W308),CHAR(10)," "),SEARCH("Folio",SUBSTITUTE(INDEX($A$9:$A$2008,$W308),CHAR(10)," "))+5,200),":","")),""))</f>
        <v/>
      </c>
      <c r="AB308" s="28">
        <f>IF($W308="","",IF(ISNUMBER(INDEX($D$9:$D$2008,$W308)),INDEX($D$9:$D$2008,$W308),IFERROR(DATE(2000+VALUE(RIGHT(INDEX($D$9:$D$2008,$W308),2)),VALUE(MID(INDEX($D$9:$D$2008,$W308),4,2)),VALUE(LEFT(INDEX($D$9:$D$2008,$W308),2))),"")))</f>
        <v/>
      </c>
      <c r="AC308" s="29">
        <f>IF($W308="","",IFERROR(IF(ISNUMBER(INDEX($E$9:$E$2008,$W308)),INDEX($E$9:$E$2008,$W308),VALUE(SUBSTITUTE(INDEX($E$9:$E$2008,$W308),",",""))),""))</f>
        <v/>
      </c>
      <c r="AD308" s="29">
        <f>IF($W308="","",IFERROR(IF(ISNUMBER(INDEX($F$9:$F$2008,$W308)),INDEX($F$9:$F$2008,$W308),VALUE(SUBSTITUTE(INDEX($F$9:$F$2008,$W308),",",""))),""))</f>
        <v/>
      </c>
      <c r="AE308" s="29">
        <f>IF($W308="","",IFERROR(IF(ISNUMBER(INDEX($G$9:$G$2008,$W308)),INDEX($G$9:$G$2008,$W308),VALUE(SUBSTITUTE(INDEX($G$9:$G$2008,$W308),",",""))),""))</f>
        <v/>
      </c>
      <c r="AF308" s="29">
        <f>IF($W308="","",IFERROR(IF(ISNUMBER(INDEX($H$9:$H$2008,$W308)),INDEX($H$9:$H$2008,$W308),VALUE(SUBSTITUTE(INDEX($H$9:$H$2008,$W308),",",""))),""))</f>
        <v/>
      </c>
      <c r="AG308" s="29">
        <f>IF($W308="","",IFERROR(IF(ISNUMBER(INDEX($I$9:$I$2008,$W308)),INDEX($I$9:$I$2008,$W308),VALUE(SUBSTITUTE(INDEX($I$9:$I$2008,$W308),",",""))),""))</f>
        <v/>
      </c>
      <c r="AH308" s="29">
        <f>IF($W308="","",IFERROR(IF(ISNUMBER(INDEX($J$9:$J$2008,$W308)),INDEX($J$9:$J$2008,$W308),VALUE(SUBSTITUTE(INDEX($J$9:$J$2008,$W308),",",""))),""))</f>
        <v/>
      </c>
      <c r="AI308" s="29">
        <f>IF($W308="","",IFERROR(IF(ISNUMBER(INDEX($K$9:$K$2008,$W308)),INDEX($K$9:$K$2008,$W308),VALUE(SUBSTITUTE(INDEX($K$9:$K$2008,$W308),",",""))),""))</f>
        <v/>
      </c>
      <c r="AJ308" s="30">
        <f>IF($W308="","",IFERROR(IF(ISNUMBER(INDEX($L$9:$L$2008,$W308)),INDEX($L$9:$L$2008,$W308),VALUE(SUBSTITUTE(INDEX($L$9:$L$2008,$W308),",",""))),""))</f>
        <v/>
      </c>
      <c r="AK308" s="30">
        <f>IF($W308="","",IFERROR(IF(ISNUMBER(INDEX($M$9:$M$2008,$W308)),INDEX($M$9:$M$2008,$W308),VALUE(SUBSTITUTE(INDEX($M$9:$M$2008,$W308),",",""))),""))</f>
        <v/>
      </c>
      <c r="AL308" s="31">
        <f>IF($W308="","",IFERROR(IF(ISNUMBER(INDEX($P$9:$P$2008,$W308)),INDEX($P$9:$P$2008,$W308),VALUE(SUBSTITUTE(INDEX($P$9:$P$2008,$W308),"%",""))/100),""))</f>
        <v/>
      </c>
    </row>
    <row r="309">
      <c r="S309">
        <f>IF(AND(ISTEXT($A309),ISNUMBER(SEARCH(" - ",$A309)),ISERROR(SEARCH("Folio",$A309)),$D309=""),TRIM($A309),$S308)</f>
        <v/>
      </c>
      <c r="T309">
        <f>IF(AND(ISNUMBER(SEARCH("Folio",$A309)),$D309&lt;&gt;""),1,"")</f>
        <v/>
      </c>
      <c r="U309">
        <f>IF($T309=1,COUNTIF($T$9:$T309,1),"")</f>
        <v/>
      </c>
      <c r="V309">
        <f>IF(AND(ISTEXT($A309),LEFT($A310,3)="Pan"),1,"")</f>
        <v/>
      </c>
      <c r="W309" s="21">
        <f>IFERROR(MATCH(301,$U$9:$U$2008,0),"")</f>
        <v/>
      </c>
      <c r="X309" s="22">
        <f>IF($W309="","",IF($R$5&lt;&gt;"",$R$5,$R$6))</f>
        <v/>
      </c>
      <c r="Y309" s="22">
        <f>IF($W309="","",INDEX($S$9:$S$2008,$W309))</f>
        <v/>
      </c>
      <c r="Z309" s="22">
        <f>IF($W309="","",IFERROR(TRIM(LEFT(SUBSTITUTE(INDEX($A$9:$A$2008,$W309),CHAR(10)," "),SEARCH("Folio",SUBSTITUTE(INDEX($A$9:$A$2008,$W309),CHAR(10)," "))-1)),TRIM(SUBSTITUTE(INDEX($A$9:$A$2008,$W309),CHAR(10)," "))))</f>
        <v/>
      </c>
      <c r="AA309" s="22">
        <f>IF($W309="","",IFERROR(TRIM(SUBSTITUTE(MID(SUBSTITUTE(INDEX($A$9:$A$2008,$W309),CHAR(10)," "),SEARCH("Folio",SUBSTITUTE(INDEX($A$9:$A$2008,$W309),CHAR(10)," "))+5,200),":","")),""))</f>
        <v/>
      </c>
      <c r="AB309" s="23">
        <f>IF($W309="","",IF(ISNUMBER(INDEX($D$9:$D$2008,$W309)),INDEX($D$9:$D$2008,$W309),IFERROR(DATE(2000+VALUE(RIGHT(INDEX($D$9:$D$2008,$W309),2)),VALUE(MID(INDEX($D$9:$D$2008,$W309),4,2)),VALUE(LEFT(INDEX($D$9:$D$2008,$W309),2))),"")))</f>
        <v/>
      </c>
      <c r="AC309" s="24">
        <f>IF($W309="","",IFERROR(IF(ISNUMBER(INDEX($E$9:$E$2008,$W309)),INDEX($E$9:$E$2008,$W309),VALUE(SUBSTITUTE(INDEX($E$9:$E$2008,$W309),",",""))),""))</f>
        <v/>
      </c>
      <c r="AD309" s="24">
        <f>IF($W309="","",IFERROR(IF(ISNUMBER(INDEX($F$9:$F$2008,$W309)),INDEX($F$9:$F$2008,$W309),VALUE(SUBSTITUTE(INDEX($F$9:$F$2008,$W309),",",""))),""))</f>
        <v/>
      </c>
      <c r="AE309" s="24">
        <f>IF($W309="","",IFERROR(IF(ISNUMBER(INDEX($G$9:$G$2008,$W309)),INDEX($G$9:$G$2008,$W309),VALUE(SUBSTITUTE(INDEX($G$9:$G$2008,$W309),",",""))),""))</f>
        <v/>
      </c>
      <c r="AF309" s="24">
        <f>IF($W309="","",IFERROR(IF(ISNUMBER(INDEX($H$9:$H$2008,$W309)),INDEX($H$9:$H$2008,$W309),VALUE(SUBSTITUTE(INDEX($H$9:$H$2008,$W309),",",""))),""))</f>
        <v/>
      </c>
      <c r="AG309" s="24">
        <f>IF($W309="","",IFERROR(IF(ISNUMBER(INDEX($I$9:$I$2008,$W309)),INDEX($I$9:$I$2008,$W309),VALUE(SUBSTITUTE(INDEX($I$9:$I$2008,$W309),",",""))),""))</f>
        <v/>
      </c>
      <c r="AH309" s="24">
        <f>IF($W309="","",IFERROR(IF(ISNUMBER(INDEX($J$9:$J$2008,$W309)),INDEX($J$9:$J$2008,$W309),VALUE(SUBSTITUTE(INDEX($J$9:$J$2008,$W309),",",""))),""))</f>
        <v/>
      </c>
      <c r="AI309" s="24">
        <f>IF($W309="","",IFERROR(IF(ISNUMBER(INDEX($K$9:$K$2008,$W309)),INDEX($K$9:$K$2008,$W309),VALUE(SUBSTITUTE(INDEX($K$9:$K$2008,$W309),",",""))),""))</f>
        <v/>
      </c>
      <c r="AJ309" s="25">
        <f>IF($W309="","",IFERROR(IF(ISNUMBER(INDEX($L$9:$L$2008,$W309)),INDEX($L$9:$L$2008,$W309),VALUE(SUBSTITUTE(INDEX($L$9:$L$2008,$W309),",",""))),""))</f>
        <v/>
      </c>
      <c r="AK309" s="25">
        <f>IF($W309="","",IFERROR(IF(ISNUMBER(INDEX($M$9:$M$2008,$W309)),INDEX($M$9:$M$2008,$W309),VALUE(SUBSTITUTE(INDEX($M$9:$M$2008,$W309),",",""))),""))</f>
        <v/>
      </c>
      <c r="AL309" s="26">
        <f>IF($W309="","",IFERROR(IF(ISNUMBER(INDEX($P$9:$P$2008,$W309)),INDEX($P$9:$P$2008,$W309),VALUE(SUBSTITUTE(INDEX($P$9:$P$2008,$W309),"%",""))/100),""))</f>
        <v/>
      </c>
    </row>
    <row r="310">
      <c r="S310">
        <f>IF(AND(ISTEXT($A310),ISNUMBER(SEARCH(" - ",$A310)),ISERROR(SEARCH("Folio",$A310)),$D310=""),TRIM($A310),$S309)</f>
        <v/>
      </c>
      <c r="T310">
        <f>IF(AND(ISNUMBER(SEARCH("Folio",$A310)),$D310&lt;&gt;""),1,"")</f>
        <v/>
      </c>
      <c r="U310">
        <f>IF($T310=1,COUNTIF($T$9:$T310,1),"")</f>
        <v/>
      </c>
      <c r="V310">
        <f>IF(AND(ISTEXT($A310),LEFT($A311,3)="Pan"),1,"")</f>
        <v/>
      </c>
      <c r="W310" s="21">
        <f>IFERROR(MATCH(302,$U$9:$U$2008,0),"")</f>
        <v/>
      </c>
      <c r="X310" s="27">
        <f>IF($W310="","",IF($R$5&lt;&gt;"",$R$5,$R$6))</f>
        <v/>
      </c>
      <c r="Y310" s="27">
        <f>IF($W310="","",INDEX($S$9:$S$2008,$W310))</f>
        <v/>
      </c>
      <c r="Z310" s="27">
        <f>IF($W310="","",IFERROR(TRIM(LEFT(SUBSTITUTE(INDEX($A$9:$A$2008,$W310),CHAR(10)," "),SEARCH("Folio",SUBSTITUTE(INDEX($A$9:$A$2008,$W310),CHAR(10)," "))-1)),TRIM(SUBSTITUTE(INDEX($A$9:$A$2008,$W310),CHAR(10)," "))))</f>
        <v/>
      </c>
      <c r="AA310" s="27">
        <f>IF($W310="","",IFERROR(TRIM(SUBSTITUTE(MID(SUBSTITUTE(INDEX($A$9:$A$2008,$W310),CHAR(10)," "),SEARCH("Folio",SUBSTITUTE(INDEX($A$9:$A$2008,$W310),CHAR(10)," "))+5,200),":","")),""))</f>
        <v/>
      </c>
      <c r="AB310" s="28">
        <f>IF($W310="","",IF(ISNUMBER(INDEX($D$9:$D$2008,$W310)),INDEX($D$9:$D$2008,$W310),IFERROR(DATE(2000+VALUE(RIGHT(INDEX($D$9:$D$2008,$W310),2)),VALUE(MID(INDEX($D$9:$D$2008,$W310),4,2)),VALUE(LEFT(INDEX($D$9:$D$2008,$W310),2))),"")))</f>
        <v/>
      </c>
      <c r="AC310" s="29">
        <f>IF($W310="","",IFERROR(IF(ISNUMBER(INDEX($E$9:$E$2008,$W310)),INDEX($E$9:$E$2008,$W310),VALUE(SUBSTITUTE(INDEX($E$9:$E$2008,$W310),",",""))),""))</f>
        <v/>
      </c>
      <c r="AD310" s="29">
        <f>IF($W310="","",IFERROR(IF(ISNUMBER(INDEX($F$9:$F$2008,$W310)),INDEX($F$9:$F$2008,$W310),VALUE(SUBSTITUTE(INDEX($F$9:$F$2008,$W310),",",""))),""))</f>
        <v/>
      </c>
      <c r="AE310" s="29">
        <f>IF($W310="","",IFERROR(IF(ISNUMBER(INDEX($G$9:$G$2008,$W310)),INDEX($G$9:$G$2008,$W310),VALUE(SUBSTITUTE(INDEX($G$9:$G$2008,$W310),",",""))),""))</f>
        <v/>
      </c>
      <c r="AF310" s="29">
        <f>IF($W310="","",IFERROR(IF(ISNUMBER(INDEX($H$9:$H$2008,$W310)),INDEX($H$9:$H$2008,$W310),VALUE(SUBSTITUTE(INDEX($H$9:$H$2008,$W310),",",""))),""))</f>
        <v/>
      </c>
      <c r="AG310" s="29">
        <f>IF($W310="","",IFERROR(IF(ISNUMBER(INDEX($I$9:$I$2008,$W310)),INDEX($I$9:$I$2008,$W310),VALUE(SUBSTITUTE(INDEX($I$9:$I$2008,$W310),",",""))),""))</f>
        <v/>
      </c>
      <c r="AH310" s="29">
        <f>IF($W310="","",IFERROR(IF(ISNUMBER(INDEX($J$9:$J$2008,$W310)),INDEX($J$9:$J$2008,$W310),VALUE(SUBSTITUTE(INDEX($J$9:$J$2008,$W310),",",""))),""))</f>
        <v/>
      </c>
      <c r="AI310" s="29">
        <f>IF($W310="","",IFERROR(IF(ISNUMBER(INDEX($K$9:$K$2008,$W310)),INDEX($K$9:$K$2008,$W310),VALUE(SUBSTITUTE(INDEX($K$9:$K$2008,$W310),",",""))),""))</f>
        <v/>
      </c>
      <c r="AJ310" s="30">
        <f>IF($W310="","",IFERROR(IF(ISNUMBER(INDEX($L$9:$L$2008,$W310)),INDEX($L$9:$L$2008,$W310),VALUE(SUBSTITUTE(INDEX($L$9:$L$2008,$W310),",",""))),""))</f>
        <v/>
      </c>
      <c r="AK310" s="30">
        <f>IF($W310="","",IFERROR(IF(ISNUMBER(INDEX($M$9:$M$2008,$W310)),INDEX($M$9:$M$2008,$W310),VALUE(SUBSTITUTE(INDEX($M$9:$M$2008,$W310),",",""))),""))</f>
        <v/>
      </c>
      <c r="AL310" s="31">
        <f>IF($W310="","",IFERROR(IF(ISNUMBER(INDEX($P$9:$P$2008,$W310)),INDEX($P$9:$P$2008,$W310),VALUE(SUBSTITUTE(INDEX($P$9:$P$2008,$W310),"%",""))/100),""))</f>
        <v/>
      </c>
    </row>
    <row r="311">
      <c r="S311">
        <f>IF(AND(ISTEXT($A311),ISNUMBER(SEARCH(" - ",$A311)),ISERROR(SEARCH("Folio",$A311)),$D311=""),TRIM($A311),$S310)</f>
        <v/>
      </c>
      <c r="T311">
        <f>IF(AND(ISNUMBER(SEARCH("Folio",$A311)),$D311&lt;&gt;""),1,"")</f>
        <v/>
      </c>
      <c r="U311">
        <f>IF($T311=1,COUNTIF($T$9:$T311,1),"")</f>
        <v/>
      </c>
      <c r="V311">
        <f>IF(AND(ISTEXT($A311),LEFT($A312,3)="Pan"),1,"")</f>
        <v/>
      </c>
      <c r="W311" s="21">
        <f>IFERROR(MATCH(303,$U$9:$U$2008,0),"")</f>
        <v/>
      </c>
      <c r="X311" s="22">
        <f>IF($W311="","",IF($R$5&lt;&gt;"",$R$5,$R$6))</f>
        <v/>
      </c>
      <c r="Y311" s="22">
        <f>IF($W311="","",INDEX($S$9:$S$2008,$W311))</f>
        <v/>
      </c>
      <c r="Z311" s="22">
        <f>IF($W311="","",IFERROR(TRIM(LEFT(SUBSTITUTE(INDEX($A$9:$A$2008,$W311),CHAR(10)," "),SEARCH("Folio",SUBSTITUTE(INDEX($A$9:$A$2008,$W311),CHAR(10)," "))-1)),TRIM(SUBSTITUTE(INDEX($A$9:$A$2008,$W311),CHAR(10)," "))))</f>
        <v/>
      </c>
      <c r="AA311" s="22">
        <f>IF($W311="","",IFERROR(TRIM(SUBSTITUTE(MID(SUBSTITUTE(INDEX($A$9:$A$2008,$W311),CHAR(10)," "),SEARCH("Folio",SUBSTITUTE(INDEX($A$9:$A$2008,$W311),CHAR(10)," "))+5,200),":","")),""))</f>
        <v/>
      </c>
      <c r="AB311" s="23">
        <f>IF($W311="","",IF(ISNUMBER(INDEX($D$9:$D$2008,$W311)),INDEX($D$9:$D$2008,$W311),IFERROR(DATE(2000+VALUE(RIGHT(INDEX($D$9:$D$2008,$W311),2)),VALUE(MID(INDEX($D$9:$D$2008,$W311),4,2)),VALUE(LEFT(INDEX($D$9:$D$2008,$W311),2))),"")))</f>
        <v/>
      </c>
      <c r="AC311" s="24">
        <f>IF($W311="","",IFERROR(IF(ISNUMBER(INDEX($E$9:$E$2008,$W311)),INDEX($E$9:$E$2008,$W311),VALUE(SUBSTITUTE(INDEX($E$9:$E$2008,$W311),",",""))),""))</f>
        <v/>
      </c>
      <c r="AD311" s="24">
        <f>IF($W311="","",IFERROR(IF(ISNUMBER(INDEX($F$9:$F$2008,$W311)),INDEX($F$9:$F$2008,$W311),VALUE(SUBSTITUTE(INDEX($F$9:$F$2008,$W311),",",""))),""))</f>
        <v/>
      </c>
      <c r="AE311" s="24">
        <f>IF($W311="","",IFERROR(IF(ISNUMBER(INDEX($G$9:$G$2008,$W311)),INDEX($G$9:$G$2008,$W311),VALUE(SUBSTITUTE(INDEX($G$9:$G$2008,$W311),",",""))),""))</f>
        <v/>
      </c>
      <c r="AF311" s="24">
        <f>IF($W311="","",IFERROR(IF(ISNUMBER(INDEX($H$9:$H$2008,$W311)),INDEX($H$9:$H$2008,$W311),VALUE(SUBSTITUTE(INDEX($H$9:$H$2008,$W311),",",""))),""))</f>
        <v/>
      </c>
      <c r="AG311" s="24">
        <f>IF($W311="","",IFERROR(IF(ISNUMBER(INDEX($I$9:$I$2008,$W311)),INDEX($I$9:$I$2008,$W311),VALUE(SUBSTITUTE(INDEX($I$9:$I$2008,$W311),",",""))),""))</f>
        <v/>
      </c>
      <c r="AH311" s="24">
        <f>IF($W311="","",IFERROR(IF(ISNUMBER(INDEX($J$9:$J$2008,$W311)),INDEX($J$9:$J$2008,$W311),VALUE(SUBSTITUTE(INDEX($J$9:$J$2008,$W311),",",""))),""))</f>
        <v/>
      </c>
      <c r="AI311" s="24">
        <f>IF($W311="","",IFERROR(IF(ISNUMBER(INDEX($K$9:$K$2008,$W311)),INDEX($K$9:$K$2008,$W311),VALUE(SUBSTITUTE(INDEX($K$9:$K$2008,$W311),",",""))),""))</f>
        <v/>
      </c>
      <c r="AJ311" s="25">
        <f>IF($W311="","",IFERROR(IF(ISNUMBER(INDEX($L$9:$L$2008,$W311)),INDEX($L$9:$L$2008,$W311),VALUE(SUBSTITUTE(INDEX($L$9:$L$2008,$W311),",",""))),""))</f>
        <v/>
      </c>
      <c r="AK311" s="25">
        <f>IF($W311="","",IFERROR(IF(ISNUMBER(INDEX($M$9:$M$2008,$W311)),INDEX($M$9:$M$2008,$W311),VALUE(SUBSTITUTE(INDEX($M$9:$M$2008,$W311),",",""))),""))</f>
        <v/>
      </c>
      <c r="AL311" s="26">
        <f>IF($W311="","",IFERROR(IF(ISNUMBER(INDEX($P$9:$P$2008,$W311)),INDEX($P$9:$P$2008,$W311),VALUE(SUBSTITUTE(INDEX($P$9:$P$2008,$W311),"%",""))/100),""))</f>
        <v/>
      </c>
    </row>
    <row r="312">
      <c r="S312">
        <f>IF(AND(ISTEXT($A312),ISNUMBER(SEARCH(" - ",$A312)),ISERROR(SEARCH("Folio",$A312)),$D312=""),TRIM($A312),$S311)</f>
        <v/>
      </c>
      <c r="T312">
        <f>IF(AND(ISNUMBER(SEARCH("Folio",$A312)),$D312&lt;&gt;""),1,"")</f>
        <v/>
      </c>
      <c r="U312">
        <f>IF($T312=1,COUNTIF($T$9:$T312,1),"")</f>
        <v/>
      </c>
      <c r="V312">
        <f>IF(AND(ISTEXT($A312),LEFT($A313,3)="Pan"),1,"")</f>
        <v/>
      </c>
      <c r="W312" s="21">
        <f>IFERROR(MATCH(304,$U$9:$U$2008,0),"")</f>
        <v/>
      </c>
      <c r="X312" s="27">
        <f>IF($W312="","",IF($R$5&lt;&gt;"",$R$5,$R$6))</f>
        <v/>
      </c>
      <c r="Y312" s="27">
        <f>IF($W312="","",INDEX($S$9:$S$2008,$W312))</f>
        <v/>
      </c>
      <c r="Z312" s="27">
        <f>IF($W312="","",IFERROR(TRIM(LEFT(SUBSTITUTE(INDEX($A$9:$A$2008,$W312),CHAR(10)," "),SEARCH("Folio",SUBSTITUTE(INDEX($A$9:$A$2008,$W312),CHAR(10)," "))-1)),TRIM(SUBSTITUTE(INDEX($A$9:$A$2008,$W312),CHAR(10)," "))))</f>
        <v/>
      </c>
      <c r="AA312" s="27">
        <f>IF($W312="","",IFERROR(TRIM(SUBSTITUTE(MID(SUBSTITUTE(INDEX($A$9:$A$2008,$W312),CHAR(10)," "),SEARCH("Folio",SUBSTITUTE(INDEX($A$9:$A$2008,$W312),CHAR(10)," "))+5,200),":","")),""))</f>
        <v/>
      </c>
      <c r="AB312" s="28">
        <f>IF($W312="","",IF(ISNUMBER(INDEX($D$9:$D$2008,$W312)),INDEX($D$9:$D$2008,$W312),IFERROR(DATE(2000+VALUE(RIGHT(INDEX($D$9:$D$2008,$W312),2)),VALUE(MID(INDEX($D$9:$D$2008,$W312),4,2)),VALUE(LEFT(INDEX($D$9:$D$2008,$W312),2))),"")))</f>
        <v/>
      </c>
      <c r="AC312" s="29">
        <f>IF($W312="","",IFERROR(IF(ISNUMBER(INDEX($E$9:$E$2008,$W312)),INDEX($E$9:$E$2008,$W312),VALUE(SUBSTITUTE(INDEX($E$9:$E$2008,$W312),",",""))),""))</f>
        <v/>
      </c>
      <c r="AD312" s="29">
        <f>IF($W312="","",IFERROR(IF(ISNUMBER(INDEX($F$9:$F$2008,$W312)),INDEX($F$9:$F$2008,$W312),VALUE(SUBSTITUTE(INDEX($F$9:$F$2008,$W312),",",""))),""))</f>
        <v/>
      </c>
      <c r="AE312" s="29">
        <f>IF($W312="","",IFERROR(IF(ISNUMBER(INDEX($G$9:$G$2008,$W312)),INDEX($G$9:$G$2008,$W312),VALUE(SUBSTITUTE(INDEX($G$9:$G$2008,$W312),",",""))),""))</f>
        <v/>
      </c>
      <c r="AF312" s="29">
        <f>IF($W312="","",IFERROR(IF(ISNUMBER(INDEX($H$9:$H$2008,$W312)),INDEX($H$9:$H$2008,$W312),VALUE(SUBSTITUTE(INDEX($H$9:$H$2008,$W312),",",""))),""))</f>
        <v/>
      </c>
      <c r="AG312" s="29">
        <f>IF($W312="","",IFERROR(IF(ISNUMBER(INDEX($I$9:$I$2008,$W312)),INDEX($I$9:$I$2008,$W312),VALUE(SUBSTITUTE(INDEX($I$9:$I$2008,$W312),",",""))),""))</f>
        <v/>
      </c>
      <c r="AH312" s="29">
        <f>IF($W312="","",IFERROR(IF(ISNUMBER(INDEX($J$9:$J$2008,$W312)),INDEX($J$9:$J$2008,$W312),VALUE(SUBSTITUTE(INDEX($J$9:$J$2008,$W312),",",""))),""))</f>
        <v/>
      </c>
      <c r="AI312" s="29">
        <f>IF($W312="","",IFERROR(IF(ISNUMBER(INDEX($K$9:$K$2008,$W312)),INDEX($K$9:$K$2008,$W312),VALUE(SUBSTITUTE(INDEX($K$9:$K$2008,$W312),",",""))),""))</f>
        <v/>
      </c>
      <c r="AJ312" s="30">
        <f>IF($W312="","",IFERROR(IF(ISNUMBER(INDEX($L$9:$L$2008,$W312)),INDEX($L$9:$L$2008,$W312),VALUE(SUBSTITUTE(INDEX($L$9:$L$2008,$W312),",",""))),""))</f>
        <v/>
      </c>
      <c r="AK312" s="30">
        <f>IF($W312="","",IFERROR(IF(ISNUMBER(INDEX($M$9:$M$2008,$W312)),INDEX($M$9:$M$2008,$W312),VALUE(SUBSTITUTE(INDEX($M$9:$M$2008,$W312),",",""))),""))</f>
        <v/>
      </c>
      <c r="AL312" s="31">
        <f>IF($W312="","",IFERROR(IF(ISNUMBER(INDEX($P$9:$P$2008,$W312)),INDEX($P$9:$P$2008,$W312),VALUE(SUBSTITUTE(INDEX($P$9:$P$2008,$W312),"%",""))/100),""))</f>
        <v/>
      </c>
    </row>
    <row r="313">
      <c r="S313">
        <f>IF(AND(ISTEXT($A313),ISNUMBER(SEARCH(" - ",$A313)),ISERROR(SEARCH("Folio",$A313)),$D313=""),TRIM($A313),$S312)</f>
        <v/>
      </c>
      <c r="T313">
        <f>IF(AND(ISNUMBER(SEARCH("Folio",$A313)),$D313&lt;&gt;""),1,"")</f>
        <v/>
      </c>
      <c r="U313">
        <f>IF($T313=1,COUNTIF($T$9:$T313,1),"")</f>
        <v/>
      </c>
      <c r="V313">
        <f>IF(AND(ISTEXT($A313),LEFT($A314,3)="Pan"),1,"")</f>
        <v/>
      </c>
      <c r="W313" s="21">
        <f>IFERROR(MATCH(305,$U$9:$U$2008,0),"")</f>
        <v/>
      </c>
      <c r="X313" s="22">
        <f>IF($W313="","",IF($R$5&lt;&gt;"",$R$5,$R$6))</f>
        <v/>
      </c>
      <c r="Y313" s="22">
        <f>IF($W313="","",INDEX($S$9:$S$2008,$W313))</f>
        <v/>
      </c>
      <c r="Z313" s="22">
        <f>IF($W313="","",IFERROR(TRIM(LEFT(SUBSTITUTE(INDEX($A$9:$A$2008,$W313),CHAR(10)," "),SEARCH("Folio",SUBSTITUTE(INDEX($A$9:$A$2008,$W313),CHAR(10)," "))-1)),TRIM(SUBSTITUTE(INDEX($A$9:$A$2008,$W313),CHAR(10)," "))))</f>
        <v/>
      </c>
      <c r="AA313" s="22">
        <f>IF($W313="","",IFERROR(TRIM(SUBSTITUTE(MID(SUBSTITUTE(INDEX($A$9:$A$2008,$W313),CHAR(10)," "),SEARCH("Folio",SUBSTITUTE(INDEX($A$9:$A$2008,$W313),CHAR(10)," "))+5,200),":","")),""))</f>
        <v/>
      </c>
      <c r="AB313" s="23">
        <f>IF($W313="","",IF(ISNUMBER(INDEX($D$9:$D$2008,$W313)),INDEX($D$9:$D$2008,$W313),IFERROR(DATE(2000+VALUE(RIGHT(INDEX($D$9:$D$2008,$W313),2)),VALUE(MID(INDEX($D$9:$D$2008,$W313),4,2)),VALUE(LEFT(INDEX($D$9:$D$2008,$W313),2))),"")))</f>
        <v/>
      </c>
      <c r="AC313" s="24">
        <f>IF($W313="","",IFERROR(IF(ISNUMBER(INDEX($E$9:$E$2008,$W313)),INDEX($E$9:$E$2008,$W313),VALUE(SUBSTITUTE(INDEX($E$9:$E$2008,$W313),",",""))),""))</f>
        <v/>
      </c>
      <c r="AD313" s="24">
        <f>IF($W313="","",IFERROR(IF(ISNUMBER(INDEX($F$9:$F$2008,$W313)),INDEX($F$9:$F$2008,$W313),VALUE(SUBSTITUTE(INDEX($F$9:$F$2008,$W313),",",""))),""))</f>
        <v/>
      </c>
      <c r="AE313" s="24">
        <f>IF($W313="","",IFERROR(IF(ISNUMBER(INDEX($G$9:$G$2008,$W313)),INDEX($G$9:$G$2008,$W313),VALUE(SUBSTITUTE(INDEX($G$9:$G$2008,$W313),",",""))),""))</f>
        <v/>
      </c>
      <c r="AF313" s="24">
        <f>IF($W313="","",IFERROR(IF(ISNUMBER(INDEX($H$9:$H$2008,$W313)),INDEX($H$9:$H$2008,$W313),VALUE(SUBSTITUTE(INDEX($H$9:$H$2008,$W313),",",""))),""))</f>
        <v/>
      </c>
      <c r="AG313" s="24">
        <f>IF($W313="","",IFERROR(IF(ISNUMBER(INDEX($I$9:$I$2008,$W313)),INDEX($I$9:$I$2008,$W313),VALUE(SUBSTITUTE(INDEX($I$9:$I$2008,$W313),",",""))),""))</f>
        <v/>
      </c>
      <c r="AH313" s="24">
        <f>IF($W313="","",IFERROR(IF(ISNUMBER(INDEX($J$9:$J$2008,$W313)),INDEX($J$9:$J$2008,$W313),VALUE(SUBSTITUTE(INDEX($J$9:$J$2008,$W313),",",""))),""))</f>
        <v/>
      </c>
      <c r="AI313" s="24">
        <f>IF($W313="","",IFERROR(IF(ISNUMBER(INDEX($K$9:$K$2008,$W313)),INDEX($K$9:$K$2008,$W313),VALUE(SUBSTITUTE(INDEX($K$9:$K$2008,$W313),",",""))),""))</f>
        <v/>
      </c>
      <c r="AJ313" s="25">
        <f>IF($W313="","",IFERROR(IF(ISNUMBER(INDEX($L$9:$L$2008,$W313)),INDEX($L$9:$L$2008,$W313),VALUE(SUBSTITUTE(INDEX($L$9:$L$2008,$W313),",",""))),""))</f>
        <v/>
      </c>
      <c r="AK313" s="25">
        <f>IF($W313="","",IFERROR(IF(ISNUMBER(INDEX($M$9:$M$2008,$W313)),INDEX($M$9:$M$2008,$W313),VALUE(SUBSTITUTE(INDEX($M$9:$M$2008,$W313),",",""))),""))</f>
        <v/>
      </c>
      <c r="AL313" s="26">
        <f>IF($W313="","",IFERROR(IF(ISNUMBER(INDEX($P$9:$P$2008,$W313)),INDEX($P$9:$P$2008,$W313),VALUE(SUBSTITUTE(INDEX($P$9:$P$2008,$W313),"%",""))/100),""))</f>
        <v/>
      </c>
    </row>
    <row r="314">
      <c r="S314">
        <f>IF(AND(ISTEXT($A314),ISNUMBER(SEARCH(" - ",$A314)),ISERROR(SEARCH("Folio",$A314)),$D314=""),TRIM($A314),$S313)</f>
        <v/>
      </c>
      <c r="T314">
        <f>IF(AND(ISNUMBER(SEARCH("Folio",$A314)),$D314&lt;&gt;""),1,"")</f>
        <v/>
      </c>
      <c r="U314">
        <f>IF($T314=1,COUNTIF($T$9:$T314,1),"")</f>
        <v/>
      </c>
      <c r="V314">
        <f>IF(AND(ISTEXT($A314),LEFT($A315,3)="Pan"),1,"")</f>
        <v/>
      </c>
      <c r="W314" s="21">
        <f>IFERROR(MATCH(306,$U$9:$U$2008,0),"")</f>
        <v/>
      </c>
      <c r="X314" s="27">
        <f>IF($W314="","",IF($R$5&lt;&gt;"",$R$5,$R$6))</f>
        <v/>
      </c>
      <c r="Y314" s="27">
        <f>IF($W314="","",INDEX($S$9:$S$2008,$W314))</f>
        <v/>
      </c>
      <c r="Z314" s="27">
        <f>IF($W314="","",IFERROR(TRIM(LEFT(SUBSTITUTE(INDEX($A$9:$A$2008,$W314),CHAR(10)," "),SEARCH("Folio",SUBSTITUTE(INDEX($A$9:$A$2008,$W314),CHAR(10)," "))-1)),TRIM(SUBSTITUTE(INDEX($A$9:$A$2008,$W314),CHAR(10)," "))))</f>
        <v/>
      </c>
      <c r="AA314" s="27">
        <f>IF($W314="","",IFERROR(TRIM(SUBSTITUTE(MID(SUBSTITUTE(INDEX($A$9:$A$2008,$W314),CHAR(10)," "),SEARCH("Folio",SUBSTITUTE(INDEX($A$9:$A$2008,$W314),CHAR(10)," "))+5,200),":","")),""))</f>
        <v/>
      </c>
      <c r="AB314" s="28">
        <f>IF($W314="","",IF(ISNUMBER(INDEX($D$9:$D$2008,$W314)),INDEX($D$9:$D$2008,$W314),IFERROR(DATE(2000+VALUE(RIGHT(INDEX($D$9:$D$2008,$W314),2)),VALUE(MID(INDEX($D$9:$D$2008,$W314),4,2)),VALUE(LEFT(INDEX($D$9:$D$2008,$W314),2))),"")))</f>
        <v/>
      </c>
      <c r="AC314" s="29">
        <f>IF($W314="","",IFERROR(IF(ISNUMBER(INDEX($E$9:$E$2008,$W314)),INDEX($E$9:$E$2008,$W314),VALUE(SUBSTITUTE(INDEX($E$9:$E$2008,$W314),",",""))),""))</f>
        <v/>
      </c>
      <c r="AD314" s="29">
        <f>IF($W314="","",IFERROR(IF(ISNUMBER(INDEX($F$9:$F$2008,$W314)),INDEX($F$9:$F$2008,$W314),VALUE(SUBSTITUTE(INDEX($F$9:$F$2008,$W314),",",""))),""))</f>
        <v/>
      </c>
      <c r="AE314" s="29">
        <f>IF($W314="","",IFERROR(IF(ISNUMBER(INDEX($G$9:$G$2008,$W314)),INDEX($G$9:$G$2008,$W314),VALUE(SUBSTITUTE(INDEX($G$9:$G$2008,$W314),",",""))),""))</f>
        <v/>
      </c>
      <c r="AF314" s="29">
        <f>IF($W314="","",IFERROR(IF(ISNUMBER(INDEX($H$9:$H$2008,$W314)),INDEX($H$9:$H$2008,$W314),VALUE(SUBSTITUTE(INDEX($H$9:$H$2008,$W314),",",""))),""))</f>
        <v/>
      </c>
      <c r="AG314" s="29">
        <f>IF($W314="","",IFERROR(IF(ISNUMBER(INDEX($I$9:$I$2008,$W314)),INDEX($I$9:$I$2008,$W314),VALUE(SUBSTITUTE(INDEX($I$9:$I$2008,$W314),",",""))),""))</f>
        <v/>
      </c>
      <c r="AH314" s="29">
        <f>IF($W314="","",IFERROR(IF(ISNUMBER(INDEX($J$9:$J$2008,$W314)),INDEX($J$9:$J$2008,$W314),VALUE(SUBSTITUTE(INDEX($J$9:$J$2008,$W314),",",""))),""))</f>
        <v/>
      </c>
      <c r="AI314" s="29">
        <f>IF($W314="","",IFERROR(IF(ISNUMBER(INDEX($K$9:$K$2008,$W314)),INDEX($K$9:$K$2008,$W314),VALUE(SUBSTITUTE(INDEX($K$9:$K$2008,$W314),",",""))),""))</f>
        <v/>
      </c>
      <c r="AJ314" s="30">
        <f>IF($W314="","",IFERROR(IF(ISNUMBER(INDEX($L$9:$L$2008,$W314)),INDEX($L$9:$L$2008,$W314),VALUE(SUBSTITUTE(INDEX($L$9:$L$2008,$W314),",",""))),""))</f>
        <v/>
      </c>
      <c r="AK314" s="30">
        <f>IF($W314="","",IFERROR(IF(ISNUMBER(INDEX($M$9:$M$2008,$W314)),INDEX($M$9:$M$2008,$W314),VALUE(SUBSTITUTE(INDEX($M$9:$M$2008,$W314),",",""))),""))</f>
        <v/>
      </c>
      <c r="AL314" s="31">
        <f>IF($W314="","",IFERROR(IF(ISNUMBER(INDEX($P$9:$P$2008,$W314)),INDEX($P$9:$P$2008,$W314),VALUE(SUBSTITUTE(INDEX($P$9:$P$2008,$W314),"%",""))/100),""))</f>
        <v/>
      </c>
    </row>
    <row r="315">
      <c r="S315">
        <f>IF(AND(ISTEXT($A315),ISNUMBER(SEARCH(" - ",$A315)),ISERROR(SEARCH("Folio",$A315)),$D315=""),TRIM($A315),$S314)</f>
        <v/>
      </c>
      <c r="T315">
        <f>IF(AND(ISNUMBER(SEARCH("Folio",$A315)),$D315&lt;&gt;""),1,"")</f>
        <v/>
      </c>
      <c r="U315">
        <f>IF($T315=1,COUNTIF($T$9:$T315,1),"")</f>
        <v/>
      </c>
      <c r="V315">
        <f>IF(AND(ISTEXT($A315),LEFT($A316,3)="Pan"),1,"")</f>
        <v/>
      </c>
      <c r="W315" s="21">
        <f>IFERROR(MATCH(307,$U$9:$U$2008,0),"")</f>
        <v/>
      </c>
      <c r="X315" s="22">
        <f>IF($W315="","",IF($R$5&lt;&gt;"",$R$5,$R$6))</f>
        <v/>
      </c>
      <c r="Y315" s="22">
        <f>IF($W315="","",INDEX($S$9:$S$2008,$W315))</f>
        <v/>
      </c>
      <c r="Z315" s="22">
        <f>IF($W315="","",IFERROR(TRIM(LEFT(SUBSTITUTE(INDEX($A$9:$A$2008,$W315),CHAR(10)," "),SEARCH("Folio",SUBSTITUTE(INDEX($A$9:$A$2008,$W315),CHAR(10)," "))-1)),TRIM(SUBSTITUTE(INDEX($A$9:$A$2008,$W315),CHAR(10)," "))))</f>
        <v/>
      </c>
      <c r="AA315" s="22">
        <f>IF($W315="","",IFERROR(TRIM(SUBSTITUTE(MID(SUBSTITUTE(INDEX($A$9:$A$2008,$W315),CHAR(10)," "),SEARCH("Folio",SUBSTITUTE(INDEX($A$9:$A$2008,$W315),CHAR(10)," "))+5,200),":","")),""))</f>
        <v/>
      </c>
      <c r="AB315" s="23">
        <f>IF($W315="","",IF(ISNUMBER(INDEX($D$9:$D$2008,$W315)),INDEX($D$9:$D$2008,$W315),IFERROR(DATE(2000+VALUE(RIGHT(INDEX($D$9:$D$2008,$W315),2)),VALUE(MID(INDEX($D$9:$D$2008,$W315),4,2)),VALUE(LEFT(INDEX($D$9:$D$2008,$W315),2))),"")))</f>
        <v/>
      </c>
      <c r="AC315" s="24">
        <f>IF($W315="","",IFERROR(IF(ISNUMBER(INDEX($E$9:$E$2008,$W315)),INDEX($E$9:$E$2008,$W315),VALUE(SUBSTITUTE(INDEX($E$9:$E$2008,$W315),",",""))),""))</f>
        <v/>
      </c>
      <c r="AD315" s="24">
        <f>IF($W315="","",IFERROR(IF(ISNUMBER(INDEX($F$9:$F$2008,$W315)),INDEX($F$9:$F$2008,$W315),VALUE(SUBSTITUTE(INDEX($F$9:$F$2008,$W315),",",""))),""))</f>
        <v/>
      </c>
      <c r="AE315" s="24">
        <f>IF($W315="","",IFERROR(IF(ISNUMBER(INDEX($G$9:$G$2008,$W315)),INDEX($G$9:$G$2008,$W315),VALUE(SUBSTITUTE(INDEX($G$9:$G$2008,$W315),",",""))),""))</f>
        <v/>
      </c>
      <c r="AF315" s="24">
        <f>IF($W315="","",IFERROR(IF(ISNUMBER(INDEX($H$9:$H$2008,$W315)),INDEX($H$9:$H$2008,$W315),VALUE(SUBSTITUTE(INDEX($H$9:$H$2008,$W315),",",""))),""))</f>
        <v/>
      </c>
      <c r="AG315" s="24">
        <f>IF($W315="","",IFERROR(IF(ISNUMBER(INDEX($I$9:$I$2008,$W315)),INDEX($I$9:$I$2008,$W315),VALUE(SUBSTITUTE(INDEX($I$9:$I$2008,$W315),",",""))),""))</f>
        <v/>
      </c>
      <c r="AH315" s="24">
        <f>IF($W315="","",IFERROR(IF(ISNUMBER(INDEX($J$9:$J$2008,$W315)),INDEX($J$9:$J$2008,$W315),VALUE(SUBSTITUTE(INDEX($J$9:$J$2008,$W315),",",""))),""))</f>
        <v/>
      </c>
      <c r="AI315" s="24">
        <f>IF($W315="","",IFERROR(IF(ISNUMBER(INDEX($K$9:$K$2008,$W315)),INDEX($K$9:$K$2008,$W315),VALUE(SUBSTITUTE(INDEX($K$9:$K$2008,$W315),",",""))),""))</f>
        <v/>
      </c>
      <c r="AJ315" s="25">
        <f>IF($W315="","",IFERROR(IF(ISNUMBER(INDEX($L$9:$L$2008,$W315)),INDEX($L$9:$L$2008,$W315),VALUE(SUBSTITUTE(INDEX($L$9:$L$2008,$W315),",",""))),""))</f>
        <v/>
      </c>
      <c r="AK315" s="25">
        <f>IF($W315="","",IFERROR(IF(ISNUMBER(INDEX($M$9:$M$2008,$W315)),INDEX($M$9:$M$2008,$W315),VALUE(SUBSTITUTE(INDEX($M$9:$M$2008,$W315),",",""))),""))</f>
        <v/>
      </c>
      <c r="AL315" s="26">
        <f>IF($W315="","",IFERROR(IF(ISNUMBER(INDEX($P$9:$P$2008,$W315)),INDEX($P$9:$P$2008,$W315),VALUE(SUBSTITUTE(INDEX($P$9:$P$2008,$W315),"%",""))/100),""))</f>
        <v/>
      </c>
    </row>
    <row r="316">
      <c r="S316">
        <f>IF(AND(ISTEXT($A316),ISNUMBER(SEARCH(" - ",$A316)),ISERROR(SEARCH("Folio",$A316)),$D316=""),TRIM($A316),$S315)</f>
        <v/>
      </c>
      <c r="T316">
        <f>IF(AND(ISNUMBER(SEARCH("Folio",$A316)),$D316&lt;&gt;""),1,"")</f>
        <v/>
      </c>
      <c r="U316">
        <f>IF($T316=1,COUNTIF($T$9:$T316,1),"")</f>
        <v/>
      </c>
      <c r="V316">
        <f>IF(AND(ISTEXT($A316),LEFT($A317,3)="Pan"),1,"")</f>
        <v/>
      </c>
      <c r="W316" s="21">
        <f>IFERROR(MATCH(308,$U$9:$U$2008,0),"")</f>
        <v/>
      </c>
      <c r="X316" s="27">
        <f>IF($W316="","",IF($R$5&lt;&gt;"",$R$5,$R$6))</f>
        <v/>
      </c>
      <c r="Y316" s="27">
        <f>IF($W316="","",INDEX($S$9:$S$2008,$W316))</f>
        <v/>
      </c>
      <c r="Z316" s="27">
        <f>IF($W316="","",IFERROR(TRIM(LEFT(SUBSTITUTE(INDEX($A$9:$A$2008,$W316),CHAR(10)," "),SEARCH("Folio",SUBSTITUTE(INDEX($A$9:$A$2008,$W316),CHAR(10)," "))-1)),TRIM(SUBSTITUTE(INDEX($A$9:$A$2008,$W316),CHAR(10)," "))))</f>
        <v/>
      </c>
      <c r="AA316" s="27">
        <f>IF($W316="","",IFERROR(TRIM(SUBSTITUTE(MID(SUBSTITUTE(INDEX($A$9:$A$2008,$W316),CHAR(10)," "),SEARCH("Folio",SUBSTITUTE(INDEX($A$9:$A$2008,$W316),CHAR(10)," "))+5,200),":","")),""))</f>
        <v/>
      </c>
      <c r="AB316" s="28">
        <f>IF($W316="","",IF(ISNUMBER(INDEX($D$9:$D$2008,$W316)),INDEX($D$9:$D$2008,$W316),IFERROR(DATE(2000+VALUE(RIGHT(INDEX($D$9:$D$2008,$W316),2)),VALUE(MID(INDEX($D$9:$D$2008,$W316),4,2)),VALUE(LEFT(INDEX($D$9:$D$2008,$W316),2))),"")))</f>
        <v/>
      </c>
      <c r="AC316" s="29">
        <f>IF($W316="","",IFERROR(IF(ISNUMBER(INDEX($E$9:$E$2008,$W316)),INDEX($E$9:$E$2008,$W316),VALUE(SUBSTITUTE(INDEX($E$9:$E$2008,$W316),",",""))),""))</f>
        <v/>
      </c>
      <c r="AD316" s="29">
        <f>IF($W316="","",IFERROR(IF(ISNUMBER(INDEX($F$9:$F$2008,$W316)),INDEX($F$9:$F$2008,$W316),VALUE(SUBSTITUTE(INDEX($F$9:$F$2008,$W316),",",""))),""))</f>
        <v/>
      </c>
      <c r="AE316" s="29">
        <f>IF($W316="","",IFERROR(IF(ISNUMBER(INDEX($G$9:$G$2008,$W316)),INDEX($G$9:$G$2008,$W316),VALUE(SUBSTITUTE(INDEX($G$9:$G$2008,$W316),",",""))),""))</f>
        <v/>
      </c>
      <c r="AF316" s="29">
        <f>IF($W316="","",IFERROR(IF(ISNUMBER(INDEX($H$9:$H$2008,$W316)),INDEX($H$9:$H$2008,$W316),VALUE(SUBSTITUTE(INDEX($H$9:$H$2008,$W316),",",""))),""))</f>
        <v/>
      </c>
      <c r="AG316" s="29">
        <f>IF($W316="","",IFERROR(IF(ISNUMBER(INDEX($I$9:$I$2008,$W316)),INDEX($I$9:$I$2008,$W316),VALUE(SUBSTITUTE(INDEX($I$9:$I$2008,$W316),",",""))),""))</f>
        <v/>
      </c>
      <c r="AH316" s="29">
        <f>IF($W316="","",IFERROR(IF(ISNUMBER(INDEX($J$9:$J$2008,$W316)),INDEX($J$9:$J$2008,$W316),VALUE(SUBSTITUTE(INDEX($J$9:$J$2008,$W316),",",""))),""))</f>
        <v/>
      </c>
      <c r="AI316" s="29">
        <f>IF($W316="","",IFERROR(IF(ISNUMBER(INDEX($K$9:$K$2008,$W316)),INDEX($K$9:$K$2008,$W316),VALUE(SUBSTITUTE(INDEX($K$9:$K$2008,$W316),",",""))),""))</f>
        <v/>
      </c>
      <c r="AJ316" s="30">
        <f>IF($W316="","",IFERROR(IF(ISNUMBER(INDEX($L$9:$L$2008,$W316)),INDEX($L$9:$L$2008,$W316),VALUE(SUBSTITUTE(INDEX($L$9:$L$2008,$W316),",",""))),""))</f>
        <v/>
      </c>
      <c r="AK316" s="30">
        <f>IF($W316="","",IFERROR(IF(ISNUMBER(INDEX($M$9:$M$2008,$W316)),INDEX($M$9:$M$2008,$W316),VALUE(SUBSTITUTE(INDEX($M$9:$M$2008,$W316),",",""))),""))</f>
        <v/>
      </c>
      <c r="AL316" s="31">
        <f>IF($W316="","",IFERROR(IF(ISNUMBER(INDEX($P$9:$P$2008,$W316)),INDEX($P$9:$P$2008,$W316),VALUE(SUBSTITUTE(INDEX($P$9:$P$2008,$W316),"%",""))/100),""))</f>
        <v/>
      </c>
    </row>
    <row r="317">
      <c r="S317">
        <f>IF(AND(ISTEXT($A317),ISNUMBER(SEARCH(" - ",$A317)),ISERROR(SEARCH("Folio",$A317)),$D317=""),TRIM($A317),$S316)</f>
        <v/>
      </c>
      <c r="T317">
        <f>IF(AND(ISNUMBER(SEARCH("Folio",$A317)),$D317&lt;&gt;""),1,"")</f>
        <v/>
      </c>
      <c r="U317">
        <f>IF($T317=1,COUNTIF($T$9:$T317,1),"")</f>
        <v/>
      </c>
      <c r="V317">
        <f>IF(AND(ISTEXT($A317),LEFT($A318,3)="Pan"),1,"")</f>
        <v/>
      </c>
      <c r="W317" s="21">
        <f>IFERROR(MATCH(309,$U$9:$U$2008,0),"")</f>
        <v/>
      </c>
      <c r="X317" s="22">
        <f>IF($W317="","",IF($R$5&lt;&gt;"",$R$5,$R$6))</f>
        <v/>
      </c>
      <c r="Y317" s="22">
        <f>IF($W317="","",INDEX($S$9:$S$2008,$W317))</f>
        <v/>
      </c>
      <c r="Z317" s="22">
        <f>IF($W317="","",IFERROR(TRIM(LEFT(SUBSTITUTE(INDEX($A$9:$A$2008,$W317),CHAR(10)," "),SEARCH("Folio",SUBSTITUTE(INDEX($A$9:$A$2008,$W317),CHAR(10)," "))-1)),TRIM(SUBSTITUTE(INDEX($A$9:$A$2008,$W317),CHAR(10)," "))))</f>
        <v/>
      </c>
      <c r="AA317" s="22">
        <f>IF($W317="","",IFERROR(TRIM(SUBSTITUTE(MID(SUBSTITUTE(INDEX($A$9:$A$2008,$W317),CHAR(10)," "),SEARCH("Folio",SUBSTITUTE(INDEX($A$9:$A$2008,$W317),CHAR(10)," "))+5,200),":","")),""))</f>
        <v/>
      </c>
      <c r="AB317" s="23">
        <f>IF($W317="","",IF(ISNUMBER(INDEX($D$9:$D$2008,$W317)),INDEX($D$9:$D$2008,$W317),IFERROR(DATE(2000+VALUE(RIGHT(INDEX($D$9:$D$2008,$W317),2)),VALUE(MID(INDEX($D$9:$D$2008,$W317),4,2)),VALUE(LEFT(INDEX($D$9:$D$2008,$W317),2))),"")))</f>
        <v/>
      </c>
      <c r="AC317" s="24">
        <f>IF($W317="","",IFERROR(IF(ISNUMBER(INDEX($E$9:$E$2008,$W317)),INDEX($E$9:$E$2008,$W317),VALUE(SUBSTITUTE(INDEX($E$9:$E$2008,$W317),",",""))),""))</f>
        <v/>
      </c>
      <c r="AD317" s="24">
        <f>IF($W317="","",IFERROR(IF(ISNUMBER(INDEX($F$9:$F$2008,$W317)),INDEX($F$9:$F$2008,$W317),VALUE(SUBSTITUTE(INDEX($F$9:$F$2008,$W317),",",""))),""))</f>
        <v/>
      </c>
      <c r="AE317" s="24">
        <f>IF($W317="","",IFERROR(IF(ISNUMBER(INDEX($G$9:$G$2008,$W317)),INDEX($G$9:$G$2008,$W317),VALUE(SUBSTITUTE(INDEX($G$9:$G$2008,$W317),",",""))),""))</f>
        <v/>
      </c>
      <c r="AF317" s="24">
        <f>IF($W317="","",IFERROR(IF(ISNUMBER(INDEX($H$9:$H$2008,$W317)),INDEX($H$9:$H$2008,$W317),VALUE(SUBSTITUTE(INDEX($H$9:$H$2008,$W317),",",""))),""))</f>
        <v/>
      </c>
      <c r="AG317" s="24">
        <f>IF($W317="","",IFERROR(IF(ISNUMBER(INDEX($I$9:$I$2008,$W317)),INDEX($I$9:$I$2008,$W317),VALUE(SUBSTITUTE(INDEX($I$9:$I$2008,$W317),",",""))),""))</f>
        <v/>
      </c>
      <c r="AH317" s="24">
        <f>IF($W317="","",IFERROR(IF(ISNUMBER(INDEX($J$9:$J$2008,$W317)),INDEX($J$9:$J$2008,$W317),VALUE(SUBSTITUTE(INDEX($J$9:$J$2008,$W317),",",""))),""))</f>
        <v/>
      </c>
      <c r="AI317" s="24">
        <f>IF($W317="","",IFERROR(IF(ISNUMBER(INDEX($K$9:$K$2008,$W317)),INDEX($K$9:$K$2008,$W317),VALUE(SUBSTITUTE(INDEX($K$9:$K$2008,$W317),",",""))),""))</f>
        <v/>
      </c>
      <c r="AJ317" s="25">
        <f>IF($W317="","",IFERROR(IF(ISNUMBER(INDEX($L$9:$L$2008,$W317)),INDEX($L$9:$L$2008,$W317),VALUE(SUBSTITUTE(INDEX($L$9:$L$2008,$W317),",",""))),""))</f>
        <v/>
      </c>
      <c r="AK317" s="25">
        <f>IF($W317="","",IFERROR(IF(ISNUMBER(INDEX($M$9:$M$2008,$W317)),INDEX($M$9:$M$2008,$W317),VALUE(SUBSTITUTE(INDEX($M$9:$M$2008,$W317),",",""))),""))</f>
        <v/>
      </c>
      <c r="AL317" s="26">
        <f>IF($W317="","",IFERROR(IF(ISNUMBER(INDEX($P$9:$P$2008,$W317)),INDEX($P$9:$P$2008,$W317),VALUE(SUBSTITUTE(INDEX($P$9:$P$2008,$W317),"%",""))/100),""))</f>
        <v/>
      </c>
    </row>
    <row r="318">
      <c r="S318">
        <f>IF(AND(ISTEXT($A318),ISNUMBER(SEARCH(" - ",$A318)),ISERROR(SEARCH("Folio",$A318)),$D318=""),TRIM($A318),$S317)</f>
        <v/>
      </c>
      <c r="T318">
        <f>IF(AND(ISNUMBER(SEARCH("Folio",$A318)),$D318&lt;&gt;""),1,"")</f>
        <v/>
      </c>
      <c r="U318">
        <f>IF($T318=1,COUNTIF($T$9:$T318,1),"")</f>
        <v/>
      </c>
      <c r="V318">
        <f>IF(AND(ISTEXT($A318),LEFT($A319,3)="Pan"),1,"")</f>
        <v/>
      </c>
      <c r="W318" s="21">
        <f>IFERROR(MATCH(310,$U$9:$U$2008,0),"")</f>
        <v/>
      </c>
      <c r="X318" s="27">
        <f>IF($W318="","",IF($R$5&lt;&gt;"",$R$5,$R$6))</f>
        <v/>
      </c>
      <c r="Y318" s="27">
        <f>IF($W318="","",INDEX($S$9:$S$2008,$W318))</f>
        <v/>
      </c>
      <c r="Z318" s="27">
        <f>IF($W318="","",IFERROR(TRIM(LEFT(SUBSTITUTE(INDEX($A$9:$A$2008,$W318),CHAR(10)," "),SEARCH("Folio",SUBSTITUTE(INDEX($A$9:$A$2008,$W318),CHAR(10)," "))-1)),TRIM(SUBSTITUTE(INDEX($A$9:$A$2008,$W318),CHAR(10)," "))))</f>
        <v/>
      </c>
      <c r="AA318" s="27">
        <f>IF($W318="","",IFERROR(TRIM(SUBSTITUTE(MID(SUBSTITUTE(INDEX($A$9:$A$2008,$W318),CHAR(10)," "),SEARCH("Folio",SUBSTITUTE(INDEX($A$9:$A$2008,$W318),CHAR(10)," "))+5,200),":","")),""))</f>
        <v/>
      </c>
      <c r="AB318" s="28">
        <f>IF($W318="","",IF(ISNUMBER(INDEX($D$9:$D$2008,$W318)),INDEX($D$9:$D$2008,$W318),IFERROR(DATE(2000+VALUE(RIGHT(INDEX($D$9:$D$2008,$W318),2)),VALUE(MID(INDEX($D$9:$D$2008,$W318),4,2)),VALUE(LEFT(INDEX($D$9:$D$2008,$W318),2))),"")))</f>
        <v/>
      </c>
      <c r="AC318" s="29">
        <f>IF($W318="","",IFERROR(IF(ISNUMBER(INDEX($E$9:$E$2008,$W318)),INDEX($E$9:$E$2008,$W318),VALUE(SUBSTITUTE(INDEX($E$9:$E$2008,$W318),",",""))),""))</f>
        <v/>
      </c>
      <c r="AD318" s="29">
        <f>IF($W318="","",IFERROR(IF(ISNUMBER(INDEX($F$9:$F$2008,$W318)),INDEX($F$9:$F$2008,$W318),VALUE(SUBSTITUTE(INDEX($F$9:$F$2008,$W318),",",""))),""))</f>
        <v/>
      </c>
      <c r="AE318" s="29">
        <f>IF($W318="","",IFERROR(IF(ISNUMBER(INDEX($G$9:$G$2008,$W318)),INDEX($G$9:$G$2008,$W318),VALUE(SUBSTITUTE(INDEX($G$9:$G$2008,$W318),",",""))),""))</f>
        <v/>
      </c>
      <c r="AF318" s="29">
        <f>IF($W318="","",IFERROR(IF(ISNUMBER(INDEX($H$9:$H$2008,$W318)),INDEX($H$9:$H$2008,$W318),VALUE(SUBSTITUTE(INDEX($H$9:$H$2008,$W318),",",""))),""))</f>
        <v/>
      </c>
      <c r="AG318" s="29">
        <f>IF($W318="","",IFERROR(IF(ISNUMBER(INDEX($I$9:$I$2008,$W318)),INDEX($I$9:$I$2008,$W318),VALUE(SUBSTITUTE(INDEX($I$9:$I$2008,$W318),",",""))),""))</f>
        <v/>
      </c>
      <c r="AH318" s="29">
        <f>IF($W318="","",IFERROR(IF(ISNUMBER(INDEX($J$9:$J$2008,$W318)),INDEX($J$9:$J$2008,$W318),VALUE(SUBSTITUTE(INDEX($J$9:$J$2008,$W318),",",""))),""))</f>
        <v/>
      </c>
      <c r="AI318" s="29">
        <f>IF($W318="","",IFERROR(IF(ISNUMBER(INDEX($K$9:$K$2008,$W318)),INDEX($K$9:$K$2008,$W318),VALUE(SUBSTITUTE(INDEX($K$9:$K$2008,$W318),",",""))),""))</f>
        <v/>
      </c>
      <c r="AJ318" s="30">
        <f>IF($W318="","",IFERROR(IF(ISNUMBER(INDEX($L$9:$L$2008,$W318)),INDEX($L$9:$L$2008,$W318),VALUE(SUBSTITUTE(INDEX($L$9:$L$2008,$W318),",",""))),""))</f>
        <v/>
      </c>
      <c r="AK318" s="30">
        <f>IF($W318="","",IFERROR(IF(ISNUMBER(INDEX($M$9:$M$2008,$W318)),INDEX($M$9:$M$2008,$W318),VALUE(SUBSTITUTE(INDEX($M$9:$M$2008,$W318),",",""))),""))</f>
        <v/>
      </c>
      <c r="AL318" s="31">
        <f>IF($W318="","",IFERROR(IF(ISNUMBER(INDEX($P$9:$P$2008,$W318)),INDEX($P$9:$P$2008,$W318),VALUE(SUBSTITUTE(INDEX($P$9:$P$2008,$W318),"%",""))/100),""))</f>
        <v/>
      </c>
    </row>
    <row r="319">
      <c r="S319">
        <f>IF(AND(ISTEXT($A319),ISNUMBER(SEARCH(" - ",$A319)),ISERROR(SEARCH("Folio",$A319)),$D319=""),TRIM($A319),$S318)</f>
        <v/>
      </c>
      <c r="T319">
        <f>IF(AND(ISNUMBER(SEARCH("Folio",$A319)),$D319&lt;&gt;""),1,"")</f>
        <v/>
      </c>
      <c r="U319">
        <f>IF($T319=1,COUNTIF($T$9:$T319,1),"")</f>
        <v/>
      </c>
      <c r="V319">
        <f>IF(AND(ISTEXT($A319),LEFT($A320,3)="Pan"),1,"")</f>
        <v/>
      </c>
      <c r="W319" s="21">
        <f>IFERROR(MATCH(311,$U$9:$U$2008,0),"")</f>
        <v/>
      </c>
      <c r="X319" s="22">
        <f>IF($W319="","",IF($R$5&lt;&gt;"",$R$5,$R$6))</f>
        <v/>
      </c>
      <c r="Y319" s="22">
        <f>IF($W319="","",INDEX($S$9:$S$2008,$W319))</f>
        <v/>
      </c>
      <c r="Z319" s="22">
        <f>IF($W319="","",IFERROR(TRIM(LEFT(SUBSTITUTE(INDEX($A$9:$A$2008,$W319),CHAR(10)," "),SEARCH("Folio",SUBSTITUTE(INDEX($A$9:$A$2008,$W319),CHAR(10)," "))-1)),TRIM(SUBSTITUTE(INDEX($A$9:$A$2008,$W319),CHAR(10)," "))))</f>
        <v/>
      </c>
      <c r="AA319" s="22">
        <f>IF($W319="","",IFERROR(TRIM(SUBSTITUTE(MID(SUBSTITUTE(INDEX($A$9:$A$2008,$W319),CHAR(10)," "),SEARCH("Folio",SUBSTITUTE(INDEX($A$9:$A$2008,$W319),CHAR(10)," "))+5,200),":","")),""))</f>
        <v/>
      </c>
      <c r="AB319" s="23">
        <f>IF($W319="","",IF(ISNUMBER(INDEX($D$9:$D$2008,$W319)),INDEX($D$9:$D$2008,$W319),IFERROR(DATE(2000+VALUE(RIGHT(INDEX($D$9:$D$2008,$W319),2)),VALUE(MID(INDEX($D$9:$D$2008,$W319),4,2)),VALUE(LEFT(INDEX($D$9:$D$2008,$W319),2))),"")))</f>
        <v/>
      </c>
      <c r="AC319" s="24">
        <f>IF($W319="","",IFERROR(IF(ISNUMBER(INDEX($E$9:$E$2008,$W319)),INDEX($E$9:$E$2008,$W319),VALUE(SUBSTITUTE(INDEX($E$9:$E$2008,$W319),",",""))),""))</f>
        <v/>
      </c>
      <c r="AD319" s="24">
        <f>IF($W319="","",IFERROR(IF(ISNUMBER(INDEX($F$9:$F$2008,$W319)),INDEX($F$9:$F$2008,$W319),VALUE(SUBSTITUTE(INDEX($F$9:$F$2008,$W319),",",""))),""))</f>
        <v/>
      </c>
      <c r="AE319" s="24">
        <f>IF($W319="","",IFERROR(IF(ISNUMBER(INDEX($G$9:$G$2008,$W319)),INDEX($G$9:$G$2008,$W319),VALUE(SUBSTITUTE(INDEX($G$9:$G$2008,$W319),",",""))),""))</f>
        <v/>
      </c>
      <c r="AF319" s="24">
        <f>IF($W319="","",IFERROR(IF(ISNUMBER(INDEX($H$9:$H$2008,$W319)),INDEX($H$9:$H$2008,$W319),VALUE(SUBSTITUTE(INDEX($H$9:$H$2008,$W319),",",""))),""))</f>
        <v/>
      </c>
      <c r="AG319" s="24">
        <f>IF($W319="","",IFERROR(IF(ISNUMBER(INDEX($I$9:$I$2008,$W319)),INDEX($I$9:$I$2008,$W319),VALUE(SUBSTITUTE(INDEX($I$9:$I$2008,$W319),",",""))),""))</f>
        <v/>
      </c>
      <c r="AH319" s="24">
        <f>IF($W319="","",IFERROR(IF(ISNUMBER(INDEX($J$9:$J$2008,$W319)),INDEX($J$9:$J$2008,$W319),VALUE(SUBSTITUTE(INDEX($J$9:$J$2008,$W319),",",""))),""))</f>
        <v/>
      </c>
      <c r="AI319" s="24">
        <f>IF($W319="","",IFERROR(IF(ISNUMBER(INDEX($K$9:$K$2008,$W319)),INDEX($K$9:$K$2008,$W319),VALUE(SUBSTITUTE(INDEX($K$9:$K$2008,$W319),",",""))),""))</f>
        <v/>
      </c>
      <c r="AJ319" s="25">
        <f>IF($W319="","",IFERROR(IF(ISNUMBER(INDEX($L$9:$L$2008,$W319)),INDEX($L$9:$L$2008,$W319),VALUE(SUBSTITUTE(INDEX($L$9:$L$2008,$W319),",",""))),""))</f>
        <v/>
      </c>
      <c r="AK319" s="25">
        <f>IF($W319="","",IFERROR(IF(ISNUMBER(INDEX($M$9:$M$2008,$W319)),INDEX($M$9:$M$2008,$W319),VALUE(SUBSTITUTE(INDEX($M$9:$M$2008,$W319),",",""))),""))</f>
        <v/>
      </c>
      <c r="AL319" s="26">
        <f>IF($W319="","",IFERROR(IF(ISNUMBER(INDEX($P$9:$P$2008,$W319)),INDEX($P$9:$P$2008,$W319),VALUE(SUBSTITUTE(INDEX($P$9:$P$2008,$W319),"%",""))/100),""))</f>
        <v/>
      </c>
    </row>
    <row r="320">
      <c r="S320">
        <f>IF(AND(ISTEXT($A320),ISNUMBER(SEARCH(" - ",$A320)),ISERROR(SEARCH("Folio",$A320)),$D320=""),TRIM($A320),$S319)</f>
        <v/>
      </c>
      <c r="T320">
        <f>IF(AND(ISNUMBER(SEARCH("Folio",$A320)),$D320&lt;&gt;""),1,"")</f>
        <v/>
      </c>
      <c r="U320">
        <f>IF($T320=1,COUNTIF($T$9:$T320,1),"")</f>
        <v/>
      </c>
      <c r="V320">
        <f>IF(AND(ISTEXT($A320),LEFT($A321,3)="Pan"),1,"")</f>
        <v/>
      </c>
      <c r="W320" s="21">
        <f>IFERROR(MATCH(312,$U$9:$U$2008,0),"")</f>
        <v/>
      </c>
      <c r="X320" s="27">
        <f>IF($W320="","",IF($R$5&lt;&gt;"",$R$5,$R$6))</f>
        <v/>
      </c>
      <c r="Y320" s="27">
        <f>IF($W320="","",INDEX($S$9:$S$2008,$W320))</f>
        <v/>
      </c>
      <c r="Z320" s="27">
        <f>IF($W320="","",IFERROR(TRIM(LEFT(SUBSTITUTE(INDEX($A$9:$A$2008,$W320),CHAR(10)," "),SEARCH("Folio",SUBSTITUTE(INDEX($A$9:$A$2008,$W320),CHAR(10)," "))-1)),TRIM(SUBSTITUTE(INDEX($A$9:$A$2008,$W320),CHAR(10)," "))))</f>
        <v/>
      </c>
      <c r="AA320" s="27">
        <f>IF($W320="","",IFERROR(TRIM(SUBSTITUTE(MID(SUBSTITUTE(INDEX($A$9:$A$2008,$W320),CHAR(10)," "),SEARCH("Folio",SUBSTITUTE(INDEX($A$9:$A$2008,$W320),CHAR(10)," "))+5,200),":","")),""))</f>
        <v/>
      </c>
      <c r="AB320" s="28">
        <f>IF($W320="","",IF(ISNUMBER(INDEX($D$9:$D$2008,$W320)),INDEX($D$9:$D$2008,$W320),IFERROR(DATE(2000+VALUE(RIGHT(INDEX($D$9:$D$2008,$W320),2)),VALUE(MID(INDEX($D$9:$D$2008,$W320),4,2)),VALUE(LEFT(INDEX($D$9:$D$2008,$W320),2))),"")))</f>
        <v/>
      </c>
      <c r="AC320" s="29">
        <f>IF($W320="","",IFERROR(IF(ISNUMBER(INDEX($E$9:$E$2008,$W320)),INDEX($E$9:$E$2008,$W320),VALUE(SUBSTITUTE(INDEX($E$9:$E$2008,$W320),",",""))),""))</f>
        <v/>
      </c>
      <c r="AD320" s="29">
        <f>IF($W320="","",IFERROR(IF(ISNUMBER(INDEX($F$9:$F$2008,$W320)),INDEX($F$9:$F$2008,$W320),VALUE(SUBSTITUTE(INDEX($F$9:$F$2008,$W320),",",""))),""))</f>
        <v/>
      </c>
      <c r="AE320" s="29">
        <f>IF($W320="","",IFERROR(IF(ISNUMBER(INDEX($G$9:$G$2008,$W320)),INDEX($G$9:$G$2008,$W320),VALUE(SUBSTITUTE(INDEX($G$9:$G$2008,$W320),",",""))),""))</f>
        <v/>
      </c>
      <c r="AF320" s="29">
        <f>IF($W320="","",IFERROR(IF(ISNUMBER(INDEX($H$9:$H$2008,$W320)),INDEX($H$9:$H$2008,$W320),VALUE(SUBSTITUTE(INDEX($H$9:$H$2008,$W320),",",""))),""))</f>
        <v/>
      </c>
      <c r="AG320" s="29">
        <f>IF($W320="","",IFERROR(IF(ISNUMBER(INDEX($I$9:$I$2008,$W320)),INDEX($I$9:$I$2008,$W320),VALUE(SUBSTITUTE(INDEX($I$9:$I$2008,$W320),",",""))),""))</f>
        <v/>
      </c>
      <c r="AH320" s="29">
        <f>IF($W320="","",IFERROR(IF(ISNUMBER(INDEX($J$9:$J$2008,$W320)),INDEX($J$9:$J$2008,$W320),VALUE(SUBSTITUTE(INDEX($J$9:$J$2008,$W320),",",""))),""))</f>
        <v/>
      </c>
      <c r="AI320" s="29">
        <f>IF($W320="","",IFERROR(IF(ISNUMBER(INDEX($K$9:$K$2008,$W320)),INDEX($K$9:$K$2008,$W320),VALUE(SUBSTITUTE(INDEX($K$9:$K$2008,$W320),",",""))),""))</f>
        <v/>
      </c>
      <c r="AJ320" s="30">
        <f>IF($W320="","",IFERROR(IF(ISNUMBER(INDEX($L$9:$L$2008,$W320)),INDEX($L$9:$L$2008,$W320),VALUE(SUBSTITUTE(INDEX($L$9:$L$2008,$W320),",",""))),""))</f>
        <v/>
      </c>
      <c r="AK320" s="30">
        <f>IF($W320="","",IFERROR(IF(ISNUMBER(INDEX($M$9:$M$2008,$W320)),INDEX($M$9:$M$2008,$W320),VALUE(SUBSTITUTE(INDEX($M$9:$M$2008,$W320),",",""))),""))</f>
        <v/>
      </c>
      <c r="AL320" s="31">
        <f>IF($W320="","",IFERROR(IF(ISNUMBER(INDEX($P$9:$P$2008,$W320)),INDEX($P$9:$P$2008,$W320),VALUE(SUBSTITUTE(INDEX($P$9:$P$2008,$W320),"%",""))/100),""))</f>
        <v/>
      </c>
    </row>
    <row r="321">
      <c r="S321">
        <f>IF(AND(ISTEXT($A321),ISNUMBER(SEARCH(" - ",$A321)),ISERROR(SEARCH("Folio",$A321)),$D321=""),TRIM($A321),$S320)</f>
        <v/>
      </c>
      <c r="T321">
        <f>IF(AND(ISNUMBER(SEARCH("Folio",$A321)),$D321&lt;&gt;""),1,"")</f>
        <v/>
      </c>
      <c r="U321">
        <f>IF($T321=1,COUNTIF($T$9:$T321,1),"")</f>
        <v/>
      </c>
      <c r="V321">
        <f>IF(AND(ISTEXT($A321),LEFT($A322,3)="Pan"),1,"")</f>
        <v/>
      </c>
      <c r="W321" s="21">
        <f>IFERROR(MATCH(313,$U$9:$U$2008,0),"")</f>
        <v/>
      </c>
      <c r="X321" s="22">
        <f>IF($W321="","",IF($R$5&lt;&gt;"",$R$5,$R$6))</f>
        <v/>
      </c>
      <c r="Y321" s="22">
        <f>IF($W321="","",INDEX($S$9:$S$2008,$W321))</f>
        <v/>
      </c>
      <c r="Z321" s="22">
        <f>IF($W321="","",IFERROR(TRIM(LEFT(SUBSTITUTE(INDEX($A$9:$A$2008,$W321),CHAR(10)," "),SEARCH("Folio",SUBSTITUTE(INDEX($A$9:$A$2008,$W321),CHAR(10)," "))-1)),TRIM(SUBSTITUTE(INDEX($A$9:$A$2008,$W321),CHAR(10)," "))))</f>
        <v/>
      </c>
      <c r="AA321" s="22">
        <f>IF($W321="","",IFERROR(TRIM(SUBSTITUTE(MID(SUBSTITUTE(INDEX($A$9:$A$2008,$W321),CHAR(10)," "),SEARCH("Folio",SUBSTITUTE(INDEX($A$9:$A$2008,$W321),CHAR(10)," "))+5,200),":","")),""))</f>
        <v/>
      </c>
      <c r="AB321" s="23">
        <f>IF($W321="","",IF(ISNUMBER(INDEX($D$9:$D$2008,$W321)),INDEX($D$9:$D$2008,$W321),IFERROR(DATE(2000+VALUE(RIGHT(INDEX($D$9:$D$2008,$W321),2)),VALUE(MID(INDEX($D$9:$D$2008,$W321),4,2)),VALUE(LEFT(INDEX($D$9:$D$2008,$W321),2))),"")))</f>
        <v/>
      </c>
      <c r="AC321" s="24">
        <f>IF($W321="","",IFERROR(IF(ISNUMBER(INDEX($E$9:$E$2008,$W321)),INDEX($E$9:$E$2008,$W321),VALUE(SUBSTITUTE(INDEX($E$9:$E$2008,$W321),",",""))),""))</f>
        <v/>
      </c>
      <c r="AD321" s="24">
        <f>IF($W321="","",IFERROR(IF(ISNUMBER(INDEX($F$9:$F$2008,$W321)),INDEX($F$9:$F$2008,$W321),VALUE(SUBSTITUTE(INDEX($F$9:$F$2008,$W321),",",""))),""))</f>
        <v/>
      </c>
      <c r="AE321" s="24">
        <f>IF($W321="","",IFERROR(IF(ISNUMBER(INDEX($G$9:$G$2008,$W321)),INDEX($G$9:$G$2008,$W321),VALUE(SUBSTITUTE(INDEX($G$9:$G$2008,$W321),",",""))),""))</f>
        <v/>
      </c>
      <c r="AF321" s="24">
        <f>IF($W321="","",IFERROR(IF(ISNUMBER(INDEX($H$9:$H$2008,$W321)),INDEX($H$9:$H$2008,$W321),VALUE(SUBSTITUTE(INDEX($H$9:$H$2008,$W321),",",""))),""))</f>
        <v/>
      </c>
      <c r="AG321" s="24">
        <f>IF($W321="","",IFERROR(IF(ISNUMBER(INDEX($I$9:$I$2008,$W321)),INDEX($I$9:$I$2008,$W321),VALUE(SUBSTITUTE(INDEX($I$9:$I$2008,$W321),",",""))),""))</f>
        <v/>
      </c>
      <c r="AH321" s="24">
        <f>IF($W321="","",IFERROR(IF(ISNUMBER(INDEX($J$9:$J$2008,$W321)),INDEX($J$9:$J$2008,$W321),VALUE(SUBSTITUTE(INDEX($J$9:$J$2008,$W321),",",""))),""))</f>
        <v/>
      </c>
      <c r="AI321" s="24">
        <f>IF($W321="","",IFERROR(IF(ISNUMBER(INDEX($K$9:$K$2008,$W321)),INDEX($K$9:$K$2008,$W321),VALUE(SUBSTITUTE(INDEX($K$9:$K$2008,$W321),",",""))),""))</f>
        <v/>
      </c>
      <c r="AJ321" s="25">
        <f>IF($W321="","",IFERROR(IF(ISNUMBER(INDEX($L$9:$L$2008,$W321)),INDEX($L$9:$L$2008,$W321),VALUE(SUBSTITUTE(INDEX($L$9:$L$2008,$W321),",",""))),""))</f>
        <v/>
      </c>
      <c r="AK321" s="25">
        <f>IF($W321="","",IFERROR(IF(ISNUMBER(INDEX($M$9:$M$2008,$W321)),INDEX($M$9:$M$2008,$W321),VALUE(SUBSTITUTE(INDEX($M$9:$M$2008,$W321),",",""))),""))</f>
        <v/>
      </c>
      <c r="AL321" s="26">
        <f>IF($W321="","",IFERROR(IF(ISNUMBER(INDEX($P$9:$P$2008,$W321)),INDEX($P$9:$P$2008,$W321),VALUE(SUBSTITUTE(INDEX($P$9:$P$2008,$W321),"%",""))/100),""))</f>
        <v/>
      </c>
    </row>
    <row r="322">
      <c r="S322">
        <f>IF(AND(ISTEXT($A322),ISNUMBER(SEARCH(" - ",$A322)),ISERROR(SEARCH("Folio",$A322)),$D322=""),TRIM($A322),$S321)</f>
        <v/>
      </c>
      <c r="T322">
        <f>IF(AND(ISNUMBER(SEARCH("Folio",$A322)),$D322&lt;&gt;""),1,"")</f>
        <v/>
      </c>
      <c r="U322">
        <f>IF($T322=1,COUNTIF($T$9:$T322,1),"")</f>
        <v/>
      </c>
      <c r="V322">
        <f>IF(AND(ISTEXT($A322),LEFT($A323,3)="Pan"),1,"")</f>
        <v/>
      </c>
      <c r="W322" s="21">
        <f>IFERROR(MATCH(314,$U$9:$U$2008,0),"")</f>
        <v/>
      </c>
      <c r="X322" s="27">
        <f>IF($W322="","",IF($R$5&lt;&gt;"",$R$5,$R$6))</f>
        <v/>
      </c>
      <c r="Y322" s="27">
        <f>IF($W322="","",INDEX($S$9:$S$2008,$W322))</f>
        <v/>
      </c>
      <c r="Z322" s="27">
        <f>IF($W322="","",IFERROR(TRIM(LEFT(SUBSTITUTE(INDEX($A$9:$A$2008,$W322),CHAR(10)," "),SEARCH("Folio",SUBSTITUTE(INDEX($A$9:$A$2008,$W322),CHAR(10)," "))-1)),TRIM(SUBSTITUTE(INDEX($A$9:$A$2008,$W322),CHAR(10)," "))))</f>
        <v/>
      </c>
      <c r="AA322" s="27">
        <f>IF($W322="","",IFERROR(TRIM(SUBSTITUTE(MID(SUBSTITUTE(INDEX($A$9:$A$2008,$W322),CHAR(10)," "),SEARCH("Folio",SUBSTITUTE(INDEX($A$9:$A$2008,$W322),CHAR(10)," "))+5,200),":","")),""))</f>
        <v/>
      </c>
      <c r="AB322" s="28">
        <f>IF($W322="","",IF(ISNUMBER(INDEX($D$9:$D$2008,$W322)),INDEX($D$9:$D$2008,$W322),IFERROR(DATE(2000+VALUE(RIGHT(INDEX($D$9:$D$2008,$W322),2)),VALUE(MID(INDEX($D$9:$D$2008,$W322),4,2)),VALUE(LEFT(INDEX($D$9:$D$2008,$W322),2))),"")))</f>
        <v/>
      </c>
      <c r="AC322" s="29">
        <f>IF($W322="","",IFERROR(IF(ISNUMBER(INDEX($E$9:$E$2008,$W322)),INDEX($E$9:$E$2008,$W322),VALUE(SUBSTITUTE(INDEX($E$9:$E$2008,$W322),",",""))),""))</f>
        <v/>
      </c>
      <c r="AD322" s="29">
        <f>IF($W322="","",IFERROR(IF(ISNUMBER(INDEX($F$9:$F$2008,$W322)),INDEX($F$9:$F$2008,$W322),VALUE(SUBSTITUTE(INDEX($F$9:$F$2008,$W322),",",""))),""))</f>
        <v/>
      </c>
      <c r="AE322" s="29">
        <f>IF($W322="","",IFERROR(IF(ISNUMBER(INDEX($G$9:$G$2008,$W322)),INDEX($G$9:$G$2008,$W322),VALUE(SUBSTITUTE(INDEX($G$9:$G$2008,$W322),",",""))),""))</f>
        <v/>
      </c>
      <c r="AF322" s="29">
        <f>IF($W322="","",IFERROR(IF(ISNUMBER(INDEX($H$9:$H$2008,$W322)),INDEX($H$9:$H$2008,$W322),VALUE(SUBSTITUTE(INDEX($H$9:$H$2008,$W322),",",""))),""))</f>
        <v/>
      </c>
      <c r="AG322" s="29">
        <f>IF($W322="","",IFERROR(IF(ISNUMBER(INDEX($I$9:$I$2008,$W322)),INDEX($I$9:$I$2008,$W322),VALUE(SUBSTITUTE(INDEX($I$9:$I$2008,$W322),",",""))),""))</f>
        <v/>
      </c>
      <c r="AH322" s="29">
        <f>IF($W322="","",IFERROR(IF(ISNUMBER(INDEX($J$9:$J$2008,$W322)),INDEX($J$9:$J$2008,$W322),VALUE(SUBSTITUTE(INDEX($J$9:$J$2008,$W322),",",""))),""))</f>
        <v/>
      </c>
      <c r="AI322" s="29">
        <f>IF($W322="","",IFERROR(IF(ISNUMBER(INDEX($K$9:$K$2008,$W322)),INDEX($K$9:$K$2008,$W322),VALUE(SUBSTITUTE(INDEX($K$9:$K$2008,$W322),",",""))),""))</f>
        <v/>
      </c>
      <c r="AJ322" s="30">
        <f>IF($W322="","",IFERROR(IF(ISNUMBER(INDEX($L$9:$L$2008,$W322)),INDEX($L$9:$L$2008,$W322),VALUE(SUBSTITUTE(INDEX($L$9:$L$2008,$W322),",",""))),""))</f>
        <v/>
      </c>
      <c r="AK322" s="30">
        <f>IF($W322="","",IFERROR(IF(ISNUMBER(INDEX($M$9:$M$2008,$W322)),INDEX($M$9:$M$2008,$W322),VALUE(SUBSTITUTE(INDEX($M$9:$M$2008,$W322),",",""))),""))</f>
        <v/>
      </c>
      <c r="AL322" s="31">
        <f>IF($W322="","",IFERROR(IF(ISNUMBER(INDEX($P$9:$P$2008,$W322)),INDEX($P$9:$P$2008,$W322),VALUE(SUBSTITUTE(INDEX($P$9:$P$2008,$W322),"%",""))/100),""))</f>
        <v/>
      </c>
    </row>
    <row r="323">
      <c r="S323">
        <f>IF(AND(ISTEXT($A323),ISNUMBER(SEARCH(" - ",$A323)),ISERROR(SEARCH("Folio",$A323)),$D323=""),TRIM($A323),$S322)</f>
        <v/>
      </c>
      <c r="T323">
        <f>IF(AND(ISNUMBER(SEARCH("Folio",$A323)),$D323&lt;&gt;""),1,"")</f>
        <v/>
      </c>
      <c r="U323">
        <f>IF($T323=1,COUNTIF($T$9:$T323,1),"")</f>
        <v/>
      </c>
      <c r="V323">
        <f>IF(AND(ISTEXT($A323),LEFT($A324,3)="Pan"),1,"")</f>
        <v/>
      </c>
      <c r="W323" s="21">
        <f>IFERROR(MATCH(315,$U$9:$U$2008,0),"")</f>
        <v/>
      </c>
      <c r="X323" s="22">
        <f>IF($W323="","",IF($R$5&lt;&gt;"",$R$5,$R$6))</f>
        <v/>
      </c>
      <c r="Y323" s="22">
        <f>IF($W323="","",INDEX($S$9:$S$2008,$W323))</f>
        <v/>
      </c>
      <c r="Z323" s="22">
        <f>IF($W323="","",IFERROR(TRIM(LEFT(SUBSTITUTE(INDEX($A$9:$A$2008,$W323),CHAR(10)," "),SEARCH("Folio",SUBSTITUTE(INDEX($A$9:$A$2008,$W323),CHAR(10)," "))-1)),TRIM(SUBSTITUTE(INDEX($A$9:$A$2008,$W323),CHAR(10)," "))))</f>
        <v/>
      </c>
      <c r="AA323" s="22">
        <f>IF($W323="","",IFERROR(TRIM(SUBSTITUTE(MID(SUBSTITUTE(INDEX($A$9:$A$2008,$W323),CHAR(10)," "),SEARCH("Folio",SUBSTITUTE(INDEX($A$9:$A$2008,$W323),CHAR(10)," "))+5,200),":","")),""))</f>
        <v/>
      </c>
      <c r="AB323" s="23">
        <f>IF($W323="","",IF(ISNUMBER(INDEX($D$9:$D$2008,$W323)),INDEX($D$9:$D$2008,$W323),IFERROR(DATE(2000+VALUE(RIGHT(INDEX($D$9:$D$2008,$W323),2)),VALUE(MID(INDEX($D$9:$D$2008,$W323),4,2)),VALUE(LEFT(INDEX($D$9:$D$2008,$W323),2))),"")))</f>
        <v/>
      </c>
      <c r="AC323" s="24">
        <f>IF($W323="","",IFERROR(IF(ISNUMBER(INDEX($E$9:$E$2008,$W323)),INDEX($E$9:$E$2008,$W323),VALUE(SUBSTITUTE(INDEX($E$9:$E$2008,$W323),",",""))),""))</f>
        <v/>
      </c>
      <c r="AD323" s="24">
        <f>IF($W323="","",IFERROR(IF(ISNUMBER(INDEX($F$9:$F$2008,$W323)),INDEX($F$9:$F$2008,$W323),VALUE(SUBSTITUTE(INDEX($F$9:$F$2008,$W323),",",""))),""))</f>
        <v/>
      </c>
      <c r="AE323" s="24">
        <f>IF($W323="","",IFERROR(IF(ISNUMBER(INDEX($G$9:$G$2008,$W323)),INDEX($G$9:$G$2008,$W323),VALUE(SUBSTITUTE(INDEX($G$9:$G$2008,$W323),",",""))),""))</f>
        <v/>
      </c>
      <c r="AF323" s="24">
        <f>IF($W323="","",IFERROR(IF(ISNUMBER(INDEX($H$9:$H$2008,$W323)),INDEX($H$9:$H$2008,$W323),VALUE(SUBSTITUTE(INDEX($H$9:$H$2008,$W323),",",""))),""))</f>
        <v/>
      </c>
      <c r="AG323" s="24">
        <f>IF($W323="","",IFERROR(IF(ISNUMBER(INDEX($I$9:$I$2008,$W323)),INDEX($I$9:$I$2008,$W323),VALUE(SUBSTITUTE(INDEX($I$9:$I$2008,$W323),",",""))),""))</f>
        <v/>
      </c>
      <c r="AH323" s="24">
        <f>IF($W323="","",IFERROR(IF(ISNUMBER(INDEX($J$9:$J$2008,$W323)),INDEX($J$9:$J$2008,$W323),VALUE(SUBSTITUTE(INDEX($J$9:$J$2008,$W323),",",""))),""))</f>
        <v/>
      </c>
      <c r="AI323" s="24">
        <f>IF($W323="","",IFERROR(IF(ISNUMBER(INDEX($K$9:$K$2008,$W323)),INDEX($K$9:$K$2008,$W323),VALUE(SUBSTITUTE(INDEX($K$9:$K$2008,$W323),",",""))),""))</f>
        <v/>
      </c>
      <c r="AJ323" s="25">
        <f>IF($W323="","",IFERROR(IF(ISNUMBER(INDEX($L$9:$L$2008,$W323)),INDEX($L$9:$L$2008,$W323),VALUE(SUBSTITUTE(INDEX($L$9:$L$2008,$W323),",",""))),""))</f>
        <v/>
      </c>
      <c r="AK323" s="25">
        <f>IF($W323="","",IFERROR(IF(ISNUMBER(INDEX($M$9:$M$2008,$W323)),INDEX($M$9:$M$2008,$W323),VALUE(SUBSTITUTE(INDEX($M$9:$M$2008,$W323),",",""))),""))</f>
        <v/>
      </c>
      <c r="AL323" s="26">
        <f>IF($W323="","",IFERROR(IF(ISNUMBER(INDEX($P$9:$P$2008,$W323)),INDEX($P$9:$P$2008,$W323),VALUE(SUBSTITUTE(INDEX($P$9:$P$2008,$W323),"%",""))/100),""))</f>
        <v/>
      </c>
    </row>
    <row r="324">
      <c r="S324">
        <f>IF(AND(ISTEXT($A324),ISNUMBER(SEARCH(" - ",$A324)),ISERROR(SEARCH("Folio",$A324)),$D324=""),TRIM($A324),$S323)</f>
        <v/>
      </c>
      <c r="T324">
        <f>IF(AND(ISNUMBER(SEARCH("Folio",$A324)),$D324&lt;&gt;""),1,"")</f>
        <v/>
      </c>
      <c r="U324">
        <f>IF($T324=1,COUNTIF($T$9:$T324,1),"")</f>
        <v/>
      </c>
      <c r="V324">
        <f>IF(AND(ISTEXT($A324),LEFT($A325,3)="Pan"),1,"")</f>
        <v/>
      </c>
      <c r="W324" s="21">
        <f>IFERROR(MATCH(316,$U$9:$U$2008,0),"")</f>
        <v/>
      </c>
      <c r="X324" s="27">
        <f>IF($W324="","",IF($R$5&lt;&gt;"",$R$5,$R$6))</f>
        <v/>
      </c>
      <c r="Y324" s="27">
        <f>IF($W324="","",INDEX($S$9:$S$2008,$W324))</f>
        <v/>
      </c>
      <c r="Z324" s="27">
        <f>IF($W324="","",IFERROR(TRIM(LEFT(SUBSTITUTE(INDEX($A$9:$A$2008,$W324),CHAR(10)," "),SEARCH("Folio",SUBSTITUTE(INDEX($A$9:$A$2008,$W324),CHAR(10)," "))-1)),TRIM(SUBSTITUTE(INDEX($A$9:$A$2008,$W324),CHAR(10)," "))))</f>
        <v/>
      </c>
      <c r="AA324" s="27">
        <f>IF($W324="","",IFERROR(TRIM(SUBSTITUTE(MID(SUBSTITUTE(INDEX($A$9:$A$2008,$W324),CHAR(10)," "),SEARCH("Folio",SUBSTITUTE(INDEX($A$9:$A$2008,$W324),CHAR(10)," "))+5,200),":","")),""))</f>
        <v/>
      </c>
      <c r="AB324" s="28">
        <f>IF($W324="","",IF(ISNUMBER(INDEX($D$9:$D$2008,$W324)),INDEX($D$9:$D$2008,$W324),IFERROR(DATE(2000+VALUE(RIGHT(INDEX($D$9:$D$2008,$W324),2)),VALUE(MID(INDEX($D$9:$D$2008,$W324),4,2)),VALUE(LEFT(INDEX($D$9:$D$2008,$W324),2))),"")))</f>
        <v/>
      </c>
      <c r="AC324" s="29">
        <f>IF($W324="","",IFERROR(IF(ISNUMBER(INDEX($E$9:$E$2008,$W324)),INDEX($E$9:$E$2008,$W324),VALUE(SUBSTITUTE(INDEX($E$9:$E$2008,$W324),",",""))),""))</f>
        <v/>
      </c>
      <c r="AD324" s="29">
        <f>IF($W324="","",IFERROR(IF(ISNUMBER(INDEX($F$9:$F$2008,$W324)),INDEX($F$9:$F$2008,$W324),VALUE(SUBSTITUTE(INDEX($F$9:$F$2008,$W324),",",""))),""))</f>
        <v/>
      </c>
      <c r="AE324" s="29">
        <f>IF($W324="","",IFERROR(IF(ISNUMBER(INDEX($G$9:$G$2008,$W324)),INDEX($G$9:$G$2008,$W324),VALUE(SUBSTITUTE(INDEX($G$9:$G$2008,$W324),",",""))),""))</f>
        <v/>
      </c>
      <c r="AF324" s="29">
        <f>IF($W324="","",IFERROR(IF(ISNUMBER(INDEX($H$9:$H$2008,$W324)),INDEX($H$9:$H$2008,$W324),VALUE(SUBSTITUTE(INDEX($H$9:$H$2008,$W324),",",""))),""))</f>
        <v/>
      </c>
      <c r="AG324" s="29">
        <f>IF($W324="","",IFERROR(IF(ISNUMBER(INDEX($I$9:$I$2008,$W324)),INDEX($I$9:$I$2008,$W324),VALUE(SUBSTITUTE(INDEX($I$9:$I$2008,$W324),",",""))),""))</f>
        <v/>
      </c>
      <c r="AH324" s="29">
        <f>IF($W324="","",IFERROR(IF(ISNUMBER(INDEX($J$9:$J$2008,$W324)),INDEX($J$9:$J$2008,$W324),VALUE(SUBSTITUTE(INDEX($J$9:$J$2008,$W324),",",""))),""))</f>
        <v/>
      </c>
      <c r="AI324" s="29">
        <f>IF($W324="","",IFERROR(IF(ISNUMBER(INDEX($K$9:$K$2008,$W324)),INDEX($K$9:$K$2008,$W324),VALUE(SUBSTITUTE(INDEX($K$9:$K$2008,$W324),",",""))),""))</f>
        <v/>
      </c>
      <c r="AJ324" s="30">
        <f>IF($W324="","",IFERROR(IF(ISNUMBER(INDEX($L$9:$L$2008,$W324)),INDEX($L$9:$L$2008,$W324),VALUE(SUBSTITUTE(INDEX($L$9:$L$2008,$W324),",",""))),""))</f>
        <v/>
      </c>
      <c r="AK324" s="30">
        <f>IF($W324="","",IFERROR(IF(ISNUMBER(INDEX($M$9:$M$2008,$W324)),INDEX($M$9:$M$2008,$W324),VALUE(SUBSTITUTE(INDEX($M$9:$M$2008,$W324),",",""))),""))</f>
        <v/>
      </c>
      <c r="AL324" s="31">
        <f>IF($W324="","",IFERROR(IF(ISNUMBER(INDEX($P$9:$P$2008,$W324)),INDEX($P$9:$P$2008,$W324),VALUE(SUBSTITUTE(INDEX($P$9:$P$2008,$W324),"%",""))/100),""))</f>
        <v/>
      </c>
    </row>
    <row r="325">
      <c r="S325">
        <f>IF(AND(ISTEXT($A325),ISNUMBER(SEARCH(" - ",$A325)),ISERROR(SEARCH("Folio",$A325)),$D325=""),TRIM($A325),$S324)</f>
        <v/>
      </c>
      <c r="T325">
        <f>IF(AND(ISNUMBER(SEARCH("Folio",$A325)),$D325&lt;&gt;""),1,"")</f>
        <v/>
      </c>
      <c r="U325">
        <f>IF($T325=1,COUNTIF($T$9:$T325,1),"")</f>
        <v/>
      </c>
      <c r="V325">
        <f>IF(AND(ISTEXT($A325),LEFT($A326,3)="Pan"),1,"")</f>
        <v/>
      </c>
      <c r="W325" s="21">
        <f>IFERROR(MATCH(317,$U$9:$U$2008,0),"")</f>
        <v/>
      </c>
      <c r="X325" s="22">
        <f>IF($W325="","",IF($R$5&lt;&gt;"",$R$5,$R$6))</f>
        <v/>
      </c>
      <c r="Y325" s="22">
        <f>IF($W325="","",INDEX($S$9:$S$2008,$W325))</f>
        <v/>
      </c>
      <c r="Z325" s="22">
        <f>IF($W325="","",IFERROR(TRIM(LEFT(SUBSTITUTE(INDEX($A$9:$A$2008,$W325),CHAR(10)," "),SEARCH("Folio",SUBSTITUTE(INDEX($A$9:$A$2008,$W325),CHAR(10)," "))-1)),TRIM(SUBSTITUTE(INDEX($A$9:$A$2008,$W325),CHAR(10)," "))))</f>
        <v/>
      </c>
      <c r="AA325" s="22">
        <f>IF($W325="","",IFERROR(TRIM(SUBSTITUTE(MID(SUBSTITUTE(INDEX($A$9:$A$2008,$W325),CHAR(10)," "),SEARCH("Folio",SUBSTITUTE(INDEX($A$9:$A$2008,$W325),CHAR(10)," "))+5,200),":","")),""))</f>
        <v/>
      </c>
      <c r="AB325" s="23">
        <f>IF($W325="","",IF(ISNUMBER(INDEX($D$9:$D$2008,$W325)),INDEX($D$9:$D$2008,$W325),IFERROR(DATE(2000+VALUE(RIGHT(INDEX($D$9:$D$2008,$W325),2)),VALUE(MID(INDEX($D$9:$D$2008,$W325),4,2)),VALUE(LEFT(INDEX($D$9:$D$2008,$W325),2))),"")))</f>
        <v/>
      </c>
      <c r="AC325" s="24">
        <f>IF($W325="","",IFERROR(IF(ISNUMBER(INDEX($E$9:$E$2008,$W325)),INDEX($E$9:$E$2008,$W325),VALUE(SUBSTITUTE(INDEX($E$9:$E$2008,$W325),",",""))),""))</f>
        <v/>
      </c>
      <c r="AD325" s="24">
        <f>IF($W325="","",IFERROR(IF(ISNUMBER(INDEX($F$9:$F$2008,$W325)),INDEX($F$9:$F$2008,$W325),VALUE(SUBSTITUTE(INDEX($F$9:$F$2008,$W325),",",""))),""))</f>
        <v/>
      </c>
      <c r="AE325" s="24">
        <f>IF($W325="","",IFERROR(IF(ISNUMBER(INDEX($G$9:$G$2008,$W325)),INDEX($G$9:$G$2008,$W325),VALUE(SUBSTITUTE(INDEX($G$9:$G$2008,$W325),",",""))),""))</f>
        <v/>
      </c>
      <c r="AF325" s="24">
        <f>IF($W325="","",IFERROR(IF(ISNUMBER(INDEX($H$9:$H$2008,$W325)),INDEX($H$9:$H$2008,$W325),VALUE(SUBSTITUTE(INDEX($H$9:$H$2008,$W325),",",""))),""))</f>
        <v/>
      </c>
      <c r="AG325" s="24">
        <f>IF($W325="","",IFERROR(IF(ISNUMBER(INDEX($I$9:$I$2008,$W325)),INDEX($I$9:$I$2008,$W325),VALUE(SUBSTITUTE(INDEX($I$9:$I$2008,$W325),",",""))),""))</f>
        <v/>
      </c>
      <c r="AH325" s="24">
        <f>IF($W325="","",IFERROR(IF(ISNUMBER(INDEX($J$9:$J$2008,$W325)),INDEX($J$9:$J$2008,$W325),VALUE(SUBSTITUTE(INDEX($J$9:$J$2008,$W325),",",""))),""))</f>
        <v/>
      </c>
      <c r="AI325" s="24">
        <f>IF($W325="","",IFERROR(IF(ISNUMBER(INDEX($K$9:$K$2008,$W325)),INDEX($K$9:$K$2008,$W325),VALUE(SUBSTITUTE(INDEX($K$9:$K$2008,$W325),",",""))),""))</f>
        <v/>
      </c>
      <c r="AJ325" s="25">
        <f>IF($W325="","",IFERROR(IF(ISNUMBER(INDEX($L$9:$L$2008,$W325)),INDEX($L$9:$L$2008,$W325),VALUE(SUBSTITUTE(INDEX($L$9:$L$2008,$W325),",",""))),""))</f>
        <v/>
      </c>
      <c r="AK325" s="25">
        <f>IF($W325="","",IFERROR(IF(ISNUMBER(INDEX($M$9:$M$2008,$W325)),INDEX($M$9:$M$2008,$W325),VALUE(SUBSTITUTE(INDEX($M$9:$M$2008,$W325),",",""))),""))</f>
        <v/>
      </c>
      <c r="AL325" s="26">
        <f>IF($W325="","",IFERROR(IF(ISNUMBER(INDEX($P$9:$P$2008,$W325)),INDEX($P$9:$P$2008,$W325),VALUE(SUBSTITUTE(INDEX($P$9:$P$2008,$W325),"%",""))/100),""))</f>
        <v/>
      </c>
    </row>
    <row r="326">
      <c r="S326">
        <f>IF(AND(ISTEXT($A326),ISNUMBER(SEARCH(" - ",$A326)),ISERROR(SEARCH("Folio",$A326)),$D326=""),TRIM($A326),$S325)</f>
        <v/>
      </c>
      <c r="T326">
        <f>IF(AND(ISNUMBER(SEARCH("Folio",$A326)),$D326&lt;&gt;""),1,"")</f>
        <v/>
      </c>
      <c r="U326">
        <f>IF($T326=1,COUNTIF($T$9:$T326,1),"")</f>
        <v/>
      </c>
      <c r="V326">
        <f>IF(AND(ISTEXT($A326),LEFT($A327,3)="Pan"),1,"")</f>
        <v/>
      </c>
      <c r="W326" s="21">
        <f>IFERROR(MATCH(318,$U$9:$U$2008,0),"")</f>
        <v/>
      </c>
      <c r="X326" s="27">
        <f>IF($W326="","",IF($R$5&lt;&gt;"",$R$5,$R$6))</f>
        <v/>
      </c>
      <c r="Y326" s="27">
        <f>IF($W326="","",INDEX($S$9:$S$2008,$W326))</f>
        <v/>
      </c>
      <c r="Z326" s="27">
        <f>IF($W326="","",IFERROR(TRIM(LEFT(SUBSTITUTE(INDEX($A$9:$A$2008,$W326),CHAR(10)," "),SEARCH("Folio",SUBSTITUTE(INDEX($A$9:$A$2008,$W326),CHAR(10)," "))-1)),TRIM(SUBSTITUTE(INDEX($A$9:$A$2008,$W326),CHAR(10)," "))))</f>
        <v/>
      </c>
      <c r="AA326" s="27">
        <f>IF($W326="","",IFERROR(TRIM(SUBSTITUTE(MID(SUBSTITUTE(INDEX($A$9:$A$2008,$W326),CHAR(10)," "),SEARCH("Folio",SUBSTITUTE(INDEX($A$9:$A$2008,$W326),CHAR(10)," "))+5,200),":","")),""))</f>
        <v/>
      </c>
      <c r="AB326" s="28">
        <f>IF($W326="","",IF(ISNUMBER(INDEX($D$9:$D$2008,$W326)),INDEX($D$9:$D$2008,$W326),IFERROR(DATE(2000+VALUE(RIGHT(INDEX($D$9:$D$2008,$W326),2)),VALUE(MID(INDEX($D$9:$D$2008,$W326),4,2)),VALUE(LEFT(INDEX($D$9:$D$2008,$W326),2))),"")))</f>
        <v/>
      </c>
      <c r="AC326" s="29">
        <f>IF($W326="","",IFERROR(IF(ISNUMBER(INDEX($E$9:$E$2008,$W326)),INDEX($E$9:$E$2008,$W326),VALUE(SUBSTITUTE(INDEX($E$9:$E$2008,$W326),",",""))),""))</f>
        <v/>
      </c>
      <c r="AD326" s="29">
        <f>IF($W326="","",IFERROR(IF(ISNUMBER(INDEX($F$9:$F$2008,$W326)),INDEX($F$9:$F$2008,$W326),VALUE(SUBSTITUTE(INDEX($F$9:$F$2008,$W326),",",""))),""))</f>
        <v/>
      </c>
      <c r="AE326" s="29">
        <f>IF($W326="","",IFERROR(IF(ISNUMBER(INDEX($G$9:$G$2008,$W326)),INDEX($G$9:$G$2008,$W326),VALUE(SUBSTITUTE(INDEX($G$9:$G$2008,$W326),",",""))),""))</f>
        <v/>
      </c>
      <c r="AF326" s="29">
        <f>IF($W326="","",IFERROR(IF(ISNUMBER(INDEX($H$9:$H$2008,$W326)),INDEX($H$9:$H$2008,$W326),VALUE(SUBSTITUTE(INDEX($H$9:$H$2008,$W326),",",""))),""))</f>
        <v/>
      </c>
      <c r="AG326" s="29">
        <f>IF($W326="","",IFERROR(IF(ISNUMBER(INDEX($I$9:$I$2008,$W326)),INDEX($I$9:$I$2008,$W326),VALUE(SUBSTITUTE(INDEX($I$9:$I$2008,$W326),",",""))),""))</f>
        <v/>
      </c>
      <c r="AH326" s="29">
        <f>IF($W326="","",IFERROR(IF(ISNUMBER(INDEX($J$9:$J$2008,$W326)),INDEX($J$9:$J$2008,$W326),VALUE(SUBSTITUTE(INDEX($J$9:$J$2008,$W326),",",""))),""))</f>
        <v/>
      </c>
      <c r="AI326" s="29">
        <f>IF($W326="","",IFERROR(IF(ISNUMBER(INDEX($K$9:$K$2008,$W326)),INDEX($K$9:$K$2008,$W326),VALUE(SUBSTITUTE(INDEX($K$9:$K$2008,$W326),",",""))),""))</f>
        <v/>
      </c>
      <c r="AJ326" s="30">
        <f>IF($W326="","",IFERROR(IF(ISNUMBER(INDEX($L$9:$L$2008,$W326)),INDEX($L$9:$L$2008,$W326),VALUE(SUBSTITUTE(INDEX($L$9:$L$2008,$W326),",",""))),""))</f>
        <v/>
      </c>
      <c r="AK326" s="30">
        <f>IF($W326="","",IFERROR(IF(ISNUMBER(INDEX($M$9:$M$2008,$W326)),INDEX($M$9:$M$2008,$W326),VALUE(SUBSTITUTE(INDEX($M$9:$M$2008,$W326),",",""))),""))</f>
        <v/>
      </c>
      <c r="AL326" s="31">
        <f>IF($W326="","",IFERROR(IF(ISNUMBER(INDEX($P$9:$P$2008,$W326)),INDEX($P$9:$P$2008,$W326),VALUE(SUBSTITUTE(INDEX($P$9:$P$2008,$W326),"%",""))/100),""))</f>
        <v/>
      </c>
    </row>
    <row r="327">
      <c r="S327">
        <f>IF(AND(ISTEXT($A327),ISNUMBER(SEARCH(" - ",$A327)),ISERROR(SEARCH("Folio",$A327)),$D327=""),TRIM($A327),$S326)</f>
        <v/>
      </c>
      <c r="T327">
        <f>IF(AND(ISNUMBER(SEARCH("Folio",$A327)),$D327&lt;&gt;""),1,"")</f>
        <v/>
      </c>
      <c r="U327">
        <f>IF($T327=1,COUNTIF($T$9:$T327,1),"")</f>
        <v/>
      </c>
      <c r="V327">
        <f>IF(AND(ISTEXT($A327),LEFT($A328,3)="Pan"),1,"")</f>
        <v/>
      </c>
      <c r="W327" s="21">
        <f>IFERROR(MATCH(319,$U$9:$U$2008,0),"")</f>
        <v/>
      </c>
      <c r="X327" s="22">
        <f>IF($W327="","",IF($R$5&lt;&gt;"",$R$5,$R$6))</f>
        <v/>
      </c>
      <c r="Y327" s="22">
        <f>IF($W327="","",INDEX($S$9:$S$2008,$W327))</f>
        <v/>
      </c>
      <c r="Z327" s="22">
        <f>IF($W327="","",IFERROR(TRIM(LEFT(SUBSTITUTE(INDEX($A$9:$A$2008,$W327),CHAR(10)," "),SEARCH("Folio",SUBSTITUTE(INDEX($A$9:$A$2008,$W327),CHAR(10)," "))-1)),TRIM(SUBSTITUTE(INDEX($A$9:$A$2008,$W327),CHAR(10)," "))))</f>
        <v/>
      </c>
      <c r="AA327" s="22">
        <f>IF($W327="","",IFERROR(TRIM(SUBSTITUTE(MID(SUBSTITUTE(INDEX($A$9:$A$2008,$W327),CHAR(10)," "),SEARCH("Folio",SUBSTITUTE(INDEX($A$9:$A$2008,$W327),CHAR(10)," "))+5,200),":","")),""))</f>
        <v/>
      </c>
      <c r="AB327" s="23">
        <f>IF($W327="","",IF(ISNUMBER(INDEX($D$9:$D$2008,$W327)),INDEX($D$9:$D$2008,$W327),IFERROR(DATE(2000+VALUE(RIGHT(INDEX($D$9:$D$2008,$W327),2)),VALUE(MID(INDEX($D$9:$D$2008,$W327),4,2)),VALUE(LEFT(INDEX($D$9:$D$2008,$W327),2))),"")))</f>
        <v/>
      </c>
      <c r="AC327" s="24">
        <f>IF($W327="","",IFERROR(IF(ISNUMBER(INDEX($E$9:$E$2008,$W327)),INDEX($E$9:$E$2008,$W327),VALUE(SUBSTITUTE(INDEX($E$9:$E$2008,$W327),",",""))),""))</f>
        <v/>
      </c>
      <c r="AD327" s="24">
        <f>IF($W327="","",IFERROR(IF(ISNUMBER(INDEX($F$9:$F$2008,$W327)),INDEX($F$9:$F$2008,$W327),VALUE(SUBSTITUTE(INDEX($F$9:$F$2008,$W327),",",""))),""))</f>
        <v/>
      </c>
      <c r="AE327" s="24">
        <f>IF($W327="","",IFERROR(IF(ISNUMBER(INDEX($G$9:$G$2008,$W327)),INDEX($G$9:$G$2008,$W327),VALUE(SUBSTITUTE(INDEX($G$9:$G$2008,$W327),",",""))),""))</f>
        <v/>
      </c>
      <c r="AF327" s="24">
        <f>IF($W327="","",IFERROR(IF(ISNUMBER(INDEX($H$9:$H$2008,$W327)),INDEX($H$9:$H$2008,$W327),VALUE(SUBSTITUTE(INDEX($H$9:$H$2008,$W327),",",""))),""))</f>
        <v/>
      </c>
      <c r="AG327" s="24">
        <f>IF($W327="","",IFERROR(IF(ISNUMBER(INDEX($I$9:$I$2008,$W327)),INDEX($I$9:$I$2008,$W327),VALUE(SUBSTITUTE(INDEX($I$9:$I$2008,$W327),",",""))),""))</f>
        <v/>
      </c>
      <c r="AH327" s="24">
        <f>IF($W327="","",IFERROR(IF(ISNUMBER(INDEX($J$9:$J$2008,$W327)),INDEX($J$9:$J$2008,$W327),VALUE(SUBSTITUTE(INDEX($J$9:$J$2008,$W327),",",""))),""))</f>
        <v/>
      </c>
      <c r="AI327" s="24">
        <f>IF($W327="","",IFERROR(IF(ISNUMBER(INDEX($K$9:$K$2008,$W327)),INDEX($K$9:$K$2008,$W327),VALUE(SUBSTITUTE(INDEX($K$9:$K$2008,$W327),",",""))),""))</f>
        <v/>
      </c>
      <c r="AJ327" s="25">
        <f>IF($W327="","",IFERROR(IF(ISNUMBER(INDEX($L$9:$L$2008,$W327)),INDEX($L$9:$L$2008,$W327),VALUE(SUBSTITUTE(INDEX($L$9:$L$2008,$W327),",",""))),""))</f>
        <v/>
      </c>
      <c r="AK327" s="25">
        <f>IF($W327="","",IFERROR(IF(ISNUMBER(INDEX($M$9:$M$2008,$W327)),INDEX($M$9:$M$2008,$W327),VALUE(SUBSTITUTE(INDEX($M$9:$M$2008,$W327),",",""))),""))</f>
        <v/>
      </c>
      <c r="AL327" s="26">
        <f>IF($W327="","",IFERROR(IF(ISNUMBER(INDEX($P$9:$P$2008,$W327)),INDEX($P$9:$P$2008,$W327),VALUE(SUBSTITUTE(INDEX($P$9:$P$2008,$W327),"%",""))/100),""))</f>
        <v/>
      </c>
    </row>
    <row r="328">
      <c r="S328">
        <f>IF(AND(ISTEXT($A328),ISNUMBER(SEARCH(" - ",$A328)),ISERROR(SEARCH("Folio",$A328)),$D328=""),TRIM($A328),$S327)</f>
        <v/>
      </c>
      <c r="T328">
        <f>IF(AND(ISNUMBER(SEARCH("Folio",$A328)),$D328&lt;&gt;""),1,"")</f>
        <v/>
      </c>
      <c r="U328">
        <f>IF($T328=1,COUNTIF($T$9:$T328,1),"")</f>
        <v/>
      </c>
      <c r="V328">
        <f>IF(AND(ISTEXT($A328),LEFT($A329,3)="Pan"),1,"")</f>
        <v/>
      </c>
      <c r="W328" s="21">
        <f>IFERROR(MATCH(320,$U$9:$U$2008,0),"")</f>
        <v/>
      </c>
      <c r="X328" s="27">
        <f>IF($W328="","",IF($R$5&lt;&gt;"",$R$5,$R$6))</f>
        <v/>
      </c>
      <c r="Y328" s="27">
        <f>IF($W328="","",INDEX($S$9:$S$2008,$W328))</f>
        <v/>
      </c>
      <c r="Z328" s="27">
        <f>IF($W328="","",IFERROR(TRIM(LEFT(SUBSTITUTE(INDEX($A$9:$A$2008,$W328),CHAR(10)," "),SEARCH("Folio",SUBSTITUTE(INDEX($A$9:$A$2008,$W328),CHAR(10)," "))-1)),TRIM(SUBSTITUTE(INDEX($A$9:$A$2008,$W328),CHAR(10)," "))))</f>
        <v/>
      </c>
      <c r="AA328" s="27">
        <f>IF($W328="","",IFERROR(TRIM(SUBSTITUTE(MID(SUBSTITUTE(INDEX($A$9:$A$2008,$W328),CHAR(10)," "),SEARCH("Folio",SUBSTITUTE(INDEX($A$9:$A$2008,$W328),CHAR(10)," "))+5,200),":","")),""))</f>
        <v/>
      </c>
      <c r="AB328" s="28">
        <f>IF($W328="","",IF(ISNUMBER(INDEX($D$9:$D$2008,$W328)),INDEX($D$9:$D$2008,$W328),IFERROR(DATE(2000+VALUE(RIGHT(INDEX($D$9:$D$2008,$W328),2)),VALUE(MID(INDEX($D$9:$D$2008,$W328),4,2)),VALUE(LEFT(INDEX($D$9:$D$2008,$W328),2))),"")))</f>
        <v/>
      </c>
      <c r="AC328" s="29">
        <f>IF($W328="","",IFERROR(IF(ISNUMBER(INDEX($E$9:$E$2008,$W328)),INDEX($E$9:$E$2008,$W328),VALUE(SUBSTITUTE(INDEX($E$9:$E$2008,$W328),",",""))),""))</f>
        <v/>
      </c>
      <c r="AD328" s="29">
        <f>IF($W328="","",IFERROR(IF(ISNUMBER(INDEX($F$9:$F$2008,$W328)),INDEX($F$9:$F$2008,$W328),VALUE(SUBSTITUTE(INDEX($F$9:$F$2008,$W328),",",""))),""))</f>
        <v/>
      </c>
      <c r="AE328" s="29">
        <f>IF($W328="","",IFERROR(IF(ISNUMBER(INDEX($G$9:$G$2008,$W328)),INDEX($G$9:$G$2008,$W328),VALUE(SUBSTITUTE(INDEX($G$9:$G$2008,$W328),",",""))),""))</f>
        <v/>
      </c>
      <c r="AF328" s="29">
        <f>IF($W328="","",IFERROR(IF(ISNUMBER(INDEX($H$9:$H$2008,$W328)),INDEX($H$9:$H$2008,$W328),VALUE(SUBSTITUTE(INDEX($H$9:$H$2008,$W328),",",""))),""))</f>
        <v/>
      </c>
      <c r="AG328" s="29">
        <f>IF($W328="","",IFERROR(IF(ISNUMBER(INDEX($I$9:$I$2008,$W328)),INDEX($I$9:$I$2008,$W328),VALUE(SUBSTITUTE(INDEX($I$9:$I$2008,$W328),",",""))),""))</f>
        <v/>
      </c>
      <c r="AH328" s="29">
        <f>IF($W328="","",IFERROR(IF(ISNUMBER(INDEX($J$9:$J$2008,$W328)),INDEX($J$9:$J$2008,$W328),VALUE(SUBSTITUTE(INDEX($J$9:$J$2008,$W328),",",""))),""))</f>
        <v/>
      </c>
      <c r="AI328" s="29">
        <f>IF($W328="","",IFERROR(IF(ISNUMBER(INDEX($K$9:$K$2008,$W328)),INDEX($K$9:$K$2008,$W328),VALUE(SUBSTITUTE(INDEX($K$9:$K$2008,$W328),",",""))),""))</f>
        <v/>
      </c>
      <c r="AJ328" s="30">
        <f>IF($W328="","",IFERROR(IF(ISNUMBER(INDEX($L$9:$L$2008,$W328)),INDEX($L$9:$L$2008,$W328),VALUE(SUBSTITUTE(INDEX($L$9:$L$2008,$W328),",",""))),""))</f>
        <v/>
      </c>
      <c r="AK328" s="30">
        <f>IF($W328="","",IFERROR(IF(ISNUMBER(INDEX($M$9:$M$2008,$W328)),INDEX($M$9:$M$2008,$W328),VALUE(SUBSTITUTE(INDEX($M$9:$M$2008,$W328),",",""))),""))</f>
        <v/>
      </c>
      <c r="AL328" s="31">
        <f>IF($W328="","",IFERROR(IF(ISNUMBER(INDEX($P$9:$P$2008,$W328)),INDEX($P$9:$P$2008,$W328),VALUE(SUBSTITUTE(INDEX($P$9:$P$2008,$W328),"%",""))/100),""))</f>
        <v/>
      </c>
    </row>
    <row r="329">
      <c r="S329">
        <f>IF(AND(ISTEXT($A329),ISNUMBER(SEARCH(" - ",$A329)),ISERROR(SEARCH("Folio",$A329)),$D329=""),TRIM($A329),$S328)</f>
        <v/>
      </c>
      <c r="T329">
        <f>IF(AND(ISNUMBER(SEARCH("Folio",$A329)),$D329&lt;&gt;""),1,"")</f>
        <v/>
      </c>
      <c r="U329">
        <f>IF($T329=1,COUNTIF($T$9:$T329,1),"")</f>
        <v/>
      </c>
      <c r="V329">
        <f>IF(AND(ISTEXT($A329),LEFT($A330,3)="Pan"),1,"")</f>
        <v/>
      </c>
      <c r="W329" s="21">
        <f>IFERROR(MATCH(321,$U$9:$U$2008,0),"")</f>
        <v/>
      </c>
      <c r="X329" s="22">
        <f>IF($W329="","",IF($R$5&lt;&gt;"",$R$5,$R$6))</f>
        <v/>
      </c>
      <c r="Y329" s="22">
        <f>IF($W329="","",INDEX($S$9:$S$2008,$W329))</f>
        <v/>
      </c>
      <c r="Z329" s="22">
        <f>IF($W329="","",IFERROR(TRIM(LEFT(SUBSTITUTE(INDEX($A$9:$A$2008,$W329),CHAR(10)," "),SEARCH("Folio",SUBSTITUTE(INDEX($A$9:$A$2008,$W329),CHAR(10)," "))-1)),TRIM(SUBSTITUTE(INDEX($A$9:$A$2008,$W329),CHAR(10)," "))))</f>
        <v/>
      </c>
      <c r="AA329" s="22">
        <f>IF($W329="","",IFERROR(TRIM(SUBSTITUTE(MID(SUBSTITUTE(INDEX($A$9:$A$2008,$W329),CHAR(10)," "),SEARCH("Folio",SUBSTITUTE(INDEX($A$9:$A$2008,$W329),CHAR(10)," "))+5,200),":","")),""))</f>
        <v/>
      </c>
      <c r="AB329" s="23">
        <f>IF($W329="","",IF(ISNUMBER(INDEX($D$9:$D$2008,$W329)),INDEX($D$9:$D$2008,$W329),IFERROR(DATE(2000+VALUE(RIGHT(INDEX($D$9:$D$2008,$W329),2)),VALUE(MID(INDEX($D$9:$D$2008,$W329),4,2)),VALUE(LEFT(INDEX($D$9:$D$2008,$W329),2))),"")))</f>
        <v/>
      </c>
      <c r="AC329" s="24">
        <f>IF($W329="","",IFERROR(IF(ISNUMBER(INDEX($E$9:$E$2008,$W329)),INDEX($E$9:$E$2008,$W329),VALUE(SUBSTITUTE(INDEX($E$9:$E$2008,$W329),",",""))),""))</f>
        <v/>
      </c>
      <c r="AD329" s="24">
        <f>IF($W329="","",IFERROR(IF(ISNUMBER(INDEX($F$9:$F$2008,$W329)),INDEX($F$9:$F$2008,$W329),VALUE(SUBSTITUTE(INDEX($F$9:$F$2008,$W329),",",""))),""))</f>
        <v/>
      </c>
      <c r="AE329" s="24">
        <f>IF($W329="","",IFERROR(IF(ISNUMBER(INDEX($G$9:$G$2008,$W329)),INDEX($G$9:$G$2008,$W329),VALUE(SUBSTITUTE(INDEX($G$9:$G$2008,$W329),",",""))),""))</f>
        <v/>
      </c>
      <c r="AF329" s="24">
        <f>IF($W329="","",IFERROR(IF(ISNUMBER(INDEX($H$9:$H$2008,$W329)),INDEX($H$9:$H$2008,$W329),VALUE(SUBSTITUTE(INDEX($H$9:$H$2008,$W329),",",""))),""))</f>
        <v/>
      </c>
      <c r="AG329" s="24">
        <f>IF($W329="","",IFERROR(IF(ISNUMBER(INDEX($I$9:$I$2008,$W329)),INDEX($I$9:$I$2008,$W329),VALUE(SUBSTITUTE(INDEX($I$9:$I$2008,$W329),",",""))),""))</f>
        <v/>
      </c>
      <c r="AH329" s="24">
        <f>IF($W329="","",IFERROR(IF(ISNUMBER(INDEX($J$9:$J$2008,$W329)),INDEX($J$9:$J$2008,$W329),VALUE(SUBSTITUTE(INDEX($J$9:$J$2008,$W329),",",""))),""))</f>
        <v/>
      </c>
      <c r="AI329" s="24">
        <f>IF($W329="","",IFERROR(IF(ISNUMBER(INDEX($K$9:$K$2008,$W329)),INDEX($K$9:$K$2008,$W329),VALUE(SUBSTITUTE(INDEX($K$9:$K$2008,$W329),",",""))),""))</f>
        <v/>
      </c>
      <c r="AJ329" s="25">
        <f>IF($W329="","",IFERROR(IF(ISNUMBER(INDEX($L$9:$L$2008,$W329)),INDEX($L$9:$L$2008,$W329),VALUE(SUBSTITUTE(INDEX($L$9:$L$2008,$W329),",",""))),""))</f>
        <v/>
      </c>
      <c r="AK329" s="25">
        <f>IF($W329="","",IFERROR(IF(ISNUMBER(INDEX($M$9:$M$2008,$W329)),INDEX($M$9:$M$2008,$W329),VALUE(SUBSTITUTE(INDEX($M$9:$M$2008,$W329),",",""))),""))</f>
        <v/>
      </c>
      <c r="AL329" s="26">
        <f>IF($W329="","",IFERROR(IF(ISNUMBER(INDEX($P$9:$P$2008,$W329)),INDEX($P$9:$P$2008,$W329),VALUE(SUBSTITUTE(INDEX($P$9:$P$2008,$W329),"%",""))/100),""))</f>
        <v/>
      </c>
    </row>
    <row r="330">
      <c r="S330">
        <f>IF(AND(ISTEXT($A330),ISNUMBER(SEARCH(" - ",$A330)),ISERROR(SEARCH("Folio",$A330)),$D330=""),TRIM($A330),$S329)</f>
        <v/>
      </c>
      <c r="T330">
        <f>IF(AND(ISNUMBER(SEARCH("Folio",$A330)),$D330&lt;&gt;""),1,"")</f>
        <v/>
      </c>
      <c r="U330">
        <f>IF($T330=1,COUNTIF($T$9:$T330,1),"")</f>
        <v/>
      </c>
      <c r="V330">
        <f>IF(AND(ISTEXT($A330),LEFT($A331,3)="Pan"),1,"")</f>
        <v/>
      </c>
      <c r="W330" s="21">
        <f>IFERROR(MATCH(322,$U$9:$U$2008,0),"")</f>
        <v/>
      </c>
      <c r="X330" s="27">
        <f>IF($W330="","",IF($R$5&lt;&gt;"",$R$5,$R$6))</f>
        <v/>
      </c>
      <c r="Y330" s="27">
        <f>IF($W330="","",INDEX($S$9:$S$2008,$W330))</f>
        <v/>
      </c>
      <c r="Z330" s="27">
        <f>IF($W330="","",IFERROR(TRIM(LEFT(SUBSTITUTE(INDEX($A$9:$A$2008,$W330),CHAR(10)," "),SEARCH("Folio",SUBSTITUTE(INDEX($A$9:$A$2008,$W330),CHAR(10)," "))-1)),TRIM(SUBSTITUTE(INDEX($A$9:$A$2008,$W330),CHAR(10)," "))))</f>
        <v/>
      </c>
      <c r="AA330" s="27">
        <f>IF($W330="","",IFERROR(TRIM(SUBSTITUTE(MID(SUBSTITUTE(INDEX($A$9:$A$2008,$W330),CHAR(10)," "),SEARCH("Folio",SUBSTITUTE(INDEX($A$9:$A$2008,$W330),CHAR(10)," "))+5,200),":","")),""))</f>
        <v/>
      </c>
      <c r="AB330" s="28">
        <f>IF($W330="","",IF(ISNUMBER(INDEX($D$9:$D$2008,$W330)),INDEX($D$9:$D$2008,$W330),IFERROR(DATE(2000+VALUE(RIGHT(INDEX($D$9:$D$2008,$W330),2)),VALUE(MID(INDEX($D$9:$D$2008,$W330),4,2)),VALUE(LEFT(INDEX($D$9:$D$2008,$W330),2))),"")))</f>
        <v/>
      </c>
      <c r="AC330" s="29">
        <f>IF($W330="","",IFERROR(IF(ISNUMBER(INDEX($E$9:$E$2008,$W330)),INDEX($E$9:$E$2008,$W330),VALUE(SUBSTITUTE(INDEX($E$9:$E$2008,$W330),",",""))),""))</f>
        <v/>
      </c>
      <c r="AD330" s="29">
        <f>IF($W330="","",IFERROR(IF(ISNUMBER(INDEX($F$9:$F$2008,$W330)),INDEX($F$9:$F$2008,$W330),VALUE(SUBSTITUTE(INDEX($F$9:$F$2008,$W330),",",""))),""))</f>
        <v/>
      </c>
      <c r="AE330" s="29">
        <f>IF($W330="","",IFERROR(IF(ISNUMBER(INDEX($G$9:$G$2008,$W330)),INDEX($G$9:$G$2008,$W330),VALUE(SUBSTITUTE(INDEX($G$9:$G$2008,$W330),",",""))),""))</f>
        <v/>
      </c>
      <c r="AF330" s="29">
        <f>IF($W330="","",IFERROR(IF(ISNUMBER(INDEX($H$9:$H$2008,$W330)),INDEX($H$9:$H$2008,$W330),VALUE(SUBSTITUTE(INDEX($H$9:$H$2008,$W330),",",""))),""))</f>
        <v/>
      </c>
      <c r="AG330" s="29">
        <f>IF($W330="","",IFERROR(IF(ISNUMBER(INDEX($I$9:$I$2008,$W330)),INDEX($I$9:$I$2008,$W330),VALUE(SUBSTITUTE(INDEX($I$9:$I$2008,$W330),",",""))),""))</f>
        <v/>
      </c>
      <c r="AH330" s="29">
        <f>IF($W330="","",IFERROR(IF(ISNUMBER(INDEX($J$9:$J$2008,$W330)),INDEX($J$9:$J$2008,$W330),VALUE(SUBSTITUTE(INDEX($J$9:$J$2008,$W330),",",""))),""))</f>
        <v/>
      </c>
      <c r="AI330" s="29">
        <f>IF($W330="","",IFERROR(IF(ISNUMBER(INDEX($K$9:$K$2008,$W330)),INDEX($K$9:$K$2008,$W330),VALUE(SUBSTITUTE(INDEX($K$9:$K$2008,$W330),",",""))),""))</f>
        <v/>
      </c>
      <c r="AJ330" s="30">
        <f>IF($W330="","",IFERROR(IF(ISNUMBER(INDEX($L$9:$L$2008,$W330)),INDEX($L$9:$L$2008,$W330),VALUE(SUBSTITUTE(INDEX($L$9:$L$2008,$W330),",",""))),""))</f>
        <v/>
      </c>
      <c r="AK330" s="30">
        <f>IF($W330="","",IFERROR(IF(ISNUMBER(INDEX($M$9:$M$2008,$W330)),INDEX($M$9:$M$2008,$W330),VALUE(SUBSTITUTE(INDEX($M$9:$M$2008,$W330),",",""))),""))</f>
        <v/>
      </c>
      <c r="AL330" s="31">
        <f>IF($W330="","",IFERROR(IF(ISNUMBER(INDEX($P$9:$P$2008,$W330)),INDEX($P$9:$P$2008,$W330),VALUE(SUBSTITUTE(INDEX($P$9:$P$2008,$W330),"%",""))/100),""))</f>
        <v/>
      </c>
    </row>
    <row r="331">
      <c r="S331">
        <f>IF(AND(ISTEXT($A331),ISNUMBER(SEARCH(" - ",$A331)),ISERROR(SEARCH("Folio",$A331)),$D331=""),TRIM($A331),$S330)</f>
        <v/>
      </c>
      <c r="T331">
        <f>IF(AND(ISNUMBER(SEARCH("Folio",$A331)),$D331&lt;&gt;""),1,"")</f>
        <v/>
      </c>
      <c r="U331">
        <f>IF($T331=1,COUNTIF($T$9:$T331,1),"")</f>
        <v/>
      </c>
      <c r="V331">
        <f>IF(AND(ISTEXT($A331),LEFT($A332,3)="Pan"),1,"")</f>
        <v/>
      </c>
      <c r="W331" s="21">
        <f>IFERROR(MATCH(323,$U$9:$U$2008,0),"")</f>
        <v/>
      </c>
      <c r="X331" s="22">
        <f>IF($W331="","",IF($R$5&lt;&gt;"",$R$5,$R$6))</f>
        <v/>
      </c>
      <c r="Y331" s="22">
        <f>IF($W331="","",INDEX($S$9:$S$2008,$W331))</f>
        <v/>
      </c>
      <c r="Z331" s="22">
        <f>IF($W331="","",IFERROR(TRIM(LEFT(SUBSTITUTE(INDEX($A$9:$A$2008,$W331),CHAR(10)," "),SEARCH("Folio",SUBSTITUTE(INDEX($A$9:$A$2008,$W331),CHAR(10)," "))-1)),TRIM(SUBSTITUTE(INDEX($A$9:$A$2008,$W331),CHAR(10)," "))))</f>
        <v/>
      </c>
      <c r="AA331" s="22">
        <f>IF($W331="","",IFERROR(TRIM(SUBSTITUTE(MID(SUBSTITUTE(INDEX($A$9:$A$2008,$W331),CHAR(10)," "),SEARCH("Folio",SUBSTITUTE(INDEX($A$9:$A$2008,$W331),CHAR(10)," "))+5,200),":","")),""))</f>
        <v/>
      </c>
      <c r="AB331" s="23">
        <f>IF($W331="","",IF(ISNUMBER(INDEX($D$9:$D$2008,$W331)),INDEX($D$9:$D$2008,$W331),IFERROR(DATE(2000+VALUE(RIGHT(INDEX($D$9:$D$2008,$W331),2)),VALUE(MID(INDEX($D$9:$D$2008,$W331),4,2)),VALUE(LEFT(INDEX($D$9:$D$2008,$W331),2))),"")))</f>
        <v/>
      </c>
      <c r="AC331" s="24">
        <f>IF($W331="","",IFERROR(IF(ISNUMBER(INDEX($E$9:$E$2008,$W331)),INDEX($E$9:$E$2008,$W331),VALUE(SUBSTITUTE(INDEX($E$9:$E$2008,$W331),",",""))),""))</f>
        <v/>
      </c>
      <c r="AD331" s="24">
        <f>IF($W331="","",IFERROR(IF(ISNUMBER(INDEX($F$9:$F$2008,$W331)),INDEX($F$9:$F$2008,$W331),VALUE(SUBSTITUTE(INDEX($F$9:$F$2008,$W331),",",""))),""))</f>
        <v/>
      </c>
      <c r="AE331" s="24">
        <f>IF($W331="","",IFERROR(IF(ISNUMBER(INDEX($G$9:$G$2008,$W331)),INDEX($G$9:$G$2008,$W331),VALUE(SUBSTITUTE(INDEX($G$9:$G$2008,$W331),",",""))),""))</f>
        <v/>
      </c>
      <c r="AF331" s="24">
        <f>IF($W331="","",IFERROR(IF(ISNUMBER(INDEX($H$9:$H$2008,$W331)),INDEX($H$9:$H$2008,$W331),VALUE(SUBSTITUTE(INDEX($H$9:$H$2008,$W331),",",""))),""))</f>
        <v/>
      </c>
      <c r="AG331" s="24">
        <f>IF($W331="","",IFERROR(IF(ISNUMBER(INDEX($I$9:$I$2008,$W331)),INDEX($I$9:$I$2008,$W331),VALUE(SUBSTITUTE(INDEX($I$9:$I$2008,$W331),",",""))),""))</f>
        <v/>
      </c>
      <c r="AH331" s="24">
        <f>IF($W331="","",IFERROR(IF(ISNUMBER(INDEX($J$9:$J$2008,$W331)),INDEX($J$9:$J$2008,$W331),VALUE(SUBSTITUTE(INDEX($J$9:$J$2008,$W331),",",""))),""))</f>
        <v/>
      </c>
      <c r="AI331" s="24">
        <f>IF($W331="","",IFERROR(IF(ISNUMBER(INDEX($K$9:$K$2008,$W331)),INDEX($K$9:$K$2008,$W331),VALUE(SUBSTITUTE(INDEX($K$9:$K$2008,$W331),",",""))),""))</f>
        <v/>
      </c>
      <c r="AJ331" s="25">
        <f>IF($W331="","",IFERROR(IF(ISNUMBER(INDEX($L$9:$L$2008,$W331)),INDEX($L$9:$L$2008,$W331),VALUE(SUBSTITUTE(INDEX($L$9:$L$2008,$W331),",",""))),""))</f>
        <v/>
      </c>
      <c r="AK331" s="25">
        <f>IF($W331="","",IFERROR(IF(ISNUMBER(INDEX($M$9:$M$2008,$W331)),INDEX($M$9:$M$2008,$W331),VALUE(SUBSTITUTE(INDEX($M$9:$M$2008,$W331),",",""))),""))</f>
        <v/>
      </c>
      <c r="AL331" s="26">
        <f>IF($W331="","",IFERROR(IF(ISNUMBER(INDEX($P$9:$P$2008,$W331)),INDEX($P$9:$P$2008,$W331),VALUE(SUBSTITUTE(INDEX($P$9:$P$2008,$W331),"%",""))/100),""))</f>
        <v/>
      </c>
    </row>
    <row r="332">
      <c r="S332">
        <f>IF(AND(ISTEXT($A332),ISNUMBER(SEARCH(" - ",$A332)),ISERROR(SEARCH("Folio",$A332)),$D332=""),TRIM($A332),$S331)</f>
        <v/>
      </c>
      <c r="T332">
        <f>IF(AND(ISNUMBER(SEARCH("Folio",$A332)),$D332&lt;&gt;""),1,"")</f>
        <v/>
      </c>
      <c r="U332">
        <f>IF($T332=1,COUNTIF($T$9:$T332,1),"")</f>
        <v/>
      </c>
      <c r="V332">
        <f>IF(AND(ISTEXT($A332),LEFT($A333,3)="Pan"),1,"")</f>
        <v/>
      </c>
      <c r="W332" s="21">
        <f>IFERROR(MATCH(324,$U$9:$U$2008,0),"")</f>
        <v/>
      </c>
      <c r="X332" s="27">
        <f>IF($W332="","",IF($R$5&lt;&gt;"",$R$5,$R$6))</f>
        <v/>
      </c>
      <c r="Y332" s="27">
        <f>IF($W332="","",INDEX($S$9:$S$2008,$W332))</f>
        <v/>
      </c>
      <c r="Z332" s="27">
        <f>IF($W332="","",IFERROR(TRIM(LEFT(SUBSTITUTE(INDEX($A$9:$A$2008,$W332),CHAR(10)," "),SEARCH("Folio",SUBSTITUTE(INDEX($A$9:$A$2008,$W332),CHAR(10)," "))-1)),TRIM(SUBSTITUTE(INDEX($A$9:$A$2008,$W332),CHAR(10)," "))))</f>
        <v/>
      </c>
      <c r="AA332" s="27">
        <f>IF($W332="","",IFERROR(TRIM(SUBSTITUTE(MID(SUBSTITUTE(INDEX($A$9:$A$2008,$W332),CHAR(10)," "),SEARCH("Folio",SUBSTITUTE(INDEX($A$9:$A$2008,$W332),CHAR(10)," "))+5,200),":","")),""))</f>
        <v/>
      </c>
      <c r="AB332" s="28">
        <f>IF($W332="","",IF(ISNUMBER(INDEX($D$9:$D$2008,$W332)),INDEX($D$9:$D$2008,$W332),IFERROR(DATE(2000+VALUE(RIGHT(INDEX($D$9:$D$2008,$W332),2)),VALUE(MID(INDEX($D$9:$D$2008,$W332),4,2)),VALUE(LEFT(INDEX($D$9:$D$2008,$W332),2))),"")))</f>
        <v/>
      </c>
      <c r="AC332" s="29">
        <f>IF($W332="","",IFERROR(IF(ISNUMBER(INDEX($E$9:$E$2008,$W332)),INDEX($E$9:$E$2008,$W332),VALUE(SUBSTITUTE(INDEX($E$9:$E$2008,$W332),",",""))),""))</f>
        <v/>
      </c>
      <c r="AD332" s="29">
        <f>IF($W332="","",IFERROR(IF(ISNUMBER(INDEX($F$9:$F$2008,$W332)),INDEX($F$9:$F$2008,$W332),VALUE(SUBSTITUTE(INDEX($F$9:$F$2008,$W332),",",""))),""))</f>
        <v/>
      </c>
      <c r="AE332" s="29">
        <f>IF($W332="","",IFERROR(IF(ISNUMBER(INDEX($G$9:$G$2008,$W332)),INDEX($G$9:$G$2008,$W332),VALUE(SUBSTITUTE(INDEX($G$9:$G$2008,$W332),",",""))),""))</f>
        <v/>
      </c>
      <c r="AF332" s="29">
        <f>IF($W332="","",IFERROR(IF(ISNUMBER(INDEX($H$9:$H$2008,$W332)),INDEX($H$9:$H$2008,$W332),VALUE(SUBSTITUTE(INDEX($H$9:$H$2008,$W332),",",""))),""))</f>
        <v/>
      </c>
      <c r="AG332" s="29">
        <f>IF($W332="","",IFERROR(IF(ISNUMBER(INDEX($I$9:$I$2008,$W332)),INDEX($I$9:$I$2008,$W332),VALUE(SUBSTITUTE(INDEX($I$9:$I$2008,$W332),",",""))),""))</f>
        <v/>
      </c>
      <c r="AH332" s="29">
        <f>IF($W332="","",IFERROR(IF(ISNUMBER(INDEX($J$9:$J$2008,$W332)),INDEX($J$9:$J$2008,$W332),VALUE(SUBSTITUTE(INDEX($J$9:$J$2008,$W332),",",""))),""))</f>
        <v/>
      </c>
      <c r="AI332" s="29">
        <f>IF($W332="","",IFERROR(IF(ISNUMBER(INDEX($K$9:$K$2008,$W332)),INDEX($K$9:$K$2008,$W332),VALUE(SUBSTITUTE(INDEX($K$9:$K$2008,$W332),",",""))),""))</f>
        <v/>
      </c>
      <c r="AJ332" s="30">
        <f>IF($W332="","",IFERROR(IF(ISNUMBER(INDEX($L$9:$L$2008,$W332)),INDEX($L$9:$L$2008,$W332),VALUE(SUBSTITUTE(INDEX($L$9:$L$2008,$W332),",",""))),""))</f>
        <v/>
      </c>
      <c r="AK332" s="30">
        <f>IF($W332="","",IFERROR(IF(ISNUMBER(INDEX($M$9:$M$2008,$W332)),INDEX($M$9:$M$2008,$W332),VALUE(SUBSTITUTE(INDEX($M$9:$M$2008,$W332),",",""))),""))</f>
        <v/>
      </c>
      <c r="AL332" s="31">
        <f>IF($W332="","",IFERROR(IF(ISNUMBER(INDEX($P$9:$P$2008,$W332)),INDEX($P$9:$P$2008,$W332),VALUE(SUBSTITUTE(INDEX($P$9:$P$2008,$W332),"%",""))/100),""))</f>
        <v/>
      </c>
    </row>
    <row r="333">
      <c r="S333">
        <f>IF(AND(ISTEXT($A333),ISNUMBER(SEARCH(" - ",$A333)),ISERROR(SEARCH("Folio",$A333)),$D333=""),TRIM($A333),$S332)</f>
        <v/>
      </c>
      <c r="T333">
        <f>IF(AND(ISNUMBER(SEARCH("Folio",$A333)),$D333&lt;&gt;""),1,"")</f>
        <v/>
      </c>
      <c r="U333">
        <f>IF($T333=1,COUNTIF($T$9:$T333,1),"")</f>
        <v/>
      </c>
      <c r="V333">
        <f>IF(AND(ISTEXT($A333),LEFT($A334,3)="Pan"),1,"")</f>
        <v/>
      </c>
      <c r="W333" s="21">
        <f>IFERROR(MATCH(325,$U$9:$U$2008,0),"")</f>
        <v/>
      </c>
      <c r="X333" s="22">
        <f>IF($W333="","",IF($R$5&lt;&gt;"",$R$5,$R$6))</f>
        <v/>
      </c>
      <c r="Y333" s="22">
        <f>IF($W333="","",INDEX($S$9:$S$2008,$W333))</f>
        <v/>
      </c>
      <c r="Z333" s="22">
        <f>IF($W333="","",IFERROR(TRIM(LEFT(SUBSTITUTE(INDEX($A$9:$A$2008,$W333),CHAR(10)," "),SEARCH("Folio",SUBSTITUTE(INDEX($A$9:$A$2008,$W333),CHAR(10)," "))-1)),TRIM(SUBSTITUTE(INDEX($A$9:$A$2008,$W333),CHAR(10)," "))))</f>
        <v/>
      </c>
      <c r="AA333" s="22">
        <f>IF($W333="","",IFERROR(TRIM(SUBSTITUTE(MID(SUBSTITUTE(INDEX($A$9:$A$2008,$W333),CHAR(10)," "),SEARCH("Folio",SUBSTITUTE(INDEX($A$9:$A$2008,$W333),CHAR(10)," "))+5,200),":","")),""))</f>
        <v/>
      </c>
      <c r="AB333" s="23">
        <f>IF($W333="","",IF(ISNUMBER(INDEX($D$9:$D$2008,$W333)),INDEX($D$9:$D$2008,$W333),IFERROR(DATE(2000+VALUE(RIGHT(INDEX($D$9:$D$2008,$W333),2)),VALUE(MID(INDEX($D$9:$D$2008,$W333),4,2)),VALUE(LEFT(INDEX($D$9:$D$2008,$W333),2))),"")))</f>
        <v/>
      </c>
      <c r="AC333" s="24">
        <f>IF($W333="","",IFERROR(IF(ISNUMBER(INDEX($E$9:$E$2008,$W333)),INDEX($E$9:$E$2008,$W333),VALUE(SUBSTITUTE(INDEX($E$9:$E$2008,$W333),",",""))),""))</f>
        <v/>
      </c>
      <c r="AD333" s="24">
        <f>IF($W333="","",IFERROR(IF(ISNUMBER(INDEX($F$9:$F$2008,$W333)),INDEX($F$9:$F$2008,$W333),VALUE(SUBSTITUTE(INDEX($F$9:$F$2008,$W333),",",""))),""))</f>
        <v/>
      </c>
      <c r="AE333" s="24">
        <f>IF($W333="","",IFERROR(IF(ISNUMBER(INDEX($G$9:$G$2008,$W333)),INDEX($G$9:$G$2008,$W333),VALUE(SUBSTITUTE(INDEX($G$9:$G$2008,$W333),",",""))),""))</f>
        <v/>
      </c>
      <c r="AF333" s="24">
        <f>IF($W333="","",IFERROR(IF(ISNUMBER(INDEX($H$9:$H$2008,$W333)),INDEX($H$9:$H$2008,$W333),VALUE(SUBSTITUTE(INDEX($H$9:$H$2008,$W333),",",""))),""))</f>
        <v/>
      </c>
      <c r="AG333" s="24">
        <f>IF($W333="","",IFERROR(IF(ISNUMBER(INDEX($I$9:$I$2008,$W333)),INDEX($I$9:$I$2008,$W333),VALUE(SUBSTITUTE(INDEX($I$9:$I$2008,$W333),",",""))),""))</f>
        <v/>
      </c>
      <c r="AH333" s="24">
        <f>IF($W333="","",IFERROR(IF(ISNUMBER(INDEX($J$9:$J$2008,$W333)),INDEX($J$9:$J$2008,$W333),VALUE(SUBSTITUTE(INDEX($J$9:$J$2008,$W333),",",""))),""))</f>
        <v/>
      </c>
      <c r="AI333" s="24">
        <f>IF($W333="","",IFERROR(IF(ISNUMBER(INDEX($K$9:$K$2008,$W333)),INDEX($K$9:$K$2008,$W333),VALUE(SUBSTITUTE(INDEX($K$9:$K$2008,$W333),",",""))),""))</f>
        <v/>
      </c>
      <c r="AJ333" s="25">
        <f>IF($W333="","",IFERROR(IF(ISNUMBER(INDEX($L$9:$L$2008,$W333)),INDEX($L$9:$L$2008,$W333),VALUE(SUBSTITUTE(INDEX($L$9:$L$2008,$W333),",",""))),""))</f>
        <v/>
      </c>
      <c r="AK333" s="25">
        <f>IF($W333="","",IFERROR(IF(ISNUMBER(INDEX($M$9:$M$2008,$W333)),INDEX($M$9:$M$2008,$W333),VALUE(SUBSTITUTE(INDEX($M$9:$M$2008,$W333),",",""))),""))</f>
        <v/>
      </c>
      <c r="AL333" s="26">
        <f>IF($W333="","",IFERROR(IF(ISNUMBER(INDEX($P$9:$P$2008,$W333)),INDEX($P$9:$P$2008,$W333),VALUE(SUBSTITUTE(INDEX($P$9:$P$2008,$W333),"%",""))/100),""))</f>
        <v/>
      </c>
    </row>
    <row r="334">
      <c r="S334">
        <f>IF(AND(ISTEXT($A334),ISNUMBER(SEARCH(" - ",$A334)),ISERROR(SEARCH("Folio",$A334)),$D334=""),TRIM($A334),$S333)</f>
        <v/>
      </c>
      <c r="T334">
        <f>IF(AND(ISNUMBER(SEARCH("Folio",$A334)),$D334&lt;&gt;""),1,"")</f>
        <v/>
      </c>
      <c r="U334">
        <f>IF($T334=1,COUNTIF($T$9:$T334,1),"")</f>
        <v/>
      </c>
      <c r="V334">
        <f>IF(AND(ISTEXT($A334),LEFT($A335,3)="Pan"),1,"")</f>
        <v/>
      </c>
      <c r="W334" s="21">
        <f>IFERROR(MATCH(326,$U$9:$U$2008,0),"")</f>
        <v/>
      </c>
      <c r="X334" s="27">
        <f>IF($W334="","",IF($R$5&lt;&gt;"",$R$5,$R$6))</f>
        <v/>
      </c>
      <c r="Y334" s="27">
        <f>IF($W334="","",INDEX($S$9:$S$2008,$W334))</f>
        <v/>
      </c>
      <c r="Z334" s="27">
        <f>IF($W334="","",IFERROR(TRIM(LEFT(SUBSTITUTE(INDEX($A$9:$A$2008,$W334),CHAR(10)," "),SEARCH("Folio",SUBSTITUTE(INDEX($A$9:$A$2008,$W334),CHAR(10)," "))-1)),TRIM(SUBSTITUTE(INDEX($A$9:$A$2008,$W334),CHAR(10)," "))))</f>
        <v/>
      </c>
      <c r="AA334" s="27">
        <f>IF($W334="","",IFERROR(TRIM(SUBSTITUTE(MID(SUBSTITUTE(INDEX($A$9:$A$2008,$W334),CHAR(10)," "),SEARCH("Folio",SUBSTITUTE(INDEX($A$9:$A$2008,$W334),CHAR(10)," "))+5,200),":","")),""))</f>
        <v/>
      </c>
      <c r="AB334" s="28">
        <f>IF($W334="","",IF(ISNUMBER(INDEX($D$9:$D$2008,$W334)),INDEX($D$9:$D$2008,$W334),IFERROR(DATE(2000+VALUE(RIGHT(INDEX($D$9:$D$2008,$W334),2)),VALUE(MID(INDEX($D$9:$D$2008,$W334),4,2)),VALUE(LEFT(INDEX($D$9:$D$2008,$W334),2))),"")))</f>
        <v/>
      </c>
      <c r="AC334" s="29">
        <f>IF($W334="","",IFERROR(IF(ISNUMBER(INDEX($E$9:$E$2008,$W334)),INDEX($E$9:$E$2008,$W334),VALUE(SUBSTITUTE(INDEX($E$9:$E$2008,$W334),",",""))),""))</f>
        <v/>
      </c>
      <c r="AD334" s="29">
        <f>IF($W334="","",IFERROR(IF(ISNUMBER(INDEX($F$9:$F$2008,$W334)),INDEX($F$9:$F$2008,$W334),VALUE(SUBSTITUTE(INDEX($F$9:$F$2008,$W334),",",""))),""))</f>
        <v/>
      </c>
      <c r="AE334" s="29">
        <f>IF($W334="","",IFERROR(IF(ISNUMBER(INDEX($G$9:$G$2008,$W334)),INDEX($G$9:$G$2008,$W334),VALUE(SUBSTITUTE(INDEX($G$9:$G$2008,$W334),",",""))),""))</f>
        <v/>
      </c>
      <c r="AF334" s="29">
        <f>IF($W334="","",IFERROR(IF(ISNUMBER(INDEX($H$9:$H$2008,$W334)),INDEX($H$9:$H$2008,$W334),VALUE(SUBSTITUTE(INDEX($H$9:$H$2008,$W334),",",""))),""))</f>
        <v/>
      </c>
      <c r="AG334" s="29">
        <f>IF($W334="","",IFERROR(IF(ISNUMBER(INDEX($I$9:$I$2008,$W334)),INDEX($I$9:$I$2008,$W334),VALUE(SUBSTITUTE(INDEX($I$9:$I$2008,$W334),",",""))),""))</f>
        <v/>
      </c>
      <c r="AH334" s="29">
        <f>IF($W334="","",IFERROR(IF(ISNUMBER(INDEX($J$9:$J$2008,$W334)),INDEX($J$9:$J$2008,$W334),VALUE(SUBSTITUTE(INDEX($J$9:$J$2008,$W334),",",""))),""))</f>
        <v/>
      </c>
      <c r="AI334" s="29">
        <f>IF($W334="","",IFERROR(IF(ISNUMBER(INDEX($K$9:$K$2008,$W334)),INDEX($K$9:$K$2008,$W334),VALUE(SUBSTITUTE(INDEX($K$9:$K$2008,$W334),",",""))),""))</f>
        <v/>
      </c>
      <c r="AJ334" s="30">
        <f>IF($W334="","",IFERROR(IF(ISNUMBER(INDEX($L$9:$L$2008,$W334)),INDEX($L$9:$L$2008,$W334),VALUE(SUBSTITUTE(INDEX($L$9:$L$2008,$W334),",",""))),""))</f>
        <v/>
      </c>
      <c r="AK334" s="30">
        <f>IF($W334="","",IFERROR(IF(ISNUMBER(INDEX($M$9:$M$2008,$W334)),INDEX($M$9:$M$2008,$W334),VALUE(SUBSTITUTE(INDEX($M$9:$M$2008,$W334),",",""))),""))</f>
        <v/>
      </c>
      <c r="AL334" s="31">
        <f>IF($W334="","",IFERROR(IF(ISNUMBER(INDEX($P$9:$P$2008,$W334)),INDEX($P$9:$P$2008,$W334),VALUE(SUBSTITUTE(INDEX($P$9:$P$2008,$W334),"%",""))/100),""))</f>
        <v/>
      </c>
    </row>
    <row r="335">
      <c r="S335">
        <f>IF(AND(ISTEXT($A335),ISNUMBER(SEARCH(" - ",$A335)),ISERROR(SEARCH("Folio",$A335)),$D335=""),TRIM($A335),$S334)</f>
        <v/>
      </c>
      <c r="T335">
        <f>IF(AND(ISNUMBER(SEARCH("Folio",$A335)),$D335&lt;&gt;""),1,"")</f>
        <v/>
      </c>
      <c r="U335">
        <f>IF($T335=1,COUNTIF($T$9:$T335,1),"")</f>
        <v/>
      </c>
      <c r="V335">
        <f>IF(AND(ISTEXT($A335),LEFT($A336,3)="Pan"),1,"")</f>
        <v/>
      </c>
      <c r="W335" s="21">
        <f>IFERROR(MATCH(327,$U$9:$U$2008,0),"")</f>
        <v/>
      </c>
      <c r="X335" s="22">
        <f>IF($W335="","",IF($R$5&lt;&gt;"",$R$5,$R$6))</f>
        <v/>
      </c>
      <c r="Y335" s="22">
        <f>IF($W335="","",INDEX($S$9:$S$2008,$W335))</f>
        <v/>
      </c>
      <c r="Z335" s="22">
        <f>IF($W335="","",IFERROR(TRIM(LEFT(SUBSTITUTE(INDEX($A$9:$A$2008,$W335),CHAR(10)," "),SEARCH("Folio",SUBSTITUTE(INDEX($A$9:$A$2008,$W335),CHAR(10)," "))-1)),TRIM(SUBSTITUTE(INDEX($A$9:$A$2008,$W335),CHAR(10)," "))))</f>
        <v/>
      </c>
      <c r="AA335" s="22">
        <f>IF($W335="","",IFERROR(TRIM(SUBSTITUTE(MID(SUBSTITUTE(INDEX($A$9:$A$2008,$W335),CHAR(10)," "),SEARCH("Folio",SUBSTITUTE(INDEX($A$9:$A$2008,$W335),CHAR(10)," "))+5,200),":","")),""))</f>
        <v/>
      </c>
      <c r="AB335" s="23">
        <f>IF($W335="","",IF(ISNUMBER(INDEX($D$9:$D$2008,$W335)),INDEX($D$9:$D$2008,$W335),IFERROR(DATE(2000+VALUE(RIGHT(INDEX($D$9:$D$2008,$W335),2)),VALUE(MID(INDEX($D$9:$D$2008,$W335),4,2)),VALUE(LEFT(INDEX($D$9:$D$2008,$W335),2))),"")))</f>
        <v/>
      </c>
      <c r="AC335" s="24">
        <f>IF($W335="","",IFERROR(IF(ISNUMBER(INDEX($E$9:$E$2008,$W335)),INDEX($E$9:$E$2008,$W335),VALUE(SUBSTITUTE(INDEX($E$9:$E$2008,$W335),",",""))),""))</f>
        <v/>
      </c>
      <c r="AD335" s="24">
        <f>IF($W335="","",IFERROR(IF(ISNUMBER(INDEX($F$9:$F$2008,$W335)),INDEX($F$9:$F$2008,$W335),VALUE(SUBSTITUTE(INDEX($F$9:$F$2008,$W335),",",""))),""))</f>
        <v/>
      </c>
      <c r="AE335" s="24">
        <f>IF($W335="","",IFERROR(IF(ISNUMBER(INDEX($G$9:$G$2008,$W335)),INDEX($G$9:$G$2008,$W335),VALUE(SUBSTITUTE(INDEX($G$9:$G$2008,$W335),",",""))),""))</f>
        <v/>
      </c>
      <c r="AF335" s="24">
        <f>IF($W335="","",IFERROR(IF(ISNUMBER(INDEX($H$9:$H$2008,$W335)),INDEX($H$9:$H$2008,$W335),VALUE(SUBSTITUTE(INDEX($H$9:$H$2008,$W335),",",""))),""))</f>
        <v/>
      </c>
      <c r="AG335" s="24">
        <f>IF($W335="","",IFERROR(IF(ISNUMBER(INDEX($I$9:$I$2008,$W335)),INDEX($I$9:$I$2008,$W335),VALUE(SUBSTITUTE(INDEX($I$9:$I$2008,$W335),",",""))),""))</f>
        <v/>
      </c>
      <c r="AH335" s="24">
        <f>IF($W335="","",IFERROR(IF(ISNUMBER(INDEX($J$9:$J$2008,$W335)),INDEX($J$9:$J$2008,$W335),VALUE(SUBSTITUTE(INDEX($J$9:$J$2008,$W335),",",""))),""))</f>
        <v/>
      </c>
      <c r="AI335" s="24">
        <f>IF($W335="","",IFERROR(IF(ISNUMBER(INDEX($K$9:$K$2008,$W335)),INDEX($K$9:$K$2008,$W335),VALUE(SUBSTITUTE(INDEX($K$9:$K$2008,$W335),",",""))),""))</f>
        <v/>
      </c>
      <c r="AJ335" s="25">
        <f>IF($W335="","",IFERROR(IF(ISNUMBER(INDEX($L$9:$L$2008,$W335)),INDEX($L$9:$L$2008,$W335),VALUE(SUBSTITUTE(INDEX($L$9:$L$2008,$W335),",",""))),""))</f>
        <v/>
      </c>
      <c r="AK335" s="25">
        <f>IF($W335="","",IFERROR(IF(ISNUMBER(INDEX($M$9:$M$2008,$W335)),INDEX($M$9:$M$2008,$W335),VALUE(SUBSTITUTE(INDEX($M$9:$M$2008,$W335),",",""))),""))</f>
        <v/>
      </c>
      <c r="AL335" s="26">
        <f>IF($W335="","",IFERROR(IF(ISNUMBER(INDEX($P$9:$P$2008,$W335)),INDEX($P$9:$P$2008,$W335),VALUE(SUBSTITUTE(INDEX($P$9:$P$2008,$W335),"%",""))/100),""))</f>
        <v/>
      </c>
    </row>
    <row r="336">
      <c r="S336">
        <f>IF(AND(ISTEXT($A336),ISNUMBER(SEARCH(" - ",$A336)),ISERROR(SEARCH("Folio",$A336)),$D336=""),TRIM($A336),$S335)</f>
        <v/>
      </c>
      <c r="T336">
        <f>IF(AND(ISNUMBER(SEARCH("Folio",$A336)),$D336&lt;&gt;""),1,"")</f>
        <v/>
      </c>
      <c r="U336">
        <f>IF($T336=1,COUNTIF($T$9:$T336,1),"")</f>
        <v/>
      </c>
      <c r="V336">
        <f>IF(AND(ISTEXT($A336),LEFT($A337,3)="Pan"),1,"")</f>
        <v/>
      </c>
      <c r="W336" s="21">
        <f>IFERROR(MATCH(328,$U$9:$U$2008,0),"")</f>
        <v/>
      </c>
      <c r="X336" s="27">
        <f>IF($W336="","",IF($R$5&lt;&gt;"",$R$5,$R$6))</f>
        <v/>
      </c>
      <c r="Y336" s="27">
        <f>IF($W336="","",INDEX($S$9:$S$2008,$W336))</f>
        <v/>
      </c>
      <c r="Z336" s="27">
        <f>IF($W336="","",IFERROR(TRIM(LEFT(SUBSTITUTE(INDEX($A$9:$A$2008,$W336),CHAR(10)," "),SEARCH("Folio",SUBSTITUTE(INDEX($A$9:$A$2008,$W336),CHAR(10)," "))-1)),TRIM(SUBSTITUTE(INDEX($A$9:$A$2008,$W336),CHAR(10)," "))))</f>
        <v/>
      </c>
      <c r="AA336" s="27">
        <f>IF($W336="","",IFERROR(TRIM(SUBSTITUTE(MID(SUBSTITUTE(INDEX($A$9:$A$2008,$W336),CHAR(10)," "),SEARCH("Folio",SUBSTITUTE(INDEX($A$9:$A$2008,$W336),CHAR(10)," "))+5,200),":","")),""))</f>
        <v/>
      </c>
      <c r="AB336" s="28">
        <f>IF($W336="","",IF(ISNUMBER(INDEX($D$9:$D$2008,$W336)),INDEX($D$9:$D$2008,$W336),IFERROR(DATE(2000+VALUE(RIGHT(INDEX($D$9:$D$2008,$W336),2)),VALUE(MID(INDEX($D$9:$D$2008,$W336),4,2)),VALUE(LEFT(INDEX($D$9:$D$2008,$W336),2))),"")))</f>
        <v/>
      </c>
      <c r="AC336" s="29">
        <f>IF($W336="","",IFERROR(IF(ISNUMBER(INDEX($E$9:$E$2008,$W336)),INDEX($E$9:$E$2008,$W336),VALUE(SUBSTITUTE(INDEX($E$9:$E$2008,$W336),",",""))),""))</f>
        <v/>
      </c>
      <c r="AD336" s="29">
        <f>IF($W336="","",IFERROR(IF(ISNUMBER(INDEX($F$9:$F$2008,$W336)),INDEX($F$9:$F$2008,$W336),VALUE(SUBSTITUTE(INDEX($F$9:$F$2008,$W336),",",""))),""))</f>
        <v/>
      </c>
      <c r="AE336" s="29">
        <f>IF($W336="","",IFERROR(IF(ISNUMBER(INDEX($G$9:$G$2008,$W336)),INDEX($G$9:$G$2008,$W336),VALUE(SUBSTITUTE(INDEX($G$9:$G$2008,$W336),",",""))),""))</f>
        <v/>
      </c>
      <c r="AF336" s="29">
        <f>IF($W336="","",IFERROR(IF(ISNUMBER(INDEX($H$9:$H$2008,$W336)),INDEX($H$9:$H$2008,$W336),VALUE(SUBSTITUTE(INDEX($H$9:$H$2008,$W336),",",""))),""))</f>
        <v/>
      </c>
      <c r="AG336" s="29">
        <f>IF($W336="","",IFERROR(IF(ISNUMBER(INDEX($I$9:$I$2008,$W336)),INDEX($I$9:$I$2008,$W336),VALUE(SUBSTITUTE(INDEX($I$9:$I$2008,$W336),",",""))),""))</f>
        <v/>
      </c>
      <c r="AH336" s="29">
        <f>IF($W336="","",IFERROR(IF(ISNUMBER(INDEX($J$9:$J$2008,$W336)),INDEX($J$9:$J$2008,$W336),VALUE(SUBSTITUTE(INDEX($J$9:$J$2008,$W336),",",""))),""))</f>
        <v/>
      </c>
      <c r="AI336" s="29">
        <f>IF($W336="","",IFERROR(IF(ISNUMBER(INDEX($K$9:$K$2008,$W336)),INDEX($K$9:$K$2008,$W336),VALUE(SUBSTITUTE(INDEX($K$9:$K$2008,$W336),",",""))),""))</f>
        <v/>
      </c>
      <c r="AJ336" s="30">
        <f>IF($W336="","",IFERROR(IF(ISNUMBER(INDEX($L$9:$L$2008,$W336)),INDEX($L$9:$L$2008,$W336),VALUE(SUBSTITUTE(INDEX($L$9:$L$2008,$W336),",",""))),""))</f>
        <v/>
      </c>
      <c r="AK336" s="30">
        <f>IF($W336="","",IFERROR(IF(ISNUMBER(INDEX($M$9:$M$2008,$W336)),INDEX($M$9:$M$2008,$W336),VALUE(SUBSTITUTE(INDEX($M$9:$M$2008,$W336),",",""))),""))</f>
        <v/>
      </c>
      <c r="AL336" s="31">
        <f>IF($W336="","",IFERROR(IF(ISNUMBER(INDEX($P$9:$P$2008,$W336)),INDEX($P$9:$P$2008,$W336),VALUE(SUBSTITUTE(INDEX($P$9:$P$2008,$W336),"%",""))/100),""))</f>
        <v/>
      </c>
    </row>
    <row r="337">
      <c r="S337">
        <f>IF(AND(ISTEXT($A337),ISNUMBER(SEARCH(" - ",$A337)),ISERROR(SEARCH("Folio",$A337)),$D337=""),TRIM($A337),$S336)</f>
        <v/>
      </c>
      <c r="T337">
        <f>IF(AND(ISNUMBER(SEARCH("Folio",$A337)),$D337&lt;&gt;""),1,"")</f>
        <v/>
      </c>
      <c r="U337">
        <f>IF($T337=1,COUNTIF($T$9:$T337,1),"")</f>
        <v/>
      </c>
      <c r="V337">
        <f>IF(AND(ISTEXT($A337),LEFT($A338,3)="Pan"),1,"")</f>
        <v/>
      </c>
      <c r="W337" s="21">
        <f>IFERROR(MATCH(329,$U$9:$U$2008,0),"")</f>
        <v/>
      </c>
      <c r="X337" s="22">
        <f>IF($W337="","",IF($R$5&lt;&gt;"",$R$5,$R$6))</f>
        <v/>
      </c>
      <c r="Y337" s="22">
        <f>IF($W337="","",INDEX($S$9:$S$2008,$W337))</f>
        <v/>
      </c>
      <c r="Z337" s="22">
        <f>IF($W337="","",IFERROR(TRIM(LEFT(SUBSTITUTE(INDEX($A$9:$A$2008,$W337),CHAR(10)," "),SEARCH("Folio",SUBSTITUTE(INDEX($A$9:$A$2008,$W337),CHAR(10)," "))-1)),TRIM(SUBSTITUTE(INDEX($A$9:$A$2008,$W337),CHAR(10)," "))))</f>
        <v/>
      </c>
      <c r="AA337" s="22">
        <f>IF($W337="","",IFERROR(TRIM(SUBSTITUTE(MID(SUBSTITUTE(INDEX($A$9:$A$2008,$W337),CHAR(10)," "),SEARCH("Folio",SUBSTITUTE(INDEX($A$9:$A$2008,$W337),CHAR(10)," "))+5,200),":","")),""))</f>
        <v/>
      </c>
      <c r="AB337" s="23">
        <f>IF($W337="","",IF(ISNUMBER(INDEX($D$9:$D$2008,$W337)),INDEX($D$9:$D$2008,$W337),IFERROR(DATE(2000+VALUE(RIGHT(INDEX($D$9:$D$2008,$W337),2)),VALUE(MID(INDEX($D$9:$D$2008,$W337),4,2)),VALUE(LEFT(INDEX($D$9:$D$2008,$W337),2))),"")))</f>
        <v/>
      </c>
      <c r="AC337" s="24">
        <f>IF($W337="","",IFERROR(IF(ISNUMBER(INDEX($E$9:$E$2008,$W337)),INDEX($E$9:$E$2008,$W337),VALUE(SUBSTITUTE(INDEX($E$9:$E$2008,$W337),",",""))),""))</f>
        <v/>
      </c>
      <c r="AD337" s="24">
        <f>IF($W337="","",IFERROR(IF(ISNUMBER(INDEX($F$9:$F$2008,$W337)),INDEX($F$9:$F$2008,$W337),VALUE(SUBSTITUTE(INDEX($F$9:$F$2008,$W337),",",""))),""))</f>
        <v/>
      </c>
      <c r="AE337" s="24">
        <f>IF($W337="","",IFERROR(IF(ISNUMBER(INDEX($G$9:$G$2008,$W337)),INDEX($G$9:$G$2008,$W337),VALUE(SUBSTITUTE(INDEX($G$9:$G$2008,$W337),",",""))),""))</f>
        <v/>
      </c>
      <c r="AF337" s="24">
        <f>IF($W337="","",IFERROR(IF(ISNUMBER(INDEX($H$9:$H$2008,$W337)),INDEX($H$9:$H$2008,$W337),VALUE(SUBSTITUTE(INDEX($H$9:$H$2008,$W337),",",""))),""))</f>
        <v/>
      </c>
      <c r="AG337" s="24">
        <f>IF($W337="","",IFERROR(IF(ISNUMBER(INDEX($I$9:$I$2008,$W337)),INDEX($I$9:$I$2008,$W337),VALUE(SUBSTITUTE(INDEX($I$9:$I$2008,$W337),",",""))),""))</f>
        <v/>
      </c>
      <c r="AH337" s="24">
        <f>IF($W337="","",IFERROR(IF(ISNUMBER(INDEX($J$9:$J$2008,$W337)),INDEX($J$9:$J$2008,$W337),VALUE(SUBSTITUTE(INDEX($J$9:$J$2008,$W337),",",""))),""))</f>
        <v/>
      </c>
      <c r="AI337" s="24">
        <f>IF($W337="","",IFERROR(IF(ISNUMBER(INDEX($K$9:$K$2008,$W337)),INDEX($K$9:$K$2008,$W337),VALUE(SUBSTITUTE(INDEX($K$9:$K$2008,$W337),",",""))),""))</f>
        <v/>
      </c>
      <c r="AJ337" s="25">
        <f>IF($W337="","",IFERROR(IF(ISNUMBER(INDEX($L$9:$L$2008,$W337)),INDEX($L$9:$L$2008,$W337),VALUE(SUBSTITUTE(INDEX($L$9:$L$2008,$W337),",",""))),""))</f>
        <v/>
      </c>
      <c r="AK337" s="25">
        <f>IF($W337="","",IFERROR(IF(ISNUMBER(INDEX($M$9:$M$2008,$W337)),INDEX($M$9:$M$2008,$W337),VALUE(SUBSTITUTE(INDEX($M$9:$M$2008,$W337),",",""))),""))</f>
        <v/>
      </c>
      <c r="AL337" s="26">
        <f>IF($W337="","",IFERROR(IF(ISNUMBER(INDEX($P$9:$P$2008,$W337)),INDEX($P$9:$P$2008,$W337),VALUE(SUBSTITUTE(INDEX($P$9:$P$2008,$W337),"%",""))/100),""))</f>
        <v/>
      </c>
    </row>
    <row r="338">
      <c r="S338">
        <f>IF(AND(ISTEXT($A338),ISNUMBER(SEARCH(" - ",$A338)),ISERROR(SEARCH("Folio",$A338)),$D338=""),TRIM($A338),$S337)</f>
        <v/>
      </c>
      <c r="T338">
        <f>IF(AND(ISNUMBER(SEARCH("Folio",$A338)),$D338&lt;&gt;""),1,"")</f>
        <v/>
      </c>
      <c r="U338">
        <f>IF($T338=1,COUNTIF($T$9:$T338,1),"")</f>
        <v/>
      </c>
      <c r="V338">
        <f>IF(AND(ISTEXT($A338),LEFT($A339,3)="Pan"),1,"")</f>
        <v/>
      </c>
      <c r="W338" s="21">
        <f>IFERROR(MATCH(330,$U$9:$U$2008,0),"")</f>
        <v/>
      </c>
      <c r="X338" s="27">
        <f>IF($W338="","",IF($R$5&lt;&gt;"",$R$5,$R$6))</f>
        <v/>
      </c>
      <c r="Y338" s="27">
        <f>IF($W338="","",INDEX($S$9:$S$2008,$W338))</f>
        <v/>
      </c>
      <c r="Z338" s="27">
        <f>IF($W338="","",IFERROR(TRIM(LEFT(SUBSTITUTE(INDEX($A$9:$A$2008,$W338),CHAR(10)," "),SEARCH("Folio",SUBSTITUTE(INDEX($A$9:$A$2008,$W338),CHAR(10)," "))-1)),TRIM(SUBSTITUTE(INDEX($A$9:$A$2008,$W338),CHAR(10)," "))))</f>
        <v/>
      </c>
      <c r="AA338" s="27">
        <f>IF($W338="","",IFERROR(TRIM(SUBSTITUTE(MID(SUBSTITUTE(INDEX($A$9:$A$2008,$W338),CHAR(10)," "),SEARCH("Folio",SUBSTITUTE(INDEX($A$9:$A$2008,$W338),CHAR(10)," "))+5,200),":","")),""))</f>
        <v/>
      </c>
      <c r="AB338" s="28">
        <f>IF($W338="","",IF(ISNUMBER(INDEX($D$9:$D$2008,$W338)),INDEX($D$9:$D$2008,$W338),IFERROR(DATE(2000+VALUE(RIGHT(INDEX($D$9:$D$2008,$W338),2)),VALUE(MID(INDEX($D$9:$D$2008,$W338),4,2)),VALUE(LEFT(INDEX($D$9:$D$2008,$W338),2))),"")))</f>
        <v/>
      </c>
      <c r="AC338" s="29">
        <f>IF($W338="","",IFERROR(IF(ISNUMBER(INDEX($E$9:$E$2008,$W338)),INDEX($E$9:$E$2008,$W338),VALUE(SUBSTITUTE(INDEX($E$9:$E$2008,$W338),",",""))),""))</f>
        <v/>
      </c>
      <c r="AD338" s="29">
        <f>IF($W338="","",IFERROR(IF(ISNUMBER(INDEX($F$9:$F$2008,$W338)),INDEX($F$9:$F$2008,$W338),VALUE(SUBSTITUTE(INDEX($F$9:$F$2008,$W338),",",""))),""))</f>
        <v/>
      </c>
      <c r="AE338" s="29">
        <f>IF($W338="","",IFERROR(IF(ISNUMBER(INDEX($G$9:$G$2008,$W338)),INDEX($G$9:$G$2008,$W338),VALUE(SUBSTITUTE(INDEX($G$9:$G$2008,$W338),",",""))),""))</f>
        <v/>
      </c>
      <c r="AF338" s="29">
        <f>IF($W338="","",IFERROR(IF(ISNUMBER(INDEX($H$9:$H$2008,$W338)),INDEX($H$9:$H$2008,$W338),VALUE(SUBSTITUTE(INDEX($H$9:$H$2008,$W338),",",""))),""))</f>
        <v/>
      </c>
      <c r="AG338" s="29">
        <f>IF($W338="","",IFERROR(IF(ISNUMBER(INDEX($I$9:$I$2008,$W338)),INDEX($I$9:$I$2008,$W338),VALUE(SUBSTITUTE(INDEX($I$9:$I$2008,$W338),",",""))),""))</f>
        <v/>
      </c>
      <c r="AH338" s="29">
        <f>IF($W338="","",IFERROR(IF(ISNUMBER(INDEX($J$9:$J$2008,$W338)),INDEX($J$9:$J$2008,$W338),VALUE(SUBSTITUTE(INDEX($J$9:$J$2008,$W338),",",""))),""))</f>
        <v/>
      </c>
      <c r="AI338" s="29">
        <f>IF($W338="","",IFERROR(IF(ISNUMBER(INDEX($K$9:$K$2008,$W338)),INDEX($K$9:$K$2008,$W338),VALUE(SUBSTITUTE(INDEX($K$9:$K$2008,$W338),",",""))),""))</f>
        <v/>
      </c>
      <c r="AJ338" s="30">
        <f>IF($W338="","",IFERROR(IF(ISNUMBER(INDEX($L$9:$L$2008,$W338)),INDEX($L$9:$L$2008,$W338),VALUE(SUBSTITUTE(INDEX($L$9:$L$2008,$W338),",",""))),""))</f>
        <v/>
      </c>
      <c r="AK338" s="30">
        <f>IF($W338="","",IFERROR(IF(ISNUMBER(INDEX($M$9:$M$2008,$W338)),INDEX($M$9:$M$2008,$W338),VALUE(SUBSTITUTE(INDEX($M$9:$M$2008,$W338),",",""))),""))</f>
        <v/>
      </c>
      <c r="AL338" s="31">
        <f>IF($W338="","",IFERROR(IF(ISNUMBER(INDEX($P$9:$P$2008,$W338)),INDEX($P$9:$P$2008,$W338),VALUE(SUBSTITUTE(INDEX($P$9:$P$2008,$W338),"%",""))/100),""))</f>
        <v/>
      </c>
    </row>
    <row r="339">
      <c r="S339">
        <f>IF(AND(ISTEXT($A339),ISNUMBER(SEARCH(" - ",$A339)),ISERROR(SEARCH("Folio",$A339)),$D339=""),TRIM($A339),$S338)</f>
        <v/>
      </c>
      <c r="T339">
        <f>IF(AND(ISNUMBER(SEARCH("Folio",$A339)),$D339&lt;&gt;""),1,"")</f>
        <v/>
      </c>
      <c r="U339">
        <f>IF($T339=1,COUNTIF($T$9:$T339,1),"")</f>
        <v/>
      </c>
      <c r="V339">
        <f>IF(AND(ISTEXT($A339),LEFT($A340,3)="Pan"),1,"")</f>
        <v/>
      </c>
      <c r="W339" s="21">
        <f>IFERROR(MATCH(331,$U$9:$U$2008,0),"")</f>
        <v/>
      </c>
      <c r="X339" s="22">
        <f>IF($W339="","",IF($R$5&lt;&gt;"",$R$5,$R$6))</f>
        <v/>
      </c>
      <c r="Y339" s="22">
        <f>IF($W339="","",INDEX($S$9:$S$2008,$W339))</f>
        <v/>
      </c>
      <c r="Z339" s="22">
        <f>IF($W339="","",IFERROR(TRIM(LEFT(SUBSTITUTE(INDEX($A$9:$A$2008,$W339),CHAR(10)," "),SEARCH("Folio",SUBSTITUTE(INDEX($A$9:$A$2008,$W339),CHAR(10)," "))-1)),TRIM(SUBSTITUTE(INDEX($A$9:$A$2008,$W339),CHAR(10)," "))))</f>
        <v/>
      </c>
      <c r="AA339" s="22">
        <f>IF($W339="","",IFERROR(TRIM(SUBSTITUTE(MID(SUBSTITUTE(INDEX($A$9:$A$2008,$W339),CHAR(10)," "),SEARCH("Folio",SUBSTITUTE(INDEX($A$9:$A$2008,$W339),CHAR(10)," "))+5,200),":","")),""))</f>
        <v/>
      </c>
      <c r="AB339" s="23">
        <f>IF($W339="","",IF(ISNUMBER(INDEX($D$9:$D$2008,$W339)),INDEX($D$9:$D$2008,$W339),IFERROR(DATE(2000+VALUE(RIGHT(INDEX($D$9:$D$2008,$W339),2)),VALUE(MID(INDEX($D$9:$D$2008,$W339),4,2)),VALUE(LEFT(INDEX($D$9:$D$2008,$W339),2))),"")))</f>
        <v/>
      </c>
      <c r="AC339" s="24">
        <f>IF($W339="","",IFERROR(IF(ISNUMBER(INDEX($E$9:$E$2008,$W339)),INDEX($E$9:$E$2008,$W339),VALUE(SUBSTITUTE(INDEX($E$9:$E$2008,$W339),",",""))),""))</f>
        <v/>
      </c>
      <c r="AD339" s="24">
        <f>IF($W339="","",IFERROR(IF(ISNUMBER(INDEX($F$9:$F$2008,$W339)),INDEX($F$9:$F$2008,$W339),VALUE(SUBSTITUTE(INDEX($F$9:$F$2008,$W339),",",""))),""))</f>
        <v/>
      </c>
      <c r="AE339" s="24">
        <f>IF($W339="","",IFERROR(IF(ISNUMBER(INDEX($G$9:$G$2008,$W339)),INDEX($G$9:$G$2008,$W339),VALUE(SUBSTITUTE(INDEX($G$9:$G$2008,$W339),",",""))),""))</f>
        <v/>
      </c>
      <c r="AF339" s="24">
        <f>IF($W339="","",IFERROR(IF(ISNUMBER(INDEX($H$9:$H$2008,$W339)),INDEX($H$9:$H$2008,$W339),VALUE(SUBSTITUTE(INDEX($H$9:$H$2008,$W339),",",""))),""))</f>
        <v/>
      </c>
      <c r="AG339" s="24">
        <f>IF($W339="","",IFERROR(IF(ISNUMBER(INDEX($I$9:$I$2008,$W339)),INDEX($I$9:$I$2008,$W339),VALUE(SUBSTITUTE(INDEX($I$9:$I$2008,$W339),",",""))),""))</f>
        <v/>
      </c>
      <c r="AH339" s="24">
        <f>IF($W339="","",IFERROR(IF(ISNUMBER(INDEX($J$9:$J$2008,$W339)),INDEX($J$9:$J$2008,$W339),VALUE(SUBSTITUTE(INDEX($J$9:$J$2008,$W339),",",""))),""))</f>
        <v/>
      </c>
      <c r="AI339" s="24">
        <f>IF($W339="","",IFERROR(IF(ISNUMBER(INDEX($K$9:$K$2008,$W339)),INDEX($K$9:$K$2008,$W339),VALUE(SUBSTITUTE(INDEX($K$9:$K$2008,$W339),",",""))),""))</f>
        <v/>
      </c>
      <c r="AJ339" s="25">
        <f>IF($W339="","",IFERROR(IF(ISNUMBER(INDEX($L$9:$L$2008,$W339)),INDEX($L$9:$L$2008,$W339),VALUE(SUBSTITUTE(INDEX($L$9:$L$2008,$W339),",",""))),""))</f>
        <v/>
      </c>
      <c r="AK339" s="25">
        <f>IF($W339="","",IFERROR(IF(ISNUMBER(INDEX($M$9:$M$2008,$W339)),INDEX($M$9:$M$2008,$W339),VALUE(SUBSTITUTE(INDEX($M$9:$M$2008,$W339),",",""))),""))</f>
        <v/>
      </c>
      <c r="AL339" s="26">
        <f>IF($W339="","",IFERROR(IF(ISNUMBER(INDEX($P$9:$P$2008,$W339)),INDEX($P$9:$P$2008,$W339),VALUE(SUBSTITUTE(INDEX($P$9:$P$2008,$W339),"%",""))/100),""))</f>
        <v/>
      </c>
    </row>
    <row r="340">
      <c r="S340">
        <f>IF(AND(ISTEXT($A340),ISNUMBER(SEARCH(" - ",$A340)),ISERROR(SEARCH("Folio",$A340)),$D340=""),TRIM($A340),$S339)</f>
        <v/>
      </c>
      <c r="T340">
        <f>IF(AND(ISNUMBER(SEARCH("Folio",$A340)),$D340&lt;&gt;""),1,"")</f>
        <v/>
      </c>
      <c r="U340">
        <f>IF($T340=1,COUNTIF($T$9:$T340,1),"")</f>
        <v/>
      </c>
      <c r="V340">
        <f>IF(AND(ISTEXT($A340),LEFT($A341,3)="Pan"),1,"")</f>
        <v/>
      </c>
      <c r="W340" s="21">
        <f>IFERROR(MATCH(332,$U$9:$U$2008,0),"")</f>
        <v/>
      </c>
      <c r="X340" s="27">
        <f>IF($W340="","",IF($R$5&lt;&gt;"",$R$5,$R$6))</f>
        <v/>
      </c>
      <c r="Y340" s="27">
        <f>IF($W340="","",INDEX($S$9:$S$2008,$W340))</f>
        <v/>
      </c>
      <c r="Z340" s="27">
        <f>IF($W340="","",IFERROR(TRIM(LEFT(SUBSTITUTE(INDEX($A$9:$A$2008,$W340),CHAR(10)," "),SEARCH("Folio",SUBSTITUTE(INDEX($A$9:$A$2008,$W340),CHAR(10)," "))-1)),TRIM(SUBSTITUTE(INDEX($A$9:$A$2008,$W340),CHAR(10)," "))))</f>
        <v/>
      </c>
      <c r="AA340" s="27">
        <f>IF($W340="","",IFERROR(TRIM(SUBSTITUTE(MID(SUBSTITUTE(INDEX($A$9:$A$2008,$W340),CHAR(10)," "),SEARCH("Folio",SUBSTITUTE(INDEX($A$9:$A$2008,$W340),CHAR(10)," "))+5,200),":","")),""))</f>
        <v/>
      </c>
      <c r="AB340" s="28">
        <f>IF($W340="","",IF(ISNUMBER(INDEX($D$9:$D$2008,$W340)),INDEX($D$9:$D$2008,$W340),IFERROR(DATE(2000+VALUE(RIGHT(INDEX($D$9:$D$2008,$W340),2)),VALUE(MID(INDEX($D$9:$D$2008,$W340),4,2)),VALUE(LEFT(INDEX($D$9:$D$2008,$W340),2))),"")))</f>
        <v/>
      </c>
      <c r="AC340" s="29">
        <f>IF($W340="","",IFERROR(IF(ISNUMBER(INDEX($E$9:$E$2008,$W340)),INDEX($E$9:$E$2008,$W340),VALUE(SUBSTITUTE(INDEX($E$9:$E$2008,$W340),",",""))),""))</f>
        <v/>
      </c>
      <c r="AD340" s="29">
        <f>IF($W340="","",IFERROR(IF(ISNUMBER(INDEX($F$9:$F$2008,$W340)),INDEX($F$9:$F$2008,$W340),VALUE(SUBSTITUTE(INDEX($F$9:$F$2008,$W340),",",""))),""))</f>
        <v/>
      </c>
      <c r="AE340" s="29">
        <f>IF($W340="","",IFERROR(IF(ISNUMBER(INDEX($G$9:$G$2008,$W340)),INDEX($G$9:$G$2008,$W340),VALUE(SUBSTITUTE(INDEX($G$9:$G$2008,$W340),",",""))),""))</f>
        <v/>
      </c>
      <c r="AF340" s="29">
        <f>IF($W340="","",IFERROR(IF(ISNUMBER(INDEX($H$9:$H$2008,$W340)),INDEX($H$9:$H$2008,$W340),VALUE(SUBSTITUTE(INDEX($H$9:$H$2008,$W340),",",""))),""))</f>
        <v/>
      </c>
      <c r="AG340" s="29">
        <f>IF($W340="","",IFERROR(IF(ISNUMBER(INDEX($I$9:$I$2008,$W340)),INDEX($I$9:$I$2008,$W340),VALUE(SUBSTITUTE(INDEX($I$9:$I$2008,$W340),",",""))),""))</f>
        <v/>
      </c>
      <c r="AH340" s="29">
        <f>IF($W340="","",IFERROR(IF(ISNUMBER(INDEX($J$9:$J$2008,$W340)),INDEX($J$9:$J$2008,$W340),VALUE(SUBSTITUTE(INDEX($J$9:$J$2008,$W340),",",""))),""))</f>
        <v/>
      </c>
      <c r="AI340" s="29">
        <f>IF($W340="","",IFERROR(IF(ISNUMBER(INDEX($K$9:$K$2008,$W340)),INDEX($K$9:$K$2008,$W340),VALUE(SUBSTITUTE(INDEX($K$9:$K$2008,$W340),",",""))),""))</f>
        <v/>
      </c>
      <c r="AJ340" s="30">
        <f>IF($W340="","",IFERROR(IF(ISNUMBER(INDEX($L$9:$L$2008,$W340)),INDEX($L$9:$L$2008,$W340),VALUE(SUBSTITUTE(INDEX($L$9:$L$2008,$W340),",",""))),""))</f>
        <v/>
      </c>
      <c r="AK340" s="30">
        <f>IF($W340="","",IFERROR(IF(ISNUMBER(INDEX($M$9:$M$2008,$W340)),INDEX($M$9:$M$2008,$W340),VALUE(SUBSTITUTE(INDEX($M$9:$M$2008,$W340),",",""))),""))</f>
        <v/>
      </c>
      <c r="AL340" s="31">
        <f>IF($W340="","",IFERROR(IF(ISNUMBER(INDEX($P$9:$P$2008,$W340)),INDEX($P$9:$P$2008,$W340),VALUE(SUBSTITUTE(INDEX($P$9:$P$2008,$W340),"%",""))/100),""))</f>
        <v/>
      </c>
    </row>
    <row r="341">
      <c r="S341">
        <f>IF(AND(ISTEXT($A341),ISNUMBER(SEARCH(" - ",$A341)),ISERROR(SEARCH("Folio",$A341)),$D341=""),TRIM($A341),$S340)</f>
        <v/>
      </c>
      <c r="T341">
        <f>IF(AND(ISNUMBER(SEARCH("Folio",$A341)),$D341&lt;&gt;""),1,"")</f>
        <v/>
      </c>
      <c r="U341">
        <f>IF($T341=1,COUNTIF($T$9:$T341,1),"")</f>
        <v/>
      </c>
      <c r="V341">
        <f>IF(AND(ISTEXT($A341),LEFT($A342,3)="Pan"),1,"")</f>
        <v/>
      </c>
      <c r="W341" s="21">
        <f>IFERROR(MATCH(333,$U$9:$U$2008,0),"")</f>
        <v/>
      </c>
      <c r="X341" s="22">
        <f>IF($W341="","",IF($R$5&lt;&gt;"",$R$5,$R$6))</f>
        <v/>
      </c>
      <c r="Y341" s="22">
        <f>IF($W341="","",INDEX($S$9:$S$2008,$W341))</f>
        <v/>
      </c>
      <c r="Z341" s="22">
        <f>IF($W341="","",IFERROR(TRIM(LEFT(SUBSTITUTE(INDEX($A$9:$A$2008,$W341),CHAR(10)," "),SEARCH("Folio",SUBSTITUTE(INDEX($A$9:$A$2008,$W341),CHAR(10)," "))-1)),TRIM(SUBSTITUTE(INDEX($A$9:$A$2008,$W341),CHAR(10)," "))))</f>
        <v/>
      </c>
      <c r="AA341" s="22">
        <f>IF($W341="","",IFERROR(TRIM(SUBSTITUTE(MID(SUBSTITUTE(INDEX($A$9:$A$2008,$W341),CHAR(10)," "),SEARCH("Folio",SUBSTITUTE(INDEX($A$9:$A$2008,$W341),CHAR(10)," "))+5,200),":","")),""))</f>
        <v/>
      </c>
      <c r="AB341" s="23">
        <f>IF($W341="","",IF(ISNUMBER(INDEX($D$9:$D$2008,$W341)),INDEX($D$9:$D$2008,$W341),IFERROR(DATE(2000+VALUE(RIGHT(INDEX($D$9:$D$2008,$W341),2)),VALUE(MID(INDEX($D$9:$D$2008,$W341),4,2)),VALUE(LEFT(INDEX($D$9:$D$2008,$W341),2))),"")))</f>
        <v/>
      </c>
      <c r="AC341" s="24">
        <f>IF($W341="","",IFERROR(IF(ISNUMBER(INDEX($E$9:$E$2008,$W341)),INDEX($E$9:$E$2008,$W341),VALUE(SUBSTITUTE(INDEX($E$9:$E$2008,$W341),",",""))),""))</f>
        <v/>
      </c>
      <c r="AD341" s="24">
        <f>IF($W341="","",IFERROR(IF(ISNUMBER(INDEX($F$9:$F$2008,$W341)),INDEX($F$9:$F$2008,$W341),VALUE(SUBSTITUTE(INDEX($F$9:$F$2008,$W341),",",""))),""))</f>
        <v/>
      </c>
      <c r="AE341" s="24">
        <f>IF($W341="","",IFERROR(IF(ISNUMBER(INDEX($G$9:$G$2008,$W341)),INDEX($G$9:$G$2008,$W341),VALUE(SUBSTITUTE(INDEX($G$9:$G$2008,$W341),",",""))),""))</f>
        <v/>
      </c>
      <c r="AF341" s="24">
        <f>IF($W341="","",IFERROR(IF(ISNUMBER(INDEX($H$9:$H$2008,$W341)),INDEX($H$9:$H$2008,$W341),VALUE(SUBSTITUTE(INDEX($H$9:$H$2008,$W341),",",""))),""))</f>
        <v/>
      </c>
      <c r="AG341" s="24">
        <f>IF($W341="","",IFERROR(IF(ISNUMBER(INDEX($I$9:$I$2008,$W341)),INDEX($I$9:$I$2008,$W341),VALUE(SUBSTITUTE(INDEX($I$9:$I$2008,$W341),",",""))),""))</f>
        <v/>
      </c>
      <c r="AH341" s="24">
        <f>IF($W341="","",IFERROR(IF(ISNUMBER(INDEX($J$9:$J$2008,$W341)),INDEX($J$9:$J$2008,$W341),VALUE(SUBSTITUTE(INDEX($J$9:$J$2008,$W341),",",""))),""))</f>
        <v/>
      </c>
      <c r="AI341" s="24">
        <f>IF($W341="","",IFERROR(IF(ISNUMBER(INDEX($K$9:$K$2008,$W341)),INDEX($K$9:$K$2008,$W341),VALUE(SUBSTITUTE(INDEX($K$9:$K$2008,$W341),",",""))),""))</f>
        <v/>
      </c>
      <c r="AJ341" s="25">
        <f>IF($W341="","",IFERROR(IF(ISNUMBER(INDEX($L$9:$L$2008,$W341)),INDEX($L$9:$L$2008,$W341),VALUE(SUBSTITUTE(INDEX($L$9:$L$2008,$W341),",",""))),""))</f>
        <v/>
      </c>
      <c r="AK341" s="25">
        <f>IF($W341="","",IFERROR(IF(ISNUMBER(INDEX($M$9:$M$2008,$W341)),INDEX($M$9:$M$2008,$W341),VALUE(SUBSTITUTE(INDEX($M$9:$M$2008,$W341),",",""))),""))</f>
        <v/>
      </c>
      <c r="AL341" s="26">
        <f>IF($W341="","",IFERROR(IF(ISNUMBER(INDEX($P$9:$P$2008,$W341)),INDEX($P$9:$P$2008,$W341),VALUE(SUBSTITUTE(INDEX($P$9:$P$2008,$W341),"%",""))/100),""))</f>
        <v/>
      </c>
    </row>
    <row r="342">
      <c r="S342">
        <f>IF(AND(ISTEXT($A342),ISNUMBER(SEARCH(" - ",$A342)),ISERROR(SEARCH("Folio",$A342)),$D342=""),TRIM($A342),$S341)</f>
        <v/>
      </c>
      <c r="T342">
        <f>IF(AND(ISNUMBER(SEARCH("Folio",$A342)),$D342&lt;&gt;""),1,"")</f>
        <v/>
      </c>
      <c r="U342">
        <f>IF($T342=1,COUNTIF($T$9:$T342,1),"")</f>
        <v/>
      </c>
      <c r="V342">
        <f>IF(AND(ISTEXT($A342),LEFT($A343,3)="Pan"),1,"")</f>
        <v/>
      </c>
      <c r="W342" s="21">
        <f>IFERROR(MATCH(334,$U$9:$U$2008,0),"")</f>
        <v/>
      </c>
      <c r="X342" s="27">
        <f>IF($W342="","",IF($R$5&lt;&gt;"",$R$5,$R$6))</f>
        <v/>
      </c>
      <c r="Y342" s="27">
        <f>IF($W342="","",INDEX($S$9:$S$2008,$W342))</f>
        <v/>
      </c>
      <c r="Z342" s="27">
        <f>IF($W342="","",IFERROR(TRIM(LEFT(SUBSTITUTE(INDEX($A$9:$A$2008,$W342),CHAR(10)," "),SEARCH("Folio",SUBSTITUTE(INDEX($A$9:$A$2008,$W342),CHAR(10)," "))-1)),TRIM(SUBSTITUTE(INDEX($A$9:$A$2008,$W342),CHAR(10)," "))))</f>
        <v/>
      </c>
      <c r="AA342" s="27">
        <f>IF($W342="","",IFERROR(TRIM(SUBSTITUTE(MID(SUBSTITUTE(INDEX($A$9:$A$2008,$W342),CHAR(10)," "),SEARCH("Folio",SUBSTITUTE(INDEX($A$9:$A$2008,$W342),CHAR(10)," "))+5,200),":","")),""))</f>
        <v/>
      </c>
      <c r="AB342" s="28">
        <f>IF($W342="","",IF(ISNUMBER(INDEX($D$9:$D$2008,$W342)),INDEX($D$9:$D$2008,$W342),IFERROR(DATE(2000+VALUE(RIGHT(INDEX($D$9:$D$2008,$W342),2)),VALUE(MID(INDEX($D$9:$D$2008,$W342),4,2)),VALUE(LEFT(INDEX($D$9:$D$2008,$W342),2))),"")))</f>
        <v/>
      </c>
      <c r="AC342" s="29">
        <f>IF($W342="","",IFERROR(IF(ISNUMBER(INDEX($E$9:$E$2008,$W342)),INDEX($E$9:$E$2008,$W342),VALUE(SUBSTITUTE(INDEX($E$9:$E$2008,$W342),",",""))),""))</f>
        <v/>
      </c>
      <c r="AD342" s="29">
        <f>IF($W342="","",IFERROR(IF(ISNUMBER(INDEX($F$9:$F$2008,$W342)),INDEX($F$9:$F$2008,$W342),VALUE(SUBSTITUTE(INDEX($F$9:$F$2008,$W342),",",""))),""))</f>
        <v/>
      </c>
      <c r="AE342" s="29">
        <f>IF($W342="","",IFERROR(IF(ISNUMBER(INDEX($G$9:$G$2008,$W342)),INDEX($G$9:$G$2008,$W342),VALUE(SUBSTITUTE(INDEX($G$9:$G$2008,$W342),",",""))),""))</f>
        <v/>
      </c>
      <c r="AF342" s="29">
        <f>IF($W342="","",IFERROR(IF(ISNUMBER(INDEX($H$9:$H$2008,$W342)),INDEX($H$9:$H$2008,$W342),VALUE(SUBSTITUTE(INDEX($H$9:$H$2008,$W342),",",""))),""))</f>
        <v/>
      </c>
      <c r="AG342" s="29">
        <f>IF($W342="","",IFERROR(IF(ISNUMBER(INDEX($I$9:$I$2008,$W342)),INDEX($I$9:$I$2008,$W342),VALUE(SUBSTITUTE(INDEX($I$9:$I$2008,$W342),",",""))),""))</f>
        <v/>
      </c>
      <c r="AH342" s="29">
        <f>IF($W342="","",IFERROR(IF(ISNUMBER(INDEX($J$9:$J$2008,$W342)),INDEX($J$9:$J$2008,$W342),VALUE(SUBSTITUTE(INDEX($J$9:$J$2008,$W342),",",""))),""))</f>
        <v/>
      </c>
      <c r="AI342" s="29">
        <f>IF($W342="","",IFERROR(IF(ISNUMBER(INDEX($K$9:$K$2008,$W342)),INDEX($K$9:$K$2008,$W342),VALUE(SUBSTITUTE(INDEX($K$9:$K$2008,$W342),",",""))),""))</f>
        <v/>
      </c>
      <c r="AJ342" s="30">
        <f>IF($W342="","",IFERROR(IF(ISNUMBER(INDEX($L$9:$L$2008,$W342)),INDEX($L$9:$L$2008,$W342),VALUE(SUBSTITUTE(INDEX($L$9:$L$2008,$W342),",",""))),""))</f>
        <v/>
      </c>
      <c r="AK342" s="30">
        <f>IF($W342="","",IFERROR(IF(ISNUMBER(INDEX($M$9:$M$2008,$W342)),INDEX($M$9:$M$2008,$W342),VALUE(SUBSTITUTE(INDEX($M$9:$M$2008,$W342),",",""))),""))</f>
        <v/>
      </c>
      <c r="AL342" s="31">
        <f>IF($W342="","",IFERROR(IF(ISNUMBER(INDEX($P$9:$P$2008,$W342)),INDEX($P$9:$P$2008,$W342),VALUE(SUBSTITUTE(INDEX($P$9:$P$2008,$W342),"%",""))/100),""))</f>
        <v/>
      </c>
    </row>
    <row r="343">
      <c r="S343">
        <f>IF(AND(ISTEXT($A343),ISNUMBER(SEARCH(" - ",$A343)),ISERROR(SEARCH("Folio",$A343)),$D343=""),TRIM($A343),$S342)</f>
        <v/>
      </c>
      <c r="T343">
        <f>IF(AND(ISNUMBER(SEARCH("Folio",$A343)),$D343&lt;&gt;""),1,"")</f>
        <v/>
      </c>
      <c r="U343">
        <f>IF($T343=1,COUNTIF($T$9:$T343,1),"")</f>
        <v/>
      </c>
      <c r="V343">
        <f>IF(AND(ISTEXT($A343),LEFT($A344,3)="Pan"),1,"")</f>
        <v/>
      </c>
      <c r="W343" s="21">
        <f>IFERROR(MATCH(335,$U$9:$U$2008,0),"")</f>
        <v/>
      </c>
      <c r="X343" s="22">
        <f>IF($W343="","",IF($R$5&lt;&gt;"",$R$5,$R$6))</f>
        <v/>
      </c>
      <c r="Y343" s="22">
        <f>IF($W343="","",INDEX($S$9:$S$2008,$W343))</f>
        <v/>
      </c>
      <c r="Z343" s="22">
        <f>IF($W343="","",IFERROR(TRIM(LEFT(SUBSTITUTE(INDEX($A$9:$A$2008,$W343),CHAR(10)," "),SEARCH("Folio",SUBSTITUTE(INDEX($A$9:$A$2008,$W343),CHAR(10)," "))-1)),TRIM(SUBSTITUTE(INDEX($A$9:$A$2008,$W343),CHAR(10)," "))))</f>
        <v/>
      </c>
      <c r="AA343" s="22">
        <f>IF($W343="","",IFERROR(TRIM(SUBSTITUTE(MID(SUBSTITUTE(INDEX($A$9:$A$2008,$W343),CHAR(10)," "),SEARCH("Folio",SUBSTITUTE(INDEX($A$9:$A$2008,$W343),CHAR(10)," "))+5,200),":","")),""))</f>
        <v/>
      </c>
      <c r="AB343" s="23">
        <f>IF($W343="","",IF(ISNUMBER(INDEX($D$9:$D$2008,$W343)),INDEX($D$9:$D$2008,$W343),IFERROR(DATE(2000+VALUE(RIGHT(INDEX($D$9:$D$2008,$W343),2)),VALUE(MID(INDEX($D$9:$D$2008,$W343),4,2)),VALUE(LEFT(INDEX($D$9:$D$2008,$W343),2))),"")))</f>
        <v/>
      </c>
      <c r="AC343" s="24">
        <f>IF($W343="","",IFERROR(IF(ISNUMBER(INDEX($E$9:$E$2008,$W343)),INDEX($E$9:$E$2008,$W343),VALUE(SUBSTITUTE(INDEX($E$9:$E$2008,$W343),",",""))),""))</f>
        <v/>
      </c>
      <c r="AD343" s="24">
        <f>IF($W343="","",IFERROR(IF(ISNUMBER(INDEX($F$9:$F$2008,$W343)),INDEX($F$9:$F$2008,$W343),VALUE(SUBSTITUTE(INDEX($F$9:$F$2008,$W343),",",""))),""))</f>
        <v/>
      </c>
      <c r="AE343" s="24">
        <f>IF($W343="","",IFERROR(IF(ISNUMBER(INDEX($G$9:$G$2008,$W343)),INDEX($G$9:$G$2008,$W343),VALUE(SUBSTITUTE(INDEX($G$9:$G$2008,$W343),",",""))),""))</f>
        <v/>
      </c>
      <c r="AF343" s="24">
        <f>IF($W343="","",IFERROR(IF(ISNUMBER(INDEX($H$9:$H$2008,$W343)),INDEX($H$9:$H$2008,$W343),VALUE(SUBSTITUTE(INDEX($H$9:$H$2008,$W343),",",""))),""))</f>
        <v/>
      </c>
      <c r="AG343" s="24">
        <f>IF($W343="","",IFERROR(IF(ISNUMBER(INDEX($I$9:$I$2008,$W343)),INDEX($I$9:$I$2008,$W343),VALUE(SUBSTITUTE(INDEX($I$9:$I$2008,$W343),",",""))),""))</f>
        <v/>
      </c>
      <c r="AH343" s="24">
        <f>IF($W343="","",IFERROR(IF(ISNUMBER(INDEX($J$9:$J$2008,$W343)),INDEX($J$9:$J$2008,$W343),VALUE(SUBSTITUTE(INDEX($J$9:$J$2008,$W343),",",""))),""))</f>
        <v/>
      </c>
      <c r="AI343" s="24">
        <f>IF($W343="","",IFERROR(IF(ISNUMBER(INDEX($K$9:$K$2008,$W343)),INDEX($K$9:$K$2008,$W343),VALUE(SUBSTITUTE(INDEX($K$9:$K$2008,$W343),",",""))),""))</f>
        <v/>
      </c>
      <c r="AJ343" s="25">
        <f>IF($W343="","",IFERROR(IF(ISNUMBER(INDEX($L$9:$L$2008,$W343)),INDEX($L$9:$L$2008,$W343),VALUE(SUBSTITUTE(INDEX($L$9:$L$2008,$W343),",",""))),""))</f>
        <v/>
      </c>
      <c r="AK343" s="25">
        <f>IF($W343="","",IFERROR(IF(ISNUMBER(INDEX($M$9:$M$2008,$W343)),INDEX($M$9:$M$2008,$W343),VALUE(SUBSTITUTE(INDEX($M$9:$M$2008,$W343),",",""))),""))</f>
        <v/>
      </c>
      <c r="AL343" s="26">
        <f>IF($W343="","",IFERROR(IF(ISNUMBER(INDEX($P$9:$P$2008,$W343)),INDEX($P$9:$P$2008,$W343),VALUE(SUBSTITUTE(INDEX($P$9:$P$2008,$W343),"%",""))/100),""))</f>
        <v/>
      </c>
    </row>
    <row r="344">
      <c r="S344">
        <f>IF(AND(ISTEXT($A344),ISNUMBER(SEARCH(" - ",$A344)),ISERROR(SEARCH("Folio",$A344)),$D344=""),TRIM($A344),$S343)</f>
        <v/>
      </c>
      <c r="T344">
        <f>IF(AND(ISNUMBER(SEARCH("Folio",$A344)),$D344&lt;&gt;""),1,"")</f>
        <v/>
      </c>
      <c r="U344">
        <f>IF($T344=1,COUNTIF($T$9:$T344,1),"")</f>
        <v/>
      </c>
      <c r="V344">
        <f>IF(AND(ISTEXT($A344),LEFT($A345,3)="Pan"),1,"")</f>
        <v/>
      </c>
      <c r="W344" s="21">
        <f>IFERROR(MATCH(336,$U$9:$U$2008,0),"")</f>
        <v/>
      </c>
      <c r="X344" s="27">
        <f>IF($W344="","",IF($R$5&lt;&gt;"",$R$5,$R$6))</f>
        <v/>
      </c>
      <c r="Y344" s="27">
        <f>IF($W344="","",INDEX($S$9:$S$2008,$W344))</f>
        <v/>
      </c>
      <c r="Z344" s="27">
        <f>IF($W344="","",IFERROR(TRIM(LEFT(SUBSTITUTE(INDEX($A$9:$A$2008,$W344),CHAR(10)," "),SEARCH("Folio",SUBSTITUTE(INDEX($A$9:$A$2008,$W344),CHAR(10)," "))-1)),TRIM(SUBSTITUTE(INDEX($A$9:$A$2008,$W344),CHAR(10)," "))))</f>
        <v/>
      </c>
      <c r="AA344" s="27">
        <f>IF($W344="","",IFERROR(TRIM(SUBSTITUTE(MID(SUBSTITUTE(INDEX($A$9:$A$2008,$W344),CHAR(10)," "),SEARCH("Folio",SUBSTITUTE(INDEX($A$9:$A$2008,$W344),CHAR(10)," "))+5,200),":","")),""))</f>
        <v/>
      </c>
      <c r="AB344" s="28">
        <f>IF($W344="","",IF(ISNUMBER(INDEX($D$9:$D$2008,$W344)),INDEX($D$9:$D$2008,$W344),IFERROR(DATE(2000+VALUE(RIGHT(INDEX($D$9:$D$2008,$W344),2)),VALUE(MID(INDEX($D$9:$D$2008,$W344),4,2)),VALUE(LEFT(INDEX($D$9:$D$2008,$W344),2))),"")))</f>
        <v/>
      </c>
      <c r="AC344" s="29">
        <f>IF($W344="","",IFERROR(IF(ISNUMBER(INDEX($E$9:$E$2008,$W344)),INDEX($E$9:$E$2008,$W344),VALUE(SUBSTITUTE(INDEX($E$9:$E$2008,$W344),",",""))),""))</f>
        <v/>
      </c>
      <c r="AD344" s="29">
        <f>IF($W344="","",IFERROR(IF(ISNUMBER(INDEX($F$9:$F$2008,$W344)),INDEX($F$9:$F$2008,$W344),VALUE(SUBSTITUTE(INDEX($F$9:$F$2008,$W344),",",""))),""))</f>
        <v/>
      </c>
      <c r="AE344" s="29">
        <f>IF($W344="","",IFERROR(IF(ISNUMBER(INDEX($G$9:$G$2008,$W344)),INDEX($G$9:$G$2008,$W344),VALUE(SUBSTITUTE(INDEX($G$9:$G$2008,$W344),",",""))),""))</f>
        <v/>
      </c>
      <c r="AF344" s="29">
        <f>IF($W344="","",IFERROR(IF(ISNUMBER(INDEX($H$9:$H$2008,$W344)),INDEX($H$9:$H$2008,$W344),VALUE(SUBSTITUTE(INDEX($H$9:$H$2008,$W344),",",""))),""))</f>
        <v/>
      </c>
      <c r="AG344" s="29">
        <f>IF($W344="","",IFERROR(IF(ISNUMBER(INDEX($I$9:$I$2008,$W344)),INDEX($I$9:$I$2008,$W344),VALUE(SUBSTITUTE(INDEX($I$9:$I$2008,$W344),",",""))),""))</f>
        <v/>
      </c>
      <c r="AH344" s="29">
        <f>IF($W344="","",IFERROR(IF(ISNUMBER(INDEX($J$9:$J$2008,$W344)),INDEX($J$9:$J$2008,$W344),VALUE(SUBSTITUTE(INDEX($J$9:$J$2008,$W344),",",""))),""))</f>
        <v/>
      </c>
      <c r="AI344" s="29">
        <f>IF($W344="","",IFERROR(IF(ISNUMBER(INDEX($K$9:$K$2008,$W344)),INDEX($K$9:$K$2008,$W344),VALUE(SUBSTITUTE(INDEX($K$9:$K$2008,$W344),",",""))),""))</f>
        <v/>
      </c>
      <c r="AJ344" s="30">
        <f>IF($W344="","",IFERROR(IF(ISNUMBER(INDEX($L$9:$L$2008,$W344)),INDEX($L$9:$L$2008,$W344),VALUE(SUBSTITUTE(INDEX($L$9:$L$2008,$W344),",",""))),""))</f>
        <v/>
      </c>
      <c r="AK344" s="30">
        <f>IF($W344="","",IFERROR(IF(ISNUMBER(INDEX($M$9:$M$2008,$W344)),INDEX($M$9:$M$2008,$W344),VALUE(SUBSTITUTE(INDEX($M$9:$M$2008,$W344),",",""))),""))</f>
        <v/>
      </c>
      <c r="AL344" s="31">
        <f>IF($W344="","",IFERROR(IF(ISNUMBER(INDEX($P$9:$P$2008,$W344)),INDEX($P$9:$P$2008,$W344),VALUE(SUBSTITUTE(INDEX($P$9:$P$2008,$W344),"%",""))/100),""))</f>
        <v/>
      </c>
    </row>
    <row r="345">
      <c r="S345">
        <f>IF(AND(ISTEXT($A345),ISNUMBER(SEARCH(" - ",$A345)),ISERROR(SEARCH("Folio",$A345)),$D345=""),TRIM($A345),$S344)</f>
        <v/>
      </c>
      <c r="T345">
        <f>IF(AND(ISNUMBER(SEARCH("Folio",$A345)),$D345&lt;&gt;""),1,"")</f>
        <v/>
      </c>
      <c r="U345">
        <f>IF($T345=1,COUNTIF($T$9:$T345,1),"")</f>
        <v/>
      </c>
      <c r="V345">
        <f>IF(AND(ISTEXT($A345),LEFT($A346,3)="Pan"),1,"")</f>
        <v/>
      </c>
      <c r="W345" s="21">
        <f>IFERROR(MATCH(337,$U$9:$U$2008,0),"")</f>
        <v/>
      </c>
      <c r="X345" s="22">
        <f>IF($W345="","",IF($R$5&lt;&gt;"",$R$5,$R$6))</f>
        <v/>
      </c>
      <c r="Y345" s="22">
        <f>IF($W345="","",INDEX($S$9:$S$2008,$W345))</f>
        <v/>
      </c>
      <c r="Z345" s="22">
        <f>IF($W345="","",IFERROR(TRIM(LEFT(SUBSTITUTE(INDEX($A$9:$A$2008,$W345),CHAR(10)," "),SEARCH("Folio",SUBSTITUTE(INDEX($A$9:$A$2008,$W345),CHAR(10)," "))-1)),TRIM(SUBSTITUTE(INDEX($A$9:$A$2008,$W345),CHAR(10)," "))))</f>
        <v/>
      </c>
      <c r="AA345" s="22">
        <f>IF($W345="","",IFERROR(TRIM(SUBSTITUTE(MID(SUBSTITUTE(INDEX($A$9:$A$2008,$W345),CHAR(10)," "),SEARCH("Folio",SUBSTITUTE(INDEX($A$9:$A$2008,$W345),CHAR(10)," "))+5,200),":","")),""))</f>
        <v/>
      </c>
      <c r="AB345" s="23">
        <f>IF($W345="","",IF(ISNUMBER(INDEX($D$9:$D$2008,$W345)),INDEX($D$9:$D$2008,$W345),IFERROR(DATE(2000+VALUE(RIGHT(INDEX($D$9:$D$2008,$W345),2)),VALUE(MID(INDEX($D$9:$D$2008,$W345),4,2)),VALUE(LEFT(INDEX($D$9:$D$2008,$W345),2))),"")))</f>
        <v/>
      </c>
      <c r="AC345" s="24">
        <f>IF($W345="","",IFERROR(IF(ISNUMBER(INDEX($E$9:$E$2008,$W345)),INDEX($E$9:$E$2008,$W345),VALUE(SUBSTITUTE(INDEX($E$9:$E$2008,$W345),",",""))),""))</f>
        <v/>
      </c>
      <c r="AD345" s="24">
        <f>IF($W345="","",IFERROR(IF(ISNUMBER(INDEX($F$9:$F$2008,$W345)),INDEX($F$9:$F$2008,$W345),VALUE(SUBSTITUTE(INDEX($F$9:$F$2008,$W345),",",""))),""))</f>
        <v/>
      </c>
      <c r="AE345" s="24">
        <f>IF($W345="","",IFERROR(IF(ISNUMBER(INDEX($G$9:$G$2008,$W345)),INDEX($G$9:$G$2008,$W345),VALUE(SUBSTITUTE(INDEX($G$9:$G$2008,$W345),",",""))),""))</f>
        <v/>
      </c>
      <c r="AF345" s="24">
        <f>IF($W345="","",IFERROR(IF(ISNUMBER(INDEX($H$9:$H$2008,$W345)),INDEX($H$9:$H$2008,$W345),VALUE(SUBSTITUTE(INDEX($H$9:$H$2008,$W345),",",""))),""))</f>
        <v/>
      </c>
      <c r="AG345" s="24">
        <f>IF($W345="","",IFERROR(IF(ISNUMBER(INDEX($I$9:$I$2008,$W345)),INDEX($I$9:$I$2008,$W345),VALUE(SUBSTITUTE(INDEX($I$9:$I$2008,$W345),",",""))),""))</f>
        <v/>
      </c>
      <c r="AH345" s="24">
        <f>IF($W345="","",IFERROR(IF(ISNUMBER(INDEX($J$9:$J$2008,$W345)),INDEX($J$9:$J$2008,$W345),VALUE(SUBSTITUTE(INDEX($J$9:$J$2008,$W345),",",""))),""))</f>
        <v/>
      </c>
      <c r="AI345" s="24">
        <f>IF($W345="","",IFERROR(IF(ISNUMBER(INDEX($K$9:$K$2008,$W345)),INDEX($K$9:$K$2008,$W345),VALUE(SUBSTITUTE(INDEX($K$9:$K$2008,$W345),",",""))),""))</f>
        <v/>
      </c>
      <c r="AJ345" s="25">
        <f>IF($W345="","",IFERROR(IF(ISNUMBER(INDEX($L$9:$L$2008,$W345)),INDEX($L$9:$L$2008,$W345),VALUE(SUBSTITUTE(INDEX($L$9:$L$2008,$W345),",",""))),""))</f>
        <v/>
      </c>
      <c r="AK345" s="25">
        <f>IF($W345="","",IFERROR(IF(ISNUMBER(INDEX($M$9:$M$2008,$W345)),INDEX($M$9:$M$2008,$W345),VALUE(SUBSTITUTE(INDEX($M$9:$M$2008,$W345),",",""))),""))</f>
        <v/>
      </c>
      <c r="AL345" s="26">
        <f>IF($W345="","",IFERROR(IF(ISNUMBER(INDEX($P$9:$P$2008,$W345)),INDEX($P$9:$P$2008,$W345),VALUE(SUBSTITUTE(INDEX($P$9:$P$2008,$W345),"%",""))/100),""))</f>
        <v/>
      </c>
    </row>
    <row r="346">
      <c r="S346">
        <f>IF(AND(ISTEXT($A346),ISNUMBER(SEARCH(" - ",$A346)),ISERROR(SEARCH("Folio",$A346)),$D346=""),TRIM($A346),$S345)</f>
        <v/>
      </c>
      <c r="T346">
        <f>IF(AND(ISNUMBER(SEARCH("Folio",$A346)),$D346&lt;&gt;""),1,"")</f>
        <v/>
      </c>
      <c r="U346">
        <f>IF($T346=1,COUNTIF($T$9:$T346,1),"")</f>
        <v/>
      </c>
      <c r="V346">
        <f>IF(AND(ISTEXT($A346),LEFT($A347,3)="Pan"),1,"")</f>
        <v/>
      </c>
      <c r="W346" s="21">
        <f>IFERROR(MATCH(338,$U$9:$U$2008,0),"")</f>
        <v/>
      </c>
      <c r="X346" s="27">
        <f>IF($W346="","",IF($R$5&lt;&gt;"",$R$5,$R$6))</f>
        <v/>
      </c>
      <c r="Y346" s="27">
        <f>IF($W346="","",INDEX($S$9:$S$2008,$W346))</f>
        <v/>
      </c>
      <c r="Z346" s="27">
        <f>IF($W346="","",IFERROR(TRIM(LEFT(SUBSTITUTE(INDEX($A$9:$A$2008,$W346),CHAR(10)," "),SEARCH("Folio",SUBSTITUTE(INDEX($A$9:$A$2008,$W346),CHAR(10)," "))-1)),TRIM(SUBSTITUTE(INDEX($A$9:$A$2008,$W346),CHAR(10)," "))))</f>
        <v/>
      </c>
      <c r="AA346" s="27">
        <f>IF($W346="","",IFERROR(TRIM(SUBSTITUTE(MID(SUBSTITUTE(INDEX($A$9:$A$2008,$W346),CHAR(10)," "),SEARCH("Folio",SUBSTITUTE(INDEX($A$9:$A$2008,$W346),CHAR(10)," "))+5,200),":","")),""))</f>
        <v/>
      </c>
      <c r="AB346" s="28">
        <f>IF($W346="","",IF(ISNUMBER(INDEX($D$9:$D$2008,$W346)),INDEX($D$9:$D$2008,$W346),IFERROR(DATE(2000+VALUE(RIGHT(INDEX($D$9:$D$2008,$W346),2)),VALUE(MID(INDEX($D$9:$D$2008,$W346),4,2)),VALUE(LEFT(INDEX($D$9:$D$2008,$W346),2))),"")))</f>
        <v/>
      </c>
      <c r="AC346" s="29">
        <f>IF($W346="","",IFERROR(IF(ISNUMBER(INDEX($E$9:$E$2008,$W346)),INDEX($E$9:$E$2008,$W346),VALUE(SUBSTITUTE(INDEX($E$9:$E$2008,$W346),",",""))),""))</f>
        <v/>
      </c>
      <c r="AD346" s="29">
        <f>IF($W346="","",IFERROR(IF(ISNUMBER(INDEX($F$9:$F$2008,$W346)),INDEX($F$9:$F$2008,$W346),VALUE(SUBSTITUTE(INDEX($F$9:$F$2008,$W346),",",""))),""))</f>
        <v/>
      </c>
      <c r="AE346" s="29">
        <f>IF($W346="","",IFERROR(IF(ISNUMBER(INDEX($G$9:$G$2008,$W346)),INDEX($G$9:$G$2008,$W346),VALUE(SUBSTITUTE(INDEX($G$9:$G$2008,$W346),",",""))),""))</f>
        <v/>
      </c>
      <c r="AF346" s="29">
        <f>IF($W346="","",IFERROR(IF(ISNUMBER(INDEX($H$9:$H$2008,$W346)),INDEX($H$9:$H$2008,$W346),VALUE(SUBSTITUTE(INDEX($H$9:$H$2008,$W346),",",""))),""))</f>
        <v/>
      </c>
      <c r="AG346" s="29">
        <f>IF($W346="","",IFERROR(IF(ISNUMBER(INDEX($I$9:$I$2008,$W346)),INDEX($I$9:$I$2008,$W346),VALUE(SUBSTITUTE(INDEX($I$9:$I$2008,$W346),",",""))),""))</f>
        <v/>
      </c>
      <c r="AH346" s="29">
        <f>IF($W346="","",IFERROR(IF(ISNUMBER(INDEX($J$9:$J$2008,$W346)),INDEX($J$9:$J$2008,$W346),VALUE(SUBSTITUTE(INDEX($J$9:$J$2008,$W346),",",""))),""))</f>
        <v/>
      </c>
      <c r="AI346" s="29">
        <f>IF($W346="","",IFERROR(IF(ISNUMBER(INDEX($K$9:$K$2008,$W346)),INDEX($K$9:$K$2008,$W346),VALUE(SUBSTITUTE(INDEX($K$9:$K$2008,$W346),",",""))),""))</f>
        <v/>
      </c>
      <c r="AJ346" s="30">
        <f>IF($W346="","",IFERROR(IF(ISNUMBER(INDEX($L$9:$L$2008,$W346)),INDEX($L$9:$L$2008,$W346),VALUE(SUBSTITUTE(INDEX($L$9:$L$2008,$W346),",",""))),""))</f>
        <v/>
      </c>
      <c r="AK346" s="30">
        <f>IF($W346="","",IFERROR(IF(ISNUMBER(INDEX($M$9:$M$2008,$W346)),INDEX($M$9:$M$2008,$W346),VALUE(SUBSTITUTE(INDEX($M$9:$M$2008,$W346),",",""))),""))</f>
        <v/>
      </c>
      <c r="AL346" s="31">
        <f>IF($W346="","",IFERROR(IF(ISNUMBER(INDEX($P$9:$P$2008,$W346)),INDEX($P$9:$P$2008,$W346),VALUE(SUBSTITUTE(INDEX($P$9:$P$2008,$W346),"%",""))/100),""))</f>
        <v/>
      </c>
    </row>
    <row r="347">
      <c r="S347">
        <f>IF(AND(ISTEXT($A347),ISNUMBER(SEARCH(" - ",$A347)),ISERROR(SEARCH("Folio",$A347)),$D347=""),TRIM($A347),$S346)</f>
        <v/>
      </c>
      <c r="T347">
        <f>IF(AND(ISNUMBER(SEARCH("Folio",$A347)),$D347&lt;&gt;""),1,"")</f>
        <v/>
      </c>
      <c r="U347">
        <f>IF($T347=1,COUNTIF($T$9:$T347,1),"")</f>
        <v/>
      </c>
      <c r="V347">
        <f>IF(AND(ISTEXT($A347),LEFT($A348,3)="Pan"),1,"")</f>
        <v/>
      </c>
      <c r="W347" s="21">
        <f>IFERROR(MATCH(339,$U$9:$U$2008,0),"")</f>
        <v/>
      </c>
      <c r="X347" s="22">
        <f>IF($W347="","",IF($R$5&lt;&gt;"",$R$5,$R$6))</f>
        <v/>
      </c>
      <c r="Y347" s="22">
        <f>IF($W347="","",INDEX($S$9:$S$2008,$W347))</f>
        <v/>
      </c>
      <c r="Z347" s="22">
        <f>IF($W347="","",IFERROR(TRIM(LEFT(SUBSTITUTE(INDEX($A$9:$A$2008,$W347),CHAR(10)," "),SEARCH("Folio",SUBSTITUTE(INDEX($A$9:$A$2008,$W347),CHAR(10)," "))-1)),TRIM(SUBSTITUTE(INDEX($A$9:$A$2008,$W347),CHAR(10)," "))))</f>
        <v/>
      </c>
      <c r="AA347" s="22">
        <f>IF($W347="","",IFERROR(TRIM(SUBSTITUTE(MID(SUBSTITUTE(INDEX($A$9:$A$2008,$W347),CHAR(10)," "),SEARCH("Folio",SUBSTITUTE(INDEX($A$9:$A$2008,$W347),CHAR(10)," "))+5,200),":","")),""))</f>
        <v/>
      </c>
      <c r="AB347" s="23">
        <f>IF($W347="","",IF(ISNUMBER(INDEX($D$9:$D$2008,$W347)),INDEX($D$9:$D$2008,$W347),IFERROR(DATE(2000+VALUE(RIGHT(INDEX($D$9:$D$2008,$W347),2)),VALUE(MID(INDEX($D$9:$D$2008,$W347),4,2)),VALUE(LEFT(INDEX($D$9:$D$2008,$W347),2))),"")))</f>
        <v/>
      </c>
      <c r="AC347" s="24">
        <f>IF($W347="","",IFERROR(IF(ISNUMBER(INDEX($E$9:$E$2008,$W347)),INDEX($E$9:$E$2008,$W347),VALUE(SUBSTITUTE(INDEX($E$9:$E$2008,$W347),",",""))),""))</f>
        <v/>
      </c>
      <c r="AD347" s="24">
        <f>IF($W347="","",IFERROR(IF(ISNUMBER(INDEX($F$9:$F$2008,$W347)),INDEX($F$9:$F$2008,$W347),VALUE(SUBSTITUTE(INDEX($F$9:$F$2008,$W347),",",""))),""))</f>
        <v/>
      </c>
      <c r="AE347" s="24">
        <f>IF($W347="","",IFERROR(IF(ISNUMBER(INDEX($G$9:$G$2008,$W347)),INDEX($G$9:$G$2008,$W347),VALUE(SUBSTITUTE(INDEX($G$9:$G$2008,$W347),",",""))),""))</f>
        <v/>
      </c>
      <c r="AF347" s="24">
        <f>IF($W347="","",IFERROR(IF(ISNUMBER(INDEX($H$9:$H$2008,$W347)),INDEX($H$9:$H$2008,$W347),VALUE(SUBSTITUTE(INDEX($H$9:$H$2008,$W347),",",""))),""))</f>
        <v/>
      </c>
      <c r="AG347" s="24">
        <f>IF($W347="","",IFERROR(IF(ISNUMBER(INDEX($I$9:$I$2008,$W347)),INDEX($I$9:$I$2008,$W347),VALUE(SUBSTITUTE(INDEX($I$9:$I$2008,$W347),",",""))),""))</f>
        <v/>
      </c>
      <c r="AH347" s="24">
        <f>IF($W347="","",IFERROR(IF(ISNUMBER(INDEX($J$9:$J$2008,$W347)),INDEX($J$9:$J$2008,$W347),VALUE(SUBSTITUTE(INDEX($J$9:$J$2008,$W347),",",""))),""))</f>
        <v/>
      </c>
      <c r="AI347" s="24">
        <f>IF($W347="","",IFERROR(IF(ISNUMBER(INDEX($K$9:$K$2008,$W347)),INDEX($K$9:$K$2008,$W347),VALUE(SUBSTITUTE(INDEX($K$9:$K$2008,$W347),",",""))),""))</f>
        <v/>
      </c>
      <c r="AJ347" s="25">
        <f>IF($W347="","",IFERROR(IF(ISNUMBER(INDEX($L$9:$L$2008,$W347)),INDEX($L$9:$L$2008,$W347),VALUE(SUBSTITUTE(INDEX($L$9:$L$2008,$W347),",",""))),""))</f>
        <v/>
      </c>
      <c r="AK347" s="25">
        <f>IF($W347="","",IFERROR(IF(ISNUMBER(INDEX($M$9:$M$2008,$W347)),INDEX($M$9:$M$2008,$W347),VALUE(SUBSTITUTE(INDEX($M$9:$M$2008,$W347),",",""))),""))</f>
        <v/>
      </c>
      <c r="AL347" s="26">
        <f>IF($W347="","",IFERROR(IF(ISNUMBER(INDEX($P$9:$P$2008,$W347)),INDEX($P$9:$P$2008,$W347),VALUE(SUBSTITUTE(INDEX($P$9:$P$2008,$W347),"%",""))/100),""))</f>
        <v/>
      </c>
    </row>
    <row r="348">
      <c r="S348">
        <f>IF(AND(ISTEXT($A348),ISNUMBER(SEARCH(" - ",$A348)),ISERROR(SEARCH("Folio",$A348)),$D348=""),TRIM($A348),$S347)</f>
        <v/>
      </c>
      <c r="T348">
        <f>IF(AND(ISNUMBER(SEARCH("Folio",$A348)),$D348&lt;&gt;""),1,"")</f>
        <v/>
      </c>
      <c r="U348">
        <f>IF($T348=1,COUNTIF($T$9:$T348,1),"")</f>
        <v/>
      </c>
      <c r="V348">
        <f>IF(AND(ISTEXT($A348),LEFT($A349,3)="Pan"),1,"")</f>
        <v/>
      </c>
      <c r="W348" s="21">
        <f>IFERROR(MATCH(340,$U$9:$U$2008,0),"")</f>
        <v/>
      </c>
      <c r="X348" s="27">
        <f>IF($W348="","",IF($R$5&lt;&gt;"",$R$5,$R$6))</f>
        <v/>
      </c>
      <c r="Y348" s="27">
        <f>IF($W348="","",INDEX($S$9:$S$2008,$W348))</f>
        <v/>
      </c>
      <c r="Z348" s="27">
        <f>IF($W348="","",IFERROR(TRIM(LEFT(SUBSTITUTE(INDEX($A$9:$A$2008,$W348),CHAR(10)," "),SEARCH("Folio",SUBSTITUTE(INDEX($A$9:$A$2008,$W348),CHAR(10)," "))-1)),TRIM(SUBSTITUTE(INDEX($A$9:$A$2008,$W348),CHAR(10)," "))))</f>
        <v/>
      </c>
      <c r="AA348" s="27">
        <f>IF($W348="","",IFERROR(TRIM(SUBSTITUTE(MID(SUBSTITUTE(INDEX($A$9:$A$2008,$W348),CHAR(10)," "),SEARCH("Folio",SUBSTITUTE(INDEX($A$9:$A$2008,$W348),CHAR(10)," "))+5,200),":","")),""))</f>
        <v/>
      </c>
      <c r="AB348" s="28">
        <f>IF($W348="","",IF(ISNUMBER(INDEX($D$9:$D$2008,$W348)),INDEX($D$9:$D$2008,$W348),IFERROR(DATE(2000+VALUE(RIGHT(INDEX($D$9:$D$2008,$W348),2)),VALUE(MID(INDEX($D$9:$D$2008,$W348),4,2)),VALUE(LEFT(INDEX($D$9:$D$2008,$W348),2))),"")))</f>
        <v/>
      </c>
      <c r="AC348" s="29">
        <f>IF($W348="","",IFERROR(IF(ISNUMBER(INDEX($E$9:$E$2008,$W348)),INDEX($E$9:$E$2008,$W348),VALUE(SUBSTITUTE(INDEX($E$9:$E$2008,$W348),",",""))),""))</f>
        <v/>
      </c>
      <c r="AD348" s="29">
        <f>IF($W348="","",IFERROR(IF(ISNUMBER(INDEX($F$9:$F$2008,$W348)),INDEX($F$9:$F$2008,$W348),VALUE(SUBSTITUTE(INDEX($F$9:$F$2008,$W348),",",""))),""))</f>
        <v/>
      </c>
      <c r="AE348" s="29">
        <f>IF($W348="","",IFERROR(IF(ISNUMBER(INDEX($G$9:$G$2008,$W348)),INDEX($G$9:$G$2008,$W348),VALUE(SUBSTITUTE(INDEX($G$9:$G$2008,$W348),",",""))),""))</f>
        <v/>
      </c>
      <c r="AF348" s="29">
        <f>IF($W348="","",IFERROR(IF(ISNUMBER(INDEX($H$9:$H$2008,$W348)),INDEX($H$9:$H$2008,$W348),VALUE(SUBSTITUTE(INDEX($H$9:$H$2008,$W348),",",""))),""))</f>
        <v/>
      </c>
      <c r="AG348" s="29">
        <f>IF($W348="","",IFERROR(IF(ISNUMBER(INDEX($I$9:$I$2008,$W348)),INDEX($I$9:$I$2008,$W348),VALUE(SUBSTITUTE(INDEX($I$9:$I$2008,$W348),",",""))),""))</f>
        <v/>
      </c>
      <c r="AH348" s="29">
        <f>IF($W348="","",IFERROR(IF(ISNUMBER(INDEX($J$9:$J$2008,$W348)),INDEX($J$9:$J$2008,$W348),VALUE(SUBSTITUTE(INDEX($J$9:$J$2008,$W348),",",""))),""))</f>
        <v/>
      </c>
      <c r="AI348" s="29">
        <f>IF($W348="","",IFERROR(IF(ISNUMBER(INDEX($K$9:$K$2008,$W348)),INDEX($K$9:$K$2008,$W348),VALUE(SUBSTITUTE(INDEX($K$9:$K$2008,$W348),",",""))),""))</f>
        <v/>
      </c>
      <c r="AJ348" s="30">
        <f>IF($W348="","",IFERROR(IF(ISNUMBER(INDEX($L$9:$L$2008,$W348)),INDEX($L$9:$L$2008,$W348),VALUE(SUBSTITUTE(INDEX($L$9:$L$2008,$W348),",",""))),""))</f>
        <v/>
      </c>
      <c r="AK348" s="30">
        <f>IF($W348="","",IFERROR(IF(ISNUMBER(INDEX($M$9:$M$2008,$W348)),INDEX($M$9:$M$2008,$W348),VALUE(SUBSTITUTE(INDEX($M$9:$M$2008,$W348),",",""))),""))</f>
        <v/>
      </c>
      <c r="AL348" s="31">
        <f>IF($W348="","",IFERROR(IF(ISNUMBER(INDEX($P$9:$P$2008,$W348)),INDEX($P$9:$P$2008,$W348),VALUE(SUBSTITUTE(INDEX($P$9:$P$2008,$W348),"%",""))/100),""))</f>
        <v/>
      </c>
    </row>
    <row r="349">
      <c r="S349">
        <f>IF(AND(ISTEXT($A349),ISNUMBER(SEARCH(" - ",$A349)),ISERROR(SEARCH("Folio",$A349)),$D349=""),TRIM($A349),$S348)</f>
        <v/>
      </c>
      <c r="T349">
        <f>IF(AND(ISNUMBER(SEARCH("Folio",$A349)),$D349&lt;&gt;""),1,"")</f>
        <v/>
      </c>
      <c r="U349">
        <f>IF($T349=1,COUNTIF($T$9:$T349,1),"")</f>
        <v/>
      </c>
      <c r="V349">
        <f>IF(AND(ISTEXT($A349),LEFT($A350,3)="Pan"),1,"")</f>
        <v/>
      </c>
      <c r="W349" s="21">
        <f>IFERROR(MATCH(341,$U$9:$U$2008,0),"")</f>
        <v/>
      </c>
      <c r="X349" s="22">
        <f>IF($W349="","",IF($R$5&lt;&gt;"",$R$5,$R$6))</f>
        <v/>
      </c>
      <c r="Y349" s="22">
        <f>IF($W349="","",INDEX($S$9:$S$2008,$W349))</f>
        <v/>
      </c>
      <c r="Z349" s="22">
        <f>IF($W349="","",IFERROR(TRIM(LEFT(SUBSTITUTE(INDEX($A$9:$A$2008,$W349),CHAR(10)," "),SEARCH("Folio",SUBSTITUTE(INDEX($A$9:$A$2008,$W349),CHAR(10)," "))-1)),TRIM(SUBSTITUTE(INDEX($A$9:$A$2008,$W349),CHAR(10)," "))))</f>
        <v/>
      </c>
      <c r="AA349" s="22">
        <f>IF($W349="","",IFERROR(TRIM(SUBSTITUTE(MID(SUBSTITUTE(INDEX($A$9:$A$2008,$W349),CHAR(10)," "),SEARCH("Folio",SUBSTITUTE(INDEX($A$9:$A$2008,$W349),CHAR(10)," "))+5,200),":","")),""))</f>
        <v/>
      </c>
      <c r="AB349" s="23">
        <f>IF($W349="","",IF(ISNUMBER(INDEX($D$9:$D$2008,$W349)),INDEX($D$9:$D$2008,$W349),IFERROR(DATE(2000+VALUE(RIGHT(INDEX($D$9:$D$2008,$W349),2)),VALUE(MID(INDEX($D$9:$D$2008,$W349),4,2)),VALUE(LEFT(INDEX($D$9:$D$2008,$W349),2))),"")))</f>
        <v/>
      </c>
      <c r="AC349" s="24">
        <f>IF($W349="","",IFERROR(IF(ISNUMBER(INDEX($E$9:$E$2008,$W349)),INDEX($E$9:$E$2008,$W349),VALUE(SUBSTITUTE(INDEX($E$9:$E$2008,$W349),",",""))),""))</f>
        <v/>
      </c>
      <c r="AD349" s="24">
        <f>IF($W349="","",IFERROR(IF(ISNUMBER(INDEX($F$9:$F$2008,$W349)),INDEX($F$9:$F$2008,$W349),VALUE(SUBSTITUTE(INDEX($F$9:$F$2008,$W349),",",""))),""))</f>
        <v/>
      </c>
      <c r="AE349" s="24">
        <f>IF($W349="","",IFERROR(IF(ISNUMBER(INDEX($G$9:$G$2008,$W349)),INDEX($G$9:$G$2008,$W349),VALUE(SUBSTITUTE(INDEX($G$9:$G$2008,$W349),",",""))),""))</f>
        <v/>
      </c>
      <c r="AF349" s="24">
        <f>IF($W349="","",IFERROR(IF(ISNUMBER(INDEX($H$9:$H$2008,$W349)),INDEX($H$9:$H$2008,$W349),VALUE(SUBSTITUTE(INDEX($H$9:$H$2008,$W349),",",""))),""))</f>
        <v/>
      </c>
      <c r="AG349" s="24">
        <f>IF($W349="","",IFERROR(IF(ISNUMBER(INDEX($I$9:$I$2008,$W349)),INDEX($I$9:$I$2008,$W349),VALUE(SUBSTITUTE(INDEX($I$9:$I$2008,$W349),",",""))),""))</f>
        <v/>
      </c>
      <c r="AH349" s="24">
        <f>IF($W349="","",IFERROR(IF(ISNUMBER(INDEX($J$9:$J$2008,$W349)),INDEX($J$9:$J$2008,$W349),VALUE(SUBSTITUTE(INDEX($J$9:$J$2008,$W349),",",""))),""))</f>
        <v/>
      </c>
      <c r="AI349" s="24">
        <f>IF($W349="","",IFERROR(IF(ISNUMBER(INDEX($K$9:$K$2008,$W349)),INDEX($K$9:$K$2008,$W349),VALUE(SUBSTITUTE(INDEX($K$9:$K$2008,$W349),",",""))),""))</f>
        <v/>
      </c>
      <c r="AJ349" s="25">
        <f>IF($W349="","",IFERROR(IF(ISNUMBER(INDEX($L$9:$L$2008,$W349)),INDEX($L$9:$L$2008,$W349),VALUE(SUBSTITUTE(INDEX($L$9:$L$2008,$W349),",",""))),""))</f>
        <v/>
      </c>
      <c r="AK349" s="25">
        <f>IF($W349="","",IFERROR(IF(ISNUMBER(INDEX($M$9:$M$2008,$W349)),INDEX($M$9:$M$2008,$W349),VALUE(SUBSTITUTE(INDEX($M$9:$M$2008,$W349),",",""))),""))</f>
        <v/>
      </c>
      <c r="AL349" s="26">
        <f>IF($W349="","",IFERROR(IF(ISNUMBER(INDEX($P$9:$P$2008,$W349)),INDEX($P$9:$P$2008,$W349),VALUE(SUBSTITUTE(INDEX($P$9:$P$2008,$W349),"%",""))/100),""))</f>
        <v/>
      </c>
    </row>
    <row r="350">
      <c r="S350">
        <f>IF(AND(ISTEXT($A350),ISNUMBER(SEARCH(" - ",$A350)),ISERROR(SEARCH("Folio",$A350)),$D350=""),TRIM($A350),$S349)</f>
        <v/>
      </c>
      <c r="T350">
        <f>IF(AND(ISNUMBER(SEARCH("Folio",$A350)),$D350&lt;&gt;""),1,"")</f>
        <v/>
      </c>
      <c r="U350">
        <f>IF($T350=1,COUNTIF($T$9:$T350,1),"")</f>
        <v/>
      </c>
      <c r="V350">
        <f>IF(AND(ISTEXT($A350),LEFT($A351,3)="Pan"),1,"")</f>
        <v/>
      </c>
      <c r="W350" s="21">
        <f>IFERROR(MATCH(342,$U$9:$U$2008,0),"")</f>
        <v/>
      </c>
      <c r="X350" s="27">
        <f>IF($W350="","",IF($R$5&lt;&gt;"",$R$5,$R$6))</f>
        <v/>
      </c>
      <c r="Y350" s="27">
        <f>IF($W350="","",INDEX($S$9:$S$2008,$W350))</f>
        <v/>
      </c>
      <c r="Z350" s="27">
        <f>IF($W350="","",IFERROR(TRIM(LEFT(SUBSTITUTE(INDEX($A$9:$A$2008,$W350),CHAR(10)," "),SEARCH("Folio",SUBSTITUTE(INDEX($A$9:$A$2008,$W350),CHAR(10)," "))-1)),TRIM(SUBSTITUTE(INDEX($A$9:$A$2008,$W350),CHAR(10)," "))))</f>
        <v/>
      </c>
      <c r="AA350" s="27">
        <f>IF($W350="","",IFERROR(TRIM(SUBSTITUTE(MID(SUBSTITUTE(INDEX($A$9:$A$2008,$W350),CHAR(10)," "),SEARCH("Folio",SUBSTITUTE(INDEX($A$9:$A$2008,$W350),CHAR(10)," "))+5,200),":","")),""))</f>
        <v/>
      </c>
      <c r="AB350" s="28">
        <f>IF($W350="","",IF(ISNUMBER(INDEX($D$9:$D$2008,$W350)),INDEX($D$9:$D$2008,$W350),IFERROR(DATE(2000+VALUE(RIGHT(INDEX($D$9:$D$2008,$W350),2)),VALUE(MID(INDEX($D$9:$D$2008,$W350),4,2)),VALUE(LEFT(INDEX($D$9:$D$2008,$W350),2))),"")))</f>
        <v/>
      </c>
      <c r="AC350" s="29">
        <f>IF($W350="","",IFERROR(IF(ISNUMBER(INDEX($E$9:$E$2008,$W350)),INDEX($E$9:$E$2008,$W350),VALUE(SUBSTITUTE(INDEX($E$9:$E$2008,$W350),",",""))),""))</f>
        <v/>
      </c>
      <c r="AD350" s="29">
        <f>IF($W350="","",IFERROR(IF(ISNUMBER(INDEX($F$9:$F$2008,$W350)),INDEX($F$9:$F$2008,$W350),VALUE(SUBSTITUTE(INDEX($F$9:$F$2008,$W350),",",""))),""))</f>
        <v/>
      </c>
      <c r="AE350" s="29">
        <f>IF($W350="","",IFERROR(IF(ISNUMBER(INDEX($G$9:$G$2008,$W350)),INDEX($G$9:$G$2008,$W350),VALUE(SUBSTITUTE(INDEX($G$9:$G$2008,$W350),",",""))),""))</f>
        <v/>
      </c>
      <c r="AF350" s="29">
        <f>IF($W350="","",IFERROR(IF(ISNUMBER(INDEX($H$9:$H$2008,$W350)),INDEX($H$9:$H$2008,$W350),VALUE(SUBSTITUTE(INDEX($H$9:$H$2008,$W350),",",""))),""))</f>
        <v/>
      </c>
      <c r="AG350" s="29">
        <f>IF($W350="","",IFERROR(IF(ISNUMBER(INDEX($I$9:$I$2008,$W350)),INDEX($I$9:$I$2008,$W350),VALUE(SUBSTITUTE(INDEX($I$9:$I$2008,$W350),",",""))),""))</f>
        <v/>
      </c>
      <c r="AH350" s="29">
        <f>IF($W350="","",IFERROR(IF(ISNUMBER(INDEX($J$9:$J$2008,$W350)),INDEX($J$9:$J$2008,$W350),VALUE(SUBSTITUTE(INDEX($J$9:$J$2008,$W350),",",""))),""))</f>
        <v/>
      </c>
      <c r="AI350" s="29">
        <f>IF($W350="","",IFERROR(IF(ISNUMBER(INDEX($K$9:$K$2008,$W350)),INDEX($K$9:$K$2008,$W350),VALUE(SUBSTITUTE(INDEX($K$9:$K$2008,$W350),",",""))),""))</f>
        <v/>
      </c>
      <c r="AJ350" s="30">
        <f>IF($W350="","",IFERROR(IF(ISNUMBER(INDEX($L$9:$L$2008,$W350)),INDEX($L$9:$L$2008,$W350),VALUE(SUBSTITUTE(INDEX($L$9:$L$2008,$W350),",",""))),""))</f>
        <v/>
      </c>
      <c r="AK350" s="30">
        <f>IF($W350="","",IFERROR(IF(ISNUMBER(INDEX($M$9:$M$2008,$W350)),INDEX($M$9:$M$2008,$W350),VALUE(SUBSTITUTE(INDEX($M$9:$M$2008,$W350),",",""))),""))</f>
        <v/>
      </c>
      <c r="AL350" s="31">
        <f>IF($W350="","",IFERROR(IF(ISNUMBER(INDEX($P$9:$P$2008,$W350)),INDEX($P$9:$P$2008,$W350),VALUE(SUBSTITUTE(INDEX($P$9:$P$2008,$W350),"%",""))/100),""))</f>
        <v/>
      </c>
    </row>
    <row r="351">
      <c r="S351">
        <f>IF(AND(ISTEXT($A351),ISNUMBER(SEARCH(" - ",$A351)),ISERROR(SEARCH("Folio",$A351)),$D351=""),TRIM($A351),$S350)</f>
        <v/>
      </c>
      <c r="T351">
        <f>IF(AND(ISNUMBER(SEARCH("Folio",$A351)),$D351&lt;&gt;""),1,"")</f>
        <v/>
      </c>
      <c r="U351">
        <f>IF($T351=1,COUNTIF($T$9:$T351,1),"")</f>
        <v/>
      </c>
      <c r="V351">
        <f>IF(AND(ISTEXT($A351),LEFT($A352,3)="Pan"),1,"")</f>
        <v/>
      </c>
      <c r="W351" s="21">
        <f>IFERROR(MATCH(343,$U$9:$U$2008,0),"")</f>
        <v/>
      </c>
      <c r="X351" s="22">
        <f>IF($W351="","",IF($R$5&lt;&gt;"",$R$5,$R$6))</f>
        <v/>
      </c>
      <c r="Y351" s="22">
        <f>IF($W351="","",INDEX($S$9:$S$2008,$W351))</f>
        <v/>
      </c>
      <c r="Z351" s="22">
        <f>IF($W351="","",IFERROR(TRIM(LEFT(SUBSTITUTE(INDEX($A$9:$A$2008,$W351),CHAR(10)," "),SEARCH("Folio",SUBSTITUTE(INDEX($A$9:$A$2008,$W351),CHAR(10)," "))-1)),TRIM(SUBSTITUTE(INDEX($A$9:$A$2008,$W351),CHAR(10)," "))))</f>
        <v/>
      </c>
      <c r="AA351" s="22">
        <f>IF($W351="","",IFERROR(TRIM(SUBSTITUTE(MID(SUBSTITUTE(INDEX($A$9:$A$2008,$W351),CHAR(10)," "),SEARCH("Folio",SUBSTITUTE(INDEX($A$9:$A$2008,$W351),CHAR(10)," "))+5,200),":","")),""))</f>
        <v/>
      </c>
      <c r="AB351" s="23">
        <f>IF($W351="","",IF(ISNUMBER(INDEX($D$9:$D$2008,$W351)),INDEX($D$9:$D$2008,$W351),IFERROR(DATE(2000+VALUE(RIGHT(INDEX($D$9:$D$2008,$W351),2)),VALUE(MID(INDEX($D$9:$D$2008,$W351),4,2)),VALUE(LEFT(INDEX($D$9:$D$2008,$W351),2))),"")))</f>
        <v/>
      </c>
      <c r="AC351" s="24">
        <f>IF($W351="","",IFERROR(IF(ISNUMBER(INDEX($E$9:$E$2008,$W351)),INDEX($E$9:$E$2008,$W351),VALUE(SUBSTITUTE(INDEX($E$9:$E$2008,$W351),",",""))),""))</f>
        <v/>
      </c>
      <c r="AD351" s="24">
        <f>IF($W351="","",IFERROR(IF(ISNUMBER(INDEX($F$9:$F$2008,$W351)),INDEX($F$9:$F$2008,$W351),VALUE(SUBSTITUTE(INDEX($F$9:$F$2008,$W351),",",""))),""))</f>
        <v/>
      </c>
      <c r="AE351" s="24">
        <f>IF($W351="","",IFERROR(IF(ISNUMBER(INDEX($G$9:$G$2008,$W351)),INDEX($G$9:$G$2008,$W351),VALUE(SUBSTITUTE(INDEX($G$9:$G$2008,$W351),",",""))),""))</f>
        <v/>
      </c>
      <c r="AF351" s="24">
        <f>IF($W351="","",IFERROR(IF(ISNUMBER(INDEX($H$9:$H$2008,$W351)),INDEX($H$9:$H$2008,$W351),VALUE(SUBSTITUTE(INDEX($H$9:$H$2008,$W351),",",""))),""))</f>
        <v/>
      </c>
      <c r="AG351" s="24">
        <f>IF($W351="","",IFERROR(IF(ISNUMBER(INDEX($I$9:$I$2008,$W351)),INDEX($I$9:$I$2008,$W351),VALUE(SUBSTITUTE(INDEX($I$9:$I$2008,$W351),",",""))),""))</f>
        <v/>
      </c>
      <c r="AH351" s="24">
        <f>IF($W351="","",IFERROR(IF(ISNUMBER(INDEX($J$9:$J$2008,$W351)),INDEX($J$9:$J$2008,$W351),VALUE(SUBSTITUTE(INDEX($J$9:$J$2008,$W351),",",""))),""))</f>
        <v/>
      </c>
      <c r="AI351" s="24">
        <f>IF($W351="","",IFERROR(IF(ISNUMBER(INDEX($K$9:$K$2008,$W351)),INDEX($K$9:$K$2008,$W351),VALUE(SUBSTITUTE(INDEX($K$9:$K$2008,$W351),",",""))),""))</f>
        <v/>
      </c>
      <c r="AJ351" s="25">
        <f>IF($W351="","",IFERROR(IF(ISNUMBER(INDEX($L$9:$L$2008,$W351)),INDEX($L$9:$L$2008,$W351),VALUE(SUBSTITUTE(INDEX($L$9:$L$2008,$W351),",",""))),""))</f>
        <v/>
      </c>
      <c r="AK351" s="25">
        <f>IF($W351="","",IFERROR(IF(ISNUMBER(INDEX($M$9:$M$2008,$W351)),INDEX($M$9:$M$2008,$W351),VALUE(SUBSTITUTE(INDEX($M$9:$M$2008,$W351),",",""))),""))</f>
        <v/>
      </c>
      <c r="AL351" s="26">
        <f>IF($W351="","",IFERROR(IF(ISNUMBER(INDEX($P$9:$P$2008,$W351)),INDEX($P$9:$P$2008,$W351),VALUE(SUBSTITUTE(INDEX($P$9:$P$2008,$W351),"%",""))/100),""))</f>
        <v/>
      </c>
    </row>
    <row r="352">
      <c r="S352">
        <f>IF(AND(ISTEXT($A352),ISNUMBER(SEARCH(" - ",$A352)),ISERROR(SEARCH("Folio",$A352)),$D352=""),TRIM($A352),$S351)</f>
        <v/>
      </c>
      <c r="T352">
        <f>IF(AND(ISNUMBER(SEARCH("Folio",$A352)),$D352&lt;&gt;""),1,"")</f>
        <v/>
      </c>
      <c r="U352">
        <f>IF($T352=1,COUNTIF($T$9:$T352,1),"")</f>
        <v/>
      </c>
      <c r="V352">
        <f>IF(AND(ISTEXT($A352),LEFT($A353,3)="Pan"),1,"")</f>
        <v/>
      </c>
      <c r="W352" s="21">
        <f>IFERROR(MATCH(344,$U$9:$U$2008,0),"")</f>
        <v/>
      </c>
      <c r="X352" s="27">
        <f>IF($W352="","",IF($R$5&lt;&gt;"",$R$5,$R$6))</f>
        <v/>
      </c>
      <c r="Y352" s="27">
        <f>IF($W352="","",INDEX($S$9:$S$2008,$W352))</f>
        <v/>
      </c>
      <c r="Z352" s="27">
        <f>IF($W352="","",IFERROR(TRIM(LEFT(SUBSTITUTE(INDEX($A$9:$A$2008,$W352),CHAR(10)," "),SEARCH("Folio",SUBSTITUTE(INDEX($A$9:$A$2008,$W352),CHAR(10)," "))-1)),TRIM(SUBSTITUTE(INDEX($A$9:$A$2008,$W352),CHAR(10)," "))))</f>
        <v/>
      </c>
      <c r="AA352" s="27">
        <f>IF($W352="","",IFERROR(TRIM(SUBSTITUTE(MID(SUBSTITUTE(INDEX($A$9:$A$2008,$W352),CHAR(10)," "),SEARCH("Folio",SUBSTITUTE(INDEX($A$9:$A$2008,$W352),CHAR(10)," "))+5,200),":","")),""))</f>
        <v/>
      </c>
      <c r="AB352" s="28">
        <f>IF($W352="","",IF(ISNUMBER(INDEX($D$9:$D$2008,$W352)),INDEX($D$9:$D$2008,$W352),IFERROR(DATE(2000+VALUE(RIGHT(INDEX($D$9:$D$2008,$W352),2)),VALUE(MID(INDEX($D$9:$D$2008,$W352),4,2)),VALUE(LEFT(INDEX($D$9:$D$2008,$W352),2))),"")))</f>
        <v/>
      </c>
      <c r="AC352" s="29">
        <f>IF($W352="","",IFERROR(IF(ISNUMBER(INDEX($E$9:$E$2008,$W352)),INDEX($E$9:$E$2008,$W352),VALUE(SUBSTITUTE(INDEX($E$9:$E$2008,$W352),",",""))),""))</f>
        <v/>
      </c>
      <c r="AD352" s="29">
        <f>IF($W352="","",IFERROR(IF(ISNUMBER(INDEX($F$9:$F$2008,$W352)),INDEX($F$9:$F$2008,$W352),VALUE(SUBSTITUTE(INDEX($F$9:$F$2008,$W352),",",""))),""))</f>
        <v/>
      </c>
      <c r="AE352" s="29">
        <f>IF($W352="","",IFERROR(IF(ISNUMBER(INDEX($G$9:$G$2008,$W352)),INDEX($G$9:$G$2008,$W352),VALUE(SUBSTITUTE(INDEX($G$9:$G$2008,$W352),",",""))),""))</f>
        <v/>
      </c>
      <c r="AF352" s="29">
        <f>IF($W352="","",IFERROR(IF(ISNUMBER(INDEX($H$9:$H$2008,$W352)),INDEX($H$9:$H$2008,$W352),VALUE(SUBSTITUTE(INDEX($H$9:$H$2008,$W352),",",""))),""))</f>
        <v/>
      </c>
      <c r="AG352" s="29">
        <f>IF($W352="","",IFERROR(IF(ISNUMBER(INDEX($I$9:$I$2008,$W352)),INDEX($I$9:$I$2008,$W352),VALUE(SUBSTITUTE(INDEX($I$9:$I$2008,$W352),",",""))),""))</f>
        <v/>
      </c>
      <c r="AH352" s="29">
        <f>IF($W352="","",IFERROR(IF(ISNUMBER(INDEX($J$9:$J$2008,$W352)),INDEX($J$9:$J$2008,$W352),VALUE(SUBSTITUTE(INDEX($J$9:$J$2008,$W352),",",""))),""))</f>
        <v/>
      </c>
      <c r="AI352" s="29">
        <f>IF($W352="","",IFERROR(IF(ISNUMBER(INDEX($K$9:$K$2008,$W352)),INDEX($K$9:$K$2008,$W352),VALUE(SUBSTITUTE(INDEX($K$9:$K$2008,$W352),",",""))),""))</f>
        <v/>
      </c>
      <c r="AJ352" s="30">
        <f>IF($W352="","",IFERROR(IF(ISNUMBER(INDEX($L$9:$L$2008,$W352)),INDEX($L$9:$L$2008,$W352),VALUE(SUBSTITUTE(INDEX($L$9:$L$2008,$W352),",",""))),""))</f>
        <v/>
      </c>
      <c r="AK352" s="30">
        <f>IF($W352="","",IFERROR(IF(ISNUMBER(INDEX($M$9:$M$2008,$W352)),INDEX($M$9:$M$2008,$W352),VALUE(SUBSTITUTE(INDEX($M$9:$M$2008,$W352),",",""))),""))</f>
        <v/>
      </c>
      <c r="AL352" s="31">
        <f>IF($W352="","",IFERROR(IF(ISNUMBER(INDEX($P$9:$P$2008,$W352)),INDEX($P$9:$P$2008,$W352),VALUE(SUBSTITUTE(INDEX($P$9:$P$2008,$W352),"%",""))/100),""))</f>
        <v/>
      </c>
    </row>
    <row r="353">
      <c r="S353">
        <f>IF(AND(ISTEXT($A353),ISNUMBER(SEARCH(" - ",$A353)),ISERROR(SEARCH("Folio",$A353)),$D353=""),TRIM($A353),$S352)</f>
        <v/>
      </c>
      <c r="T353">
        <f>IF(AND(ISNUMBER(SEARCH("Folio",$A353)),$D353&lt;&gt;""),1,"")</f>
        <v/>
      </c>
      <c r="U353">
        <f>IF($T353=1,COUNTIF($T$9:$T353,1),"")</f>
        <v/>
      </c>
      <c r="V353">
        <f>IF(AND(ISTEXT($A353),LEFT($A354,3)="Pan"),1,"")</f>
        <v/>
      </c>
      <c r="W353" s="21">
        <f>IFERROR(MATCH(345,$U$9:$U$2008,0),"")</f>
        <v/>
      </c>
      <c r="X353" s="22">
        <f>IF($W353="","",IF($R$5&lt;&gt;"",$R$5,$R$6))</f>
        <v/>
      </c>
      <c r="Y353" s="22">
        <f>IF($W353="","",INDEX($S$9:$S$2008,$W353))</f>
        <v/>
      </c>
      <c r="Z353" s="22">
        <f>IF($W353="","",IFERROR(TRIM(LEFT(SUBSTITUTE(INDEX($A$9:$A$2008,$W353),CHAR(10)," "),SEARCH("Folio",SUBSTITUTE(INDEX($A$9:$A$2008,$W353),CHAR(10)," "))-1)),TRIM(SUBSTITUTE(INDEX($A$9:$A$2008,$W353),CHAR(10)," "))))</f>
        <v/>
      </c>
      <c r="AA353" s="22">
        <f>IF($W353="","",IFERROR(TRIM(SUBSTITUTE(MID(SUBSTITUTE(INDEX($A$9:$A$2008,$W353),CHAR(10)," "),SEARCH("Folio",SUBSTITUTE(INDEX($A$9:$A$2008,$W353),CHAR(10)," "))+5,200),":","")),""))</f>
        <v/>
      </c>
      <c r="AB353" s="23">
        <f>IF($W353="","",IF(ISNUMBER(INDEX($D$9:$D$2008,$W353)),INDEX($D$9:$D$2008,$W353),IFERROR(DATE(2000+VALUE(RIGHT(INDEX($D$9:$D$2008,$W353),2)),VALUE(MID(INDEX($D$9:$D$2008,$W353),4,2)),VALUE(LEFT(INDEX($D$9:$D$2008,$W353),2))),"")))</f>
        <v/>
      </c>
      <c r="AC353" s="24">
        <f>IF($W353="","",IFERROR(IF(ISNUMBER(INDEX($E$9:$E$2008,$W353)),INDEX($E$9:$E$2008,$W353),VALUE(SUBSTITUTE(INDEX($E$9:$E$2008,$W353),",",""))),""))</f>
        <v/>
      </c>
      <c r="AD353" s="24">
        <f>IF($W353="","",IFERROR(IF(ISNUMBER(INDEX($F$9:$F$2008,$W353)),INDEX($F$9:$F$2008,$W353),VALUE(SUBSTITUTE(INDEX($F$9:$F$2008,$W353),",",""))),""))</f>
        <v/>
      </c>
      <c r="AE353" s="24">
        <f>IF($W353="","",IFERROR(IF(ISNUMBER(INDEX($G$9:$G$2008,$W353)),INDEX($G$9:$G$2008,$W353),VALUE(SUBSTITUTE(INDEX($G$9:$G$2008,$W353),",",""))),""))</f>
        <v/>
      </c>
      <c r="AF353" s="24">
        <f>IF($W353="","",IFERROR(IF(ISNUMBER(INDEX($H$9:$H$2008,$W353)),INDEX($H$9:$H$2008,$W353),VALUE(SUBSTITUTE(INDEX($H$9:$H$2008,$W353),",",""))),""))</f>
        <v/>
      </c>
      <c r="AG353" s="24">
        <f>IF($W353="","",IFERROR(IF(ISNUMBER(INDEX($I$9:$I$2008,$W353)),INDEX($I$9:$I$2008,$W353),VALUE(SUBSTITUTE(INDEX($I$9:$I$2008,$W353),",",""))),""))</f>
        <v/>
      </c>
      <c r="AH353" s="24">
        <f>IF($W353="","",IFERROR(IF(ISNUMBER(INDEX($J$9:$J$2008,$W353)),INDEX($J$9:$J$2008,$W353),VALUE(SUBSTITUTE(INDEX($J$9:$J$2008,$W353),",",""))),""))</f>
        <v/>
      </c>
      <c r="AI353" s="24">
        <f>IF($W353="","",IFERROR(IF(ISNUMBER(INDEX($K$9:$K$2008,$W353)),INDEX($K$9:$K$2008,$W353),VALUE(SUBSTITUTE(INDEX($K$9:$K$2008,$W353),",",""))),""))</f>
        <v/>
      </c>
      <c r="AJ353" s="25">
        <f>IF($W353="","",IFERROR(IF(ISNUMBER(INDEX($L$9:$L$2008,$W353)),INDEX($L$9:$L$2008,$W353),VALUE(SUBSTITUTE(INDEX($L$9:$L$2008,$W353),",",""))),""))</f>
        <v/>
      </c>
      <c r="AK353" s="25">
        <f>IF($W353="","",IFERROR(IF(ISNUMBER(INDEX($M$9:$M$2008,$W353)),INDEX($M$9:$M$2008,$W353),VALUE(SUBSTITUTE(INDEX($M$9:$M$2008,$W353),",",""))),""))</f>
        <v/>
      </c>
      <c r="AL353" s="26">
        <f>IF($W353="","",IFERROR(IF(ISNUMBER(INDEX($P$9:$P$2008,$W353)),INDEX($P$9:$P$2008,$W353),VALUE(SUBSTITUTE(INDEX($P$9:$P$2008,$W353),"%",""))/100),""))</f>
        <v/>
      </c>
    </row>
    <row r="354">
      <c r="S354">
        <f>IF(AND(ISTEXT($A354),ISNUMBER(SEARCH(" - ",$A354)),ISERROR(SEARCH("Folio",$A354)),$D354=""),TRIM($A354),$S353)</f>
        <v/>
      </c>
      <c r="T354">
        <f>IF(AND(ISNUMBER(SEARCH("Folio",$A354)),$D354&lt;&gt;""),1,"")</f>
        <v/>
      </c>
      <c r="U354">
        <f>IF($T354=1,COUNTIF($T$9:$T354,1),"")</f>
        <v/>
      </c>
      <c r="V354">
        <f>IF(AND(ISTEXT($A354),LEFT($A355,3)="Pan"),1,"")</f>
        <v/>
      </c>
      <c r="W354" s="21">
        <f>IFERROR(MATCH(346,$U$9:$U$2008,0),"")</f>
        <v/>
      </c>
      <c r="X354" s="27">
        <f>IF($W354="","",IF($R$5&lt;&gt;"",$R$5,$R$6))</f>
        <v/>
      </c>
      <c r="Y354" s="27">
        <f>IF($W354="","",INDEX($S$9:$S$2008,$W354))</f>
        <v/>
      </c>
      <c r="Z354" s="27">
        <f>IF($W354="","",IFERROR(TRIM(LEFT(SUBSTITUTE(INDEX($A$9:$A$2008,$W354),CHAR(10)," "),SEARCH("Folio",SUBSTITUTE(INDEX($A$9:$A$2008,$W354),CHAR(10)," "))-1)),TRIM(SUBSTITUTE(INDEX($A$9:$A$2008,$W354),CHAR(10)," "))))</f>
        <v/>
      </c>
      <c r="AA354" s="27">
        <f>IF($W354="","",IFERROR(TRIM(SUBSTITUTE(MID(SUBSTITUTE(INDEX($A$9:$A$2008,$W354),CHAR(10)," "),SEARCH("Folio",SUBSTITUTE(INDEX($A$9:$A$2008,$W354),CHAR(10)," "))+5,200),":","")),""))</f>
        <v/>
      </c>
      <c r="AB354" s="28">
        <f>IF($W354="","",IF(ISNUMBER(INDEX($D$9:$D$2008,$W354)),INDEX($D$9:$D$2008,$W354),IFERROR(DATE(2000+VALUE(RIGHT(INDEX($D$9:$D$2008,$W354),2)),VALUE(MID(INDEX($D$9:$D$2008,$W354),4,2)),VALUE(LEFT(INDEX($D$9:$D$2008,$W354),2))),"")))</f>
        <v/>
      </c>
      <c r="AC354" s="29">
        <f>IF($W354="","",IFERROR(IF(ISNUMBER(INDEX($E$9:$E$2008,$W354)),INDEX($E$9:$E$2008,$W354),VALUE(SUBSTITUTE(INDEX($E$9:$E$2008,$W354),",",""))),""))</f>
        <v/>
      </c>
      <c r="AD354" s="29">
        <f>IF($W354="","",IFERROR(IF(ISNUMBER(INDEX($F$9:$F$2008,$W354)),INDEX($F$9:$F$2008,$W354),VALUE(SUBSTITUTE(INDEX($F$9:$F$2008,$W354),",",""))),""))</f>
        <v/>
      </c>
      <c r="AE354" s="29">
        <f>IF($W354="","",IFERROR(IF(ISNUMBER(INDEX($G$9:$G$2008,$W354)),INDEX($G$9:$G$2008,$W354),VALUE(SUBSTITUTE(INDEX($G$9:$G$2008,$W354),",",""))),""))</f>
        <v/>
      </c>
      <c r="AF354" s="29">
        <f>IF($W354="","",IFERROR(IF(ISNUMBER(INDEX($H$9:$H$2008,$W354)),INDEX($H$9:$H$2008,$W354),VALUE(SUBSTITUTE(INDEX($H$9:$H$2008,$W354),",",""))),""))</f>
        <v/>
      </c>
      <c r="AG354" s="29">
        <f>IF($W354="","",IFERROR(IF(ISNUMBER(INDEX($I$9:$I$2008,$W354)),INDEX($I$9:$I$2008,$W354),VALUE(SUBSTITUTE(INDEX($I$9:$I$2008,$W354),",",""))),""))</f>
        <v/>
      </c>
      <c r="AH354" s="29">
        <f>IF($W354="","",IFERROR(IF(ISNUMBER(INDEX($J$9:$J$2008,$W354)),INDEX($J$9:$J$2008,$W354),VALUE(SUBSTITUTE(INDEX($J$9:$J$2008,$W354),",",""))),""))</f>
        <v/>
      </c>
      <c r="AI354" s="29">
        <f>IF($W354="","",IFERROR(IF(ISNUMBER(INDEX($K$9:$K$2008,$W354)),INDEX($K$9:$K$2008,$W354),VALUE(SUBSTITUTE(INDEX($K$9:$K$2008,$W354),",",""))),""))</f>
        <v/>
      </c>
      <c r="AJ354" s="30">
        <f>IF($W354="","",IFERROR(IF(ISNUMBER(INDEX($L$9:$L$2008,$W354)),INDEX($L$9:$L$2008,$W354),VALUE(SUBSTITUTE(INDEX($L$9:$L$2008,$W354),",",""))),""))</f>
        <v/>
      </c>
      <c r="AK354" s="30">
        <f>IF($W354="","",IFERROR(IF(ISNUMBER(INDEX($M$9:$M$2008,$W354)),INDEX($M$9:$M$2008,$W354),VALUE(SUBSTITUTE(INDEX($M$9:$M$2008,$W354),",",""))),""))</f>
        <v/>
      </c>
      <c r="AL354" s="31">
        <f>IF($W354="","",IFERROR(IF(ISNUMBER(INDEX($P$9:$P$2008,$W354)),INDEX($P$9:$P$2008,$W354),VALUE(SUBSTITUTE(INDEX($P$9:$P$2008,$W354),"%",""))/100),""))</f>
        <v/>
      </c>
    </row>
    <row r="355">
      <c r="S355">
        <f>IF(AND(ISTEXT($A355),ISNUMBER(SEARCH(" - ",$A355)),ISERROR(SEARCH("Folio",$A355)),$D355=""),TRIM($A355),$S354)</f>
        <v/>
      </c>
      <c r="T355">
        <f>IF(AND(ISNUMBER(SEARCH("Folio",$A355)),$D355&lt;&gt;""),1,"")</f>
        <v/>
      </c>
      <c r="U355">
        <f>IF($T355=1,COUNTIF($T$9:$T355,1),"")</f>
        <v/>
      </c>
      <c r="V355">
        <f>IF(AND(ISTEXT($A355),LEFT($A356,3)="Pan"),1,"")</f>
        <v/>
      </c>
      <c r="W355" s="21">
        <f>IFERROR(MATCH(347,$U$9:$U$2008,0),"")</f>
        <v/>
      </c>
      <c r="X355" s="22">
        <f>IF($W355="","",IF($R$5&lt;&gt;"",$R$5,$R$6))</f>
        <v/>
      </c>
      <c r="Y355" s="22">
        <f>IF($W355="","",INDEX($S$9:$S$2008,$W355))</f>
        <v/>
      </c>
      <c r="Z355" s="22">
        <f>IF($W355="","",IFERROR(TRIM(LEFT(SUBSTITUTE(INDEX($A$9:$A$2008,$W355),CHAR(10)," "),SEARCH("Folio",SUBSTITUTE(INDEX($A$9:$A$2008,$W355),CHAR(10)," "))-1)),TRIM(SUBSTITUTE(INDEX($A$9:$A$2008,$W355),CHAR(10)," "))))</f>
        <v/>
      </c>
      <c r="AA355" s="22">
        <f>IF($W355="","",IFERROR(TRIM(SUBSTITUTE(MID(SUBSTITUTE(INDEX($A$9:$A$2008,$W355),CHAR(10)," "),SEARCH("Folio",SUBSTITUTE(INDEX($A$9:$A$2008,$W355),CHAR(10)," "))+5,200),":","")),""))</f>
        <v/>
      </c>
      <c r="AB355" s="23">
        <f>IF($W355="","",IF(ISNUMBER(INDEX($D$9:$D$2008,$W355)),INDEX($D$9:$D$2008,$W355),IFERROR(DATE(2000+VALUE(RIGHT(INDEX($D$9:$D$2008,$W355),2)),VALUE(MID(INDEX($D$9:$D$2008,$W355),4,2)),VALUE(LEFT(INDEX($D$9:$D$2008,$W355),2))),"")))</f>
        <v/>
      </c>
      <c r="AC355" s="24">
        <f>IF($W355="","",IFERROR(IF(ISNUMBER(INDEX($E$9:$E$2008,$W355)),INDEX($E$9:$E$2008,$W355),VALUE(SUBSTITUTE(INDEX($E$9:$E$2008,$W355),",",""))),""))</f>
        <v/>
      </c>
      <c r="AD355" s="24">
        <f>IF($W355="","",IFERROR(IF(ISNUMBER(INDEX($F$9:$F$2008,$W355)),INDEX($F$9:$F$2008,$W355),VALUE(SUBSTITUTE(INDEX($F$9:$F$2008,$W355),",",""))),""))</f>
        <v/>
      </c>
      <c r="AE355" s="24">
        <f>IF($W355="","",IFERROR(IF(ISNUMBER(INDEX($G$9:$G$2008,$W355)),INDEX($G$9:$G$2008,$W355),VALUE(SUBSTITUTE(INDEX($G$9:$G$2008,$W355),",",""))),""))</f>
        <v/>
      </c>
      <c r="AF355" s="24">
        <f>IF($W355="","",IFERROR(IF(ISNUMBER(INDEX($H$9:$H$2008,$W355)),INDEX($H$9:$H$2008,$W355),VALUE(SUBSTITUTE(INDEX($H$9:$H$2008,$W355),",",""))),""))</f>
        <v/>
      </c>
      <c r="AG355" s="24">
        <f>IF($W355="","",IFERROR(IF(ISNUMBER(INDEX($I$9:$I$2008,$W355)),INDEX($I$9:$I$2008,$W355),VALUE(SUBSTITUTE(INDEX($I$9:$I$2008,$W355),",",""))),""))</f>
        <v/>
      </c>
      <c r="AH355" s="24">
        <f>IF($W355="","",IFERROR(IF(ISNUMBER(INDEX($J$9:$J$2008,$W355)),INDEX($J$9:$J$2008,$W355),VALUE(SUBSTITUTE(INDEX($J$9:$J$2008,$W355),",",""))),""))</f>
        <v/>
      </c>
      <c r="AI355" s="24">
        <f>IF($W355="","",IFERROR(IF(ISNUMBER(INDEX($K$9:$K$2008,$W355)),INDEX($K$9:$K$2008,$W355),VALUE(SUBSTITUTE(INDEX($K$9:$K$2008,$W355),",",""))),""))</f>
        <v/>
      </c>
      <c r="AJ355" s="25">
        <f>IF($W355="","",IFERROR(IF(ISNUMBER(INDEX($L$9:$L$2008,$W355)),INDEX($L$9:$L$2008,$W355),VALUE(SUBSTITUTE(INDEX($L$9:$L$2008,$W355),",",""))),""))</f>
        <v/>
      </c>
      <c r="AK355" s="25">
        <f>IF($W355="","",IFERROR(IF(ISNUMBER(INDEX($M$9:$M$2008,$W355)),INDEX($M$9:$M$2008,$W355),VALUE(SUBSTITUTE(INDEX($M$9:$M$2008,$W355),",",""))),""))</f>
        <v/>
      </c>
      <c r="AL355" s="26">
        <f>IF($W355="","",IFERROR(IF(ISNUMBER(INDEX($P$9:$P$2008,$W355)),INDEX($P$9:$P$2008,$W355),VALUE(SUBSTITUTE(INDEX($P$9:$P$2008,$W355),"%",""))/100),""))</f>
        <v/>
      </c>
    </row>
    <row r="356">
      <c r="S356">
        <f>IF(AND(ISTEXT($A356),ISNUMBER(SEARCH(" - ",$A356)),ISERROR(SEARCH("Folio",$A356)),$D356=""),TRIM($A356),$S355)</f>
        <v/>
      </c>
      <c r="T356">
        <f>IF(AND(ISNUMBER(SEARCH("Folio",$A356)),$D356&lt;&gt;""),1,"")</f>
        <v/>
      </c>
      <c r="U356">
        <f>IF($T356=1,COUNTIF($T$9:$T356,1),"")</f>
        <v/>
      </c>
      <c r="V356">
        <f>IF(AND(ISTEXT($A356),LEFT($A357,3)="Pan"),1,"")</f>
        <v/>
      </c>
      <c r="W356" s="21">
        <f>IFERROR(MATCH(348,$U$9:$U$2008,0),"")</f>
        <v/>
      </c>
      <c r="X356" s="27">
        <f>IF($W356="","",IF($R$5&lt;&gt;"",$R$5,$R$6))</f>
        <v/>
      </c>
      <c r="Y356" s="27">
        <f>IF($W356="","",INDEX($S$9:$S$2008,$W356))</f>
        <v/>
      </c>
      <c r="Z356" s="27">
        <f>IF($W356="","",IFERROR(TRIM(LEFT(SUBSTITUTE(INDEX($A$9:$A$2008,$W356),CHAR(10)," "),SEARCH("Folio",SUBSTITUTE(INDEX($A$9:$A$2008,$W356),CHAR(10)," "))-1)),TRIM(SUBSTITUTE(INDEX($A$9:$A$2008,$W356),CHAR(10)," "))))</f>
        <v/>
      </c>
      <c r="AA356" s="27">
        <f>IF($W356="","",IFERROR(TRIM(SUBSTITUTE(MID(SUBSTITUTE(INDEX($A$9:$A$2008,$W356),CHAR(10)," "),SEARCH("Folio",SUBSTITUTE(INDEX($A$9:$A$2008,$W356),CHAR(10)," "))+5,200),":","")),""))</f>
        <v/>
      </c>
      <c r="AB356" s="28">
        <f>IF($W356="","",IF(ISNUMBER(INDEX($D$9:$D$2008,$W356)),INDEX($D$9:$D$2008,$W356),IFERROR(DATE(2000+VALUE(RIGHT(INDEX($D$9:$D$2008,$W356),2)),VALUE(MID(INDEX($D$9:$D$2008,$W356),4,2)),VALUE(LEFT(INDEX($D$9:$D$2008,$W356),2))),"")))</f>
        <v/>
      </c>
      <c r="AC356" s="29">
        <f>IF($W356="","",IFERROR(IF(ISNUMBER(INDEX($E$9:$E$2008,$W356)),INDEX($E$9:$E$2008,$W356),VALUE(SUBSTITUTE(INDEX($E$9:$E$2008,$W356),",",""))),""))</f>
        <v/>
      </c>
      <c r="AD356" s="29">
        <f>IF($W356="","",IFERROR(IF(ISNUMBER(INDEX($F$9:$F$2008,$W356)),INDEX($F$9:$F$2008,$W356),VALUE(SUBSTITUTE(INDEX($F$9:$F$2008,$W356),",",""))),""))</f>
        <v/>
      </c>
      <c r="AE356" s="29">
        <f>IF($W356="","",IFERROR(IF(ISNUMBER(INDEX($G$9:$G$2008,$W356)),INDEX($G$9:$G$2008,$W356),VALUE(SUBSTITUTE(INDEX($G$9:$G$2008,$W356),",",""))),""))</f>
        <v/>
      </c>
      <c r="AF356" s="29">
        <f>IF($W356="","",IFERROR(IF(ISNUMBER(INDEX($H$9:$H$2008,$W356)),INDEX($H$9:$H$2008,$W356),VALUE(SUBSTITUTE(INDEX($H$9:$H$2008,$W356),",",""))),""))</f>
        <v/>
      </c>
      <c r="AG356" s="29">
        <f>IF($W356="","",IFERROR(IF(ISNUMBER(INDEX($I$9:$I$2008,$W356)),INDEX($I$9:$I$2008,$W356),VALUE(SUBSTITUTE(INDEX($I$9:$I$2008,$W356),",",""))),""))</f>
        <v/>
      </c>
      <c r="AH356" s="29">
        <f>IF($W356="","",IFERROR(IF(ISNUMBER(INDEX($J$9:$J$2008,$W356)),INDEX($J$9:$J$2008,$W356),VALUE(SUBSTITUTE(INDEX($J$9:$J$2008,$W356),",",""))),""))</f>
        <v/>
      </c>
      <c r="AI356" s="29">
        <f>IF($W356="","",IFERROR(IF(ISNUMBER(INDEX($K$9:$K$2008,$W356)),INDEX($K$9:$K$2008,$W356),VALUE(SUBSTITUTE(INDEX($K$9:$K$2008,$W356),",",""))),""))</f>
        <v/>
      </c>
      <c r="AJ356" s="30">
        <f>IF($W356="","",IFERROR(IF(ISNUMBER(INDEX($L$9:$L$2008,$W356)),INDEX($L$9:$L$2008,$W356),VALUE(SUBSTITUTE(INDEX($L$9:$L$2008,$W356),",",""))),""))</f>
        <v/>
      </c>
      <c r="AK356" s="30">
        <f>IF($W356="","",IFERROR(IF(ISNUMBER(INDEX($M$9:$M$2008,$W356)),INDEX($M$9:$M$2008,$W356),VALUE(SUBSTITUTE(INDEX($M$9:$M$2008,$W356),",",""))),""))</f>
        <v/>
      </c>
      <c r="AL356" s="31">
        <f>IF($W356="","",IFERROR(IF(ISNUMBER(INDEX($P$9:$P$2008,$W356)),INDEX($P$9:$P$2008,$W356),VALUE(SUBSTITUTE(INDEX($P$9:$P$2008,$W356),"%",""))/100),""))</f>
        <v/>
      </c>
    </row>
    <row r="357">
      <c r="S357">
        <f>IF(AND(ISTEXT($A357),ISNUMBER(SEARCH(" - ",$A357)),ISERROR(SEARCH("Folio",$A357)),$D357=""),TRIM($A357),$S356)</f>
        <v/>
      </c>
      <c r="T357">
        <f>IF(AND(ISNUMBER(SEARCH("Folio",$A357)),$D357&lt;&gt;""),1,"")</f>
        <v/>
      </c>
      <c r="U357">
        <f>IF($T357=1,COUNTIF($T$9:$T357,1),"")</f>
        <v/>
      </c>
      <c r="V357">
        <f>IF(AND(ISTEXT($A357),LEFT($A358,3)="Pan"),1,"")</f>
        <v/>
      </c>
      <c r="W357" s="21">
        <f>IFERROR(MATCH(349,$U$9:$U$2008,0),"")</f>
        <v/>
      </c>
      <c r="X357" s="22">
        <f>IF($W357="","",IF($R$5&lt;&gt;"",$R$5,$R$6))</f>
        <v/>
      </c>
      <c r="Y357" s="22">
        <f>IF($W357="","",INDEX($S$9:$S$2008,$W357))</f>
        <v/>
      </c>
      <c r="Z357" s="22">
        <f>IF($W357="","",IFERROR(TRIM(LEFT(SUBSTITUTE(INDEX($A$9:$A$2008,$W357),CHAR(10)," "),SEARCH("Folio",SUBSTITUTE(INDEX($A$9:$A$2008,$W357),CHAR(10)," "))-1)),TRIM(SUBSTITUTE(INDEX($A$9:$A$2008,$W357),CHAR(10)," "))))</f>
        <v/>
      </c>
      <c r="AA357" s="22">
        <f>IF($W357="","",IFERROR(TRIM(SUBSTITUTE(MID(SUBSTITUTE(INDEX($A$9:$A$2008,$W357),CHAR(10)," "),SEARCH("Folio",SUBSTITUTE(INDEX($A$9:$A$2008,$W357),CHAR(10)," "))+5,200),":","")),""))</f>
        <v/>
      </c>
      <c r="AB357" s="23">
        <f>IF($W357="","",IF(ISNUMBER(INDEX($D$9:$D$2008,$W357)),INDEX($D$9:$D$2008,$W357),IFERROR(DATE(2000+VALUE(RIGHT(INDEX($D$9:$D$2008,$W357),2)),VALUE(MID(INDEX($D$9:$D$2008,$W357),4,2)),VALUE(LEFT(INDEX($D$9:$D$2008,$W357),2))),"")))</f>
        <v/>
      </c>
      <c r="AC357" s="24">
        <f>IF($W357="","",IFERROR(IF(ISNUMBER(INDEX($E$9:$E$2008,$W357)),INDEX($E$9:$E$2008,$W357),VALUE(SUBSTITUTE(INDEX($E$9:$E$2008,$W357),",",""))),""))</f>
        <v/>
      </c>
      <c r="AD357" s="24">
        <f>IF($W357="","",IFERROR(IF(ISNUMBER(INDEX($F$9:$F$2008,$W357)),INDEX($F$9:$F$2008,$W357),VALUE(SUBSTITUTE(INDEX($F$9:$F$2008,$W357),",",""))),""))</f>
        <v/>
      </c>
      <c r="AE357" s="24">
        <f>IF($W357="","",IFERROR(IF(ISNUMBER(INDEX($G$9:$G$2008,$W357)),INDEX($G$9:$G$2008,$W357),VALUE(SUBSTITUTE(INDEX($G$9:$G$2008,$W357),",",""))),""))</f>
        <v/>
      </c>
      <c r="AF357" s="24">
        <f>IF($W357="","",IFERROR(IF(ISNUMBER(INDEX($H$9:$H$2008,$W357)),INDEX($H$9:$H$2008,$W357),VALUE(SUBSTITUTE(INDEX($H$9:$H$2008,$W357),",",""))),""))</f>
        <v/>
      </c>
      <c r="AG357" s="24">
        <f>IF($W357="","",IFERROR(IF(ISNUMBER(INDEX($I$9:$I$2008,$W357)),INDEX($I$9:$I$2008,$W357),VALUE(SUBSTITUTE(INDEX($I$9:$I$2008,$W357),",",""))),""))</f>
        <v/>
      </c>
      <c r="AH357" s="24">
        <f>IF($W357="","",IFERROR(IF(ISNUMBER(INDEX($J$9:$J$2008,$W357)),INDEX($J$9:$J$2008,$W357),VALUE(SUBSTITUTE(INDEX($J$9:$J$2008,$W357),",",""))),""))</f>
        <v/>
      </c>
      <c r="AI357" s="24">
        <f>IF($W357="","",IFERROR(IF(ISNUMBER(INDEX($K$9:$K$2008,$W357)),INDEX($K$9:$K$2008,$W357),VALUE(SUBSTITUTE(INDEX($K$9:$K$2008,$W357),",",""))),""))</f>
        <v/>
      </c>
      <c r="AJ357" s="25">
        <f>IF($W357="","",IFERROR(IF(ISNUMBER(INDEX($L$9:$L$2008,$W357)),INDEX($L$9:$L$2008,$W357),VALUE(SUBSTITUTE(INDEX($L$9:$L$2008,$W357),",",""))),""))</f>
        <v/>
      </c>
      <c r="AK357" s="25">
        <f>IF($W357="","",IFERROR(IF(ISNUMBER(INDEX($M$9:$M$2008,$W357)),INDEX($M$9:$M$2008,$W357),VALUE(SUBSTITUTE(INDEX($M$9:$M$2008,$W357),",",""))),""))</f>
        <v/>
      </c>
      <c r="AL357" s="26">
        <f>IF($W357="","",IFERROR(IF(ISNUMBER(INDEX($P$9:$P$2008,$W357)),INDEX($P$9:$P$2008,$W357),VALUE(SUBSTITUTE(INDEX($P$9:$P$2008,$W357),"%",""))/100),""))</f>
        <v/>
      </c>
    </row>
    <row r="358">
      <c r="S358">
        <f>IF(AND(ISTEXT($A358),ISNUMBER(SEARCH(" - ",$A358)),ISERROR(SEARCH("Folio",$A358)),$D358=""),TRIM($A358),$S357)</f>
        <v/>
      </c>
      <c r="T358">
        <f>IF(AND(ISNUMBER(SEARCH("Folio",$A358)),$D358&lt;&gt;""),1,"")</f>
        <v/>
      </c>
      <c r="U358">
        <f>IF($T358=1,COUNTIF($T$9:$T358,1),"")</f>
        <v/>
      </c>
      <c r="V358">
        <f>IF(AND(ISTEXT($A358),LEFT($A359,3)="Pan"),1,"")</f>
        <v/>
      </c>
      <c r="W358" s="21">
        <f>IFERROR(MATCH(350,$U$9:$U$2008,0),"")</f>
        <v/>
      </c>
      <c r="X358" s="27">
        <f>IF($W358="","",IF($R$5&lt;&gt;"",$R$5,$R$6))</f>
        <v/>
      </c>
      <c r="Y358" s="27">
        <f>IF($W358="","",INDEX($S$9:$S$2008,$W358))</f>
        <v/>
      </c>
      <c r="Z358" s="27">
        <f>IF($W358="","",IFERROR(TRIM(LEFT(SUBSTITUTE(INDEX($A$9:$A$2008,$W358),CHAR(10)," "),SEARCH("Folio",SUBSTITUTE(INDEX($A$9:$A$2008,$W358),CHAR(10)," "))-1)),TRIM(SUBSTITUTE(INDEX($A$9:$A$2008,$W358),CHAR(10)," "))))</f>
        <v/>
      </c>
      <c r="AA358" s="27">
        <f>IF($W358="","",IFERROR(TRIM(SUBSTITUTE(MID(SUBSTITUTE(INDEX($A$9:$A$2008,$W358),CHAR(10)," "),SEARCH("Folio",SUBSTITUTE(INDEX($A$9:$A$2008,$W358),CHAR(10)," "))+5,200),":","")),""))</f>
        <v/>
      </c>
      <c r="AB358" s="28">
        <f>IF($W358="","",IF(ISNUMBER(INDEX($D$9:$D$2008,$W358)),INDEX($D$9:$D$2008,$W358),IFERROR(DATE(2000+VALUE(RIGHT(INDEX($D$9:$D$2008,$W358),2)),VALUE(MID(INDEX($D$9:$D$2008,$W358),4,2)),VALUE(LEFT(INDEX($D$9:$D$2008,$W358),2))),"")))</f>
        <v/>
      </c>
      <c r="AC358" s="29">
        <f>IF($W358="","",IFERROR(IF(ISNUMBER(INDEX($E$9:$E$2008,$W358)),INDEX($E$9:$E$2008,$W358),VALUE(SUBSTITUTE(INDEX($E$9:$E$2008,$W358),",",""))),""))</f>
        <v/>
      </c>
      <c r="AD358" s="29">
        <f>IF($W358="","",IFERROR(IF(ISNUMBER(INDEX($F$9:$F$2008,$W358)),INDEX($F$9:$F$2008,$W358),VALUE(SUBSTITUTE(INDEX($F$9:$F$2008,$W358),",",""))),""))</f>
        <v/>
      </c>
      <c r="AE358" s="29">
        <f>IF($W358="","",IFERROR(IF(ISNUMBER(INDEX($G$9:$G$2008,$W358)),INDEX($G$9:$G$2008,$W358),VALUE(SUBSTITUTE(INDEX($G$9:$G$2008,$W358),",",""))),""))</f>
        <v/>
      </c>
      <c r="AF358" s="29">
        <f>IF($W358="","",IFERROR(IF(ISNUMBER(INDEX($H$9:$H$2008,$W358)),INDEX($H$9:$H$2008,$W358),VALUE(SUBSTITUTE(INDEX($H$9:$H$2008,$W358),",",""))),""))</f>
        <v/>
      </c>
      <c r="AG358" s="29">
        <f>IF($W358="","",IFERROR(IF(ISNUMBER(INDEX($I$9:$I$2008,$W358)),INDEX($I$9:$I$2008,$W358),VALUE(SUBSTITUTE(INDEX($I$9:$I$2008,$W358),",",""))),""))</f>
        <v/>
      </c>
      <c r="AH358" s="29">
        <f>IF($W358="","",IFERROR(IF(ISNUMBER(INDEX($J$9:$J$2008,$W358)),INDEX($J$9:$J$2008,$W358),VALUE(SUBSTITUTE(INDEX($J$9:$J$2008,$W358),",",""))),""))</f>
        <v/>
      </c>
      <c r="AI358" s="29">
        <f>IF($W358="","",IFERROR(IF(ISNUMBER(INDEX($K$9:$K$2008,$W358)),INDEX($K$9:$K$2008,$W358),VALUE(SUBSTITUTE(INDEX($K$9:$K$2008,$W358),",",""))),""))</f>
        <v/>
      </c>
      <c r="AJ358" s="30">
        <f>IF($W358="","",IFERROR(IF(ISNUMBER(INDEX($L$9:$L$2008,$W358)),INDEX($L$9:$L$2008,$W358),VALUE(SUBSTITUTE(INDEX($L$9:$L$2008,$W358),",",""))),""))</f>
        <v/>
      </c>
      <c r="AK358" s="30">
        <f>IF($W358="","",IFERROR(IF(ISNUMBER(INDEX($M$9:$M$2008,$W358)),INDEX($M$9:$M$2008,$W358),VALUE(SUBSTITUTE(INDEX($M$9:$M$2008,$W358),",",""))),""))</f>
        <v/>
      </c>
      <c r="AL358" s="31">
        <f>IF($W358="","",IFERROR(IF(ISNUMBER(INDEX($P$9:$P$2008,$W358)),INDEX($P$9:$P$2008,$W358),VALUE(SUBSTITUTE(INDEX($P$9:$P$2008,$W358),"%",""))/100),""))</f>
        <v/>
      </c>
    </row>
    <row r="359">
      <c r="S359">
        <f>IF(AND(ISTEXT($A359),ISNUMBER(SEARCH(" - ",$A359)),ISERROR(SEARCH("Folio",$A359)),$D359=""),TRIM($A359),$S358)</f>
        <v/>
      </c>
      <c r="T359">
        <f>IF(AND(ISNUMBER(SEARCH("Folio",$A359)),$D359&lt;&gt;""),1,"")</f>
        <v/>
      </c>
      <c r="U359">
        <f>IF($T359=1,COUNTIF($T$9:$T359,1),"")</f>
        <v/>
      </c>
      <c r="V359">
        <f>IF(AND(ISTEXT($A359),LEFT($A360,3)="Pan"),1,"")</f>
        <v/>
      </c>
      <c r="W359" s="21">
        <f>IFERROR(MATCH(351,$U$9:$U$2008,0),"")</f>
        <v/>
      </c>
      <c r="X359" s="22">
        <f>IF($W359="","",IF($R$5&lt;&gt;"",$R$5,$R$6))</f>
        <v/>
      </c>
      <c r="Y359" s="22">
        <f>IF($W359="","",INDEX($S$9:$S$2008,$W359))</f>
        <v/>
      </c>
      <c r="Z359" s="22">
        <f>IF($W359="","",IFERROR(TRIM(LEFT(SUBSTITUTE(INDEX($A$9:$A$2008,$W359),CHAR(10)," "),SEARCH("Folio",SUBSTITUTE(INDEX($A$9:$A$2008,$W359),CHAR(10)," "))-1)),TRIM(SUBSTITUTE(INDEX($A$9:$A$2008,$W359),CHAR(10)," "))))</f>
        <v/>
      </c>
      <c r="AA359" s="22">
        <f>IF($W359="","",IFERROR(TRIM(SUBSTITUTE(MID(SUBSTITUTE(INDEX($A$9:$A$2008,$W359),CHAR(10)," "),SEARCH("Folio",SUBSTITUTE(INDEX($A$9:$A$2008,$W359),CHAR(10)," "))+5,200),":","")),""))</f>
        <v/>
      </c>
      <c r="AB359" s="23">
        <f>IF($W359="","",IF(ISNUMBER(INDEX($D$9:$D$2008,$W359)),INDEX($D$9:$D$2008,$W359),IFERROR(DATE(2000+VALUE(RIGHT(INDEX($D$9:$D$2008,$W359),2)),VALUE(MID(INDEX($D$9:$D$2008,$W359),4,2)),VALUE(LEFT(INDEX($D$9:$D$2008,$W359),2))),"")))</f>
        <v/>
      </c>
      <c r="AC359" s="24">
        <f>IF($W359="","",IFERROR(IF(ISNUMBER(INDEX($E$9:$E$2008,$W359)),INDEX($E$9:$E$2008,$W359),VALUE(SUBSTITUTE(INDEX($E$9:$E$2008,$W359),",",""))),""))</f>
        <v/>
      </c>
      <c r="AD359" s="24">
        <f>IF($W359="","",IFERROR(IF(ISNUMBER(INDEX($F$9:$F$2008,$W359)),INDEX($F$9:$F$2008,$W359),VALUE(SUBSTITUTE(INDEX($F$9:$F$2008,$W359),",",""))),""))</f>
        <v/>
      </c>
      <c r="AE359" s="24">
        <f>IF($W359="","",IFERROR(IF(ISNUMBER(INDEX($G$9:$G$2008,$W359)),INDEX($G$9:$G$2008,$W359),VALUE(SUBSTITUTE(INDEX($G$9:$G$2008,$W359),",",""))),""))</f>
        <v/>
      </c>
      <c r="AF359" s="24">
        <f>IF($W359="","",IFERROR(IF(ISNUMBER(INDEX($H$9:$H$2008,$W359)),INDEX($H$9:$H$2008,$W359),VALUE(SUBSTITUTE(INDEX($H$9:$H$2008,$W359),",",""))),""))</f>
        <v/>
      </c>
      <c r="AG359" s="24">
        <f>IF($W359="","",IFERROR(IF(ISNUMBER(INDEX($I$9:$I$2008,$W359)),INDEX($I$9:$I$2008,$W359),VALUE(SUBSTITUTE(INDEX($I$9:$I$2008,$W359),",",""))),""))</f>
        <v/>
      </c>
      <c r="AH359" s="24">
        <f>IF($W359="","",IFERROR(IF(ISNUMBER(INDEX($J$9:$J$2008,$W359)),INDEX($J$9:$J$2008,$W359),VALUE(SUBSTITUTE(INDEX($J$9:$J$2008,$W359),",",""))),""))</f>
        <v/>
      </c>
      <c r="AI359" s="24">
        <f>IF($W359="","",IFERROR(IF(ISNUMBER(INDEX($K$9:$K$2008,$W359)),INDEX($K$9:$K$2008,$W359),VALUE(SUBSTITUTE(INDEX($K$9:$K$2008,$W359),",",""))),""))</f>
        <v/>
      </c>
      <c r="AJ359" s="25">
        <f>IF($W359="","",IFERROR(IF(ISNUMBER(INDEX($L$9:$L$2008,$W359)),INDEX($L$9:$L$2008,$W359),VALUE(SUBSTITUTE(INDEX($L$9:$L$2008,$W359),",",""))),""))</f>
        <v/>
      </c>
      <c r="AK359" s="25">
        <f>IF($W359="","",IFERROR(IF(ISNUMBER(INDEX($M$9:$M$2008,$W359)),INDEX($M$9:$M$2008,$W359),VALUE(SUBSTITUTE(INDEX($M$9:$M$2008,$W359),",",""))),""))</f>
        <v/>
      </c>
      <c r="AL359" s="26">
        <f>IF($W359="","",IFERROR(IF(ISNUMBER(INDEX($P$9:$P$2008,$W359)),INDEX($P$9:$P$2008,$W359),VALUE(SUBSTITUTE(INDEX($P$9:$P$2008,$W359),"%",""))/100),""))</f>
        <v/>
      </c>
    </row>
    <row r="360">
      <c r="S360">
        <f>IF(AND(ISTEXT($A360),ISNUMBER(SEARCH(" - ",$A360)),ISERROR(SEARCH("Folio",$A360)),$D360=""),TRIM($A360),$S359)</f>
        <v/>
      </c>
      <c r="T360">
        <f>IF(AND(ISNUMBER(SEARCH("Folio",$A360)),$D360&lt;&gt;""),1,"")</f>
        <v/>
      </c>
      <c r="U360">
        <f>IF($T360=1,COUNTIF($T$9:$T360,1),"")</f>
        <v/>
      </c>
      <c r="V360">
        <f>IF(AND(ISTEXT($A360),LEFT($A361,3)="Pan"),1,"")</f>
        <v/>
      </c>
      <c r="W360" s="21">
        <f>IFERROR(MATCH(352,$U$9:$U$2008,0),"")</f>
        <v/>
      </c>
      <c r="X360" s="27">
        <f>IF($W360="","",IF($R$5&lt;&gt;"",$R$5,$R$6))</f>
        <v/>
      </c>
      <c r="Y360" s="27">
        <f>IF($W360="","",INDEX($S$9:$S$2008,$W360))</f>
        <v/>
      </c>
      <c r="Z360" s="27">
        <f>IF($W360="","",IFERROR(TRIM(LEFT(SUBSTITUTE(INDEX($A$9:$A$2008,$W360),CHAR(10)," "),SEARCH("Folio",SUBSTITUTE(INDEX($A$9:$A$2008,$W360),CHAR(10)," "))-1)),TRIM(SUBSTITUTE(INDEX($A$9:$A$2008,$W360),CHAR(10)," "))))</f>
        <v/>
      </c>
      <c r="AA360" s="27">
        <f>IF($W360="","",IFERROR(TRIM(SUBSTITUTE(MID(SUBSTITUTE(INDEX($A$9:$A$2008,$W360),CHAR(10)," "),SEARCH("Folio",SUBSTITUTE(INDEX($A$9:$A$2008,$W360),CHAR(10)," "))+5,200),":","")),""))</f>
        <v/>
      </c>
      <c r="AB360" s="28">
        <f>IF($W360="","",IF(ISNUMBER(INDEX($D$9:$D$2008,$W360)),INDEX($D$9:$D$2008,$W360),IFERROR(DATE(2000+VALUE(RIGHT(INDEX($D$9:$D$2008,$W360),2)),VALUE(MID(INDEX($D$9:$D$2008,$W360),4,2)),VALUE(LEFT(INDEX($D$9:$D$2008,$W360),2))),"")))</f>
        <v/>
      </c>
      <c r="AC360" s="29">
        <f>IF($W360="","",IFERROR(IF(ISNUMBER(INDEX($E$9:$E$2008,$W360)),INDEX($E$9:$E$2008,$W360),VALUE(SUBSTITUTE(INDEX($E$9:$E$2008,$W360),",",""))),""))</f>
        <v/>
      </c>
      <c r="AD360" s="29">
        <f>IF($W360="","",IFERROR(IF(ISNUMBER(INDEX($F$9:$F$2008,$W360)),INDEX($F$9:$F$2008,$W360),VALUE(SUBSTITUTE(INDEX($F$9:$F$2008,$W360),",",""))),""))</f>
        <v/>
      </c>
      <c r="AE360" s="29">
        <f>IF($W360="","",IFERROR(IF(ISNUMBER(INDEX($G$9:$G$2008,$W360)),INDEX($G$9:$G$2008,$W360),VALUE(SUBSTITUTE(INDEX($G$9:$G$2008,$W360),",",""))),""))</f>
        <v/>
      </c>
      <c r="AF360" s="29">
        <f>IF($W360="","",IFERROR(IF(ISNUMBER(INDEX($H$9:$H$2008,$W360)),INDEX($H$9:$H$2008,$W360),VALUE(SUBSTITUTE(INDEX($H$9:$H$2008,$W360),",",""))),""))</f>
        <v/>
      </c>
      <c r="AG360" s="29">
        <f>IF($W360="","",IFERROR(IF(ISNUMBER(INDEX($I$9:$I$2008,$W360)),INDEX($I$9:$I$2008,$W360),VALUE(SUBSTITUTE(INDEX($I$9:$I$2008,$W360),",",""))),""))</f>
        <v/>
      </c>
      <c r="AH360" s="29">
        <f>IF($W360="","",IFERROR(IF(ISNUMBER(INDEX($J$9:$J$2008,$W360)),INDEX($J$9:$J$2008,$W360),VALUE(SUBSTITUTE(INDEX($J$9:$J$2008,$W360),",",""))),""))</f>
        <v/>
      </c>
      <c r="AI360" s="29">
        <f>IF($W360="","",IFERROR(IF(ISNUMBER(INDEX($K$9:$K$2008,$W360)),INDEX($K$9:$K$2008,$W360),VALUE(SUBSTITUTE(INDEX($K$9:$K$2008,$W360),",",""))),""))</f>
        <v/>
      </c>
      <c r="AJ360" s="30">
        <f>IF($W360="","",IFERROR(IF(ISNUMBER(INDEX($L$9:$L$2008,$W360)),INDEX($L$9:$L$2008,$W360),VALUE(SUBSTITUTE(INDEX($L$9:$L$2008,$W360),",",""))),""))</f>
        <v/>
      </c>
      <c r="AK360" s="30">
        <f>IF($W360="","",IFERROR(IF(ISNUMBER(INDEX($M$9:$M$2008,$W360)),INDEX($M$9:$M$2008,$W360),VALUE(SUBSTITUTE(INDEX($M$9:$M$2008,$W360),",",""))),""))</f>
        <v/>
      </c>
      <c r="AL360" s="31">
        <f>IF($W360="","",IFERROR(IF(ISNUMBER(INDEX($P$9:$P$2008,$W360)),INDEX($P$9:$P$2008,$W360),VALUE(SUBSTITUTE(INDEX($P$9:$P$2008,$W360),"%",""))/100),""))</f>
        <v/>
      </c>
    </row>
    <row r="361">
      <c r="S361">
        <f>IF(AND(ISTEXT($A361),ISNUMBER(SEARCH(" - ",$A361)),ISERROR(SEARCH("Folio",$A361)),$D361=""),TRIM($A361),$S360)</f>
        <v/>
      </c>
      <c r="T361">
        <f>IF(AND(ISNUMBER(SEARCH("Folio",$A361)),$D361&lt;&gt;""),1,"")</f>
        <v/>
      </c>
      <c r="U361">
        <f>IF($T361=1,COUNTIF($T$9:$T361,1),"")</f>
        <v/>
      </c>
      <c r="V361">
        <f>IF(AND(ISTEXT($A361),LEFT($A362,3)="Pan"),1,"")</f>
        <v/>
      </c>
      <c r="W361" s="21">
        <f>IFERROR(MATCH(353,$U$9:$U$2008,0),"")</f>
        <v/>
      </c>
      <c r="X361" s="22">
        <f>IF($W361="","",IF($R$5&lt;&gt;"",$R$5,$R$6))</f>
        <v/>
      </c>
      <c r="Y361" s="22">
        <f>IF($W361="","",INDEX($S$9:$S$2008,$W361))</f>
        <v/>
      </c>
      <c r="Z361" s="22">
        <f>IF($W361="","",IFERROR(TRIM(LEFT(SUBSTITUTE(INDEX($A$9:$A$2008,$W361),CHAR(10)," "),SEARCH("Folio",SUBSTITUTE(INDEX($A$9:$A$2008,$W361),CHAR(10)," "))-1)),TRIM(SUBSTITUTE(INDEX($A$9:$A$2008,$W361),CHAR(10)," "))))</f>
        <v/>
      </c>
      <c r="AA361" s="22">
        <f>IF($W361="","",IFERROR(TRIM(SUBSTITUTE(MID(SUBSTITUTE(INDEX($A$9:$A$2008,$W361),CHAR(10)," "),SEARCH("Folio",SUBSTITUTE(INDEX($A$9:$A$2008,$W361),CHAR(10)," "))+5,200),":","")),""))</f>
        <v/>
      </c>
      <c r="AB361" s="23">
        <f>IF($W361="","",IF(ISNUMBER(INDEX($D$9:$D$2008,$W361)),INDEX($D$9:$D$2008,$W361),IFERROR(DATE(2000+VALUE(RIGHT(INDEX($D$9:$D$2008,$W361),2)),VALUE(MID(INDEX($D$9:$D$2008,$W361),4,2)),VALUE(LEFT(INDEX($D$9:$D$2008,$W361),2))),"")))</f>
        <v/>
      </c>
      <c r="AC361" s="24">
        <f>IF($W361="","",IFERROR(IF(ISNUMBER(INDEX($E$9:$E$2008,$W361)),INDEX($E$9:$E$2008,$W361),VALUE(SUBSTITUTE(INDEX($E$9:$E$2008,$W361),",",""))),""))</f>
        <v/>
      </c>
      <c r="AD361" s="24">
        <f>IF($W361="","",IFERROR(IF(ISNUMBER(INDEX($F$9:$F$2008,$W361)),INDEX($F$9:$F$2008,$W361),VALUE(SUBSTITUTE(INDEX($F$9:$F$2008,$W361),",",""))),""))</f>
        <v/>
      </c>
      <c r="AE361" s="24">
        <f>IF($W361="","",IFERROR(IF(ISNUMBER(INDEX($G$9:$G$2008,$W361)),INDEX($G$9:$G$2008,$W361),VALUE(SUBSTITUTE(INDEX($G$9:$G$2008,$W361),",",""))),""))</f>
        <v/>
      </c>
      <c r="AF361" s="24">
        <f>IF($W361="","",IFERROR(IF(ISNUMBER(INDEX($H$9:$H$2008,$W361)),INDEX($H$9:$H$2008,$W361),VALUE(SUBSTITUTE(INDEX($H$9:$H$2008,$W361),",",""))),""))</f>
        <v/>
      </c>
      <c r="AG361" s="24">
        <f>IF($W361="","",IFERROR(IF(ISNUMBER(INDEX($I$9:$I$2008,$W361)),INDEX($I$9:$I$2008,$W361),VALUE(SUBSTITUTE(INDEX($I$9:$I$2008,$W361),",",""))),""))</f>
        <v/>
      </c>
      <c r="AH361" s="24">
        <f>IF($W361="","",IFERROR(IF(ISNUMBER(INDEX($J$9:$J$2008,$W361)),INDEX($J$9:$J$2008,$W361),VALUE(SUBSTITUTE(INDEX($J$9:$J$2008,$W361),",",""))),""))</f>
        <v/>
      </c>
      <c r="AI361" s="24">
        <f>IF($W361="","",IFERROR(IF(ISNUMBER(INDEX($K$9:$K$2008,$W361)),INDEX($K$9:$K$2008,$W361),VALUE(SUBSTITUTE(INDEX($K$9:$K$2008,$W361),",",""))),""))</f>
        <v/>
      </c>
      <c r="AJ361" s="25">
        <f>IF($W361="","",IFERROR(IF(ISNUMBER(INDEX($L$9:$L$2008,$W361)),INDEX($L$9:$L$2008,$W361),VALUE(SUBSTITUTE(INDEX($L$9:$L$2008,$W361),",",""))),""))</f>
        <v/>
      </c>
      <c r="AK361" s="25">
        <f>IF($W361="","",IFERROR(IF(ISNUMBER(INDEX($M$9:$M$2008,$W361)),INDEX($M$9:$M$2008,$W361),VALUE(SUBSTITUTE(INDEX($M$9:$M$2008,$W361),",",""))),""))</f>
        <v/>
      </c>
      <c r="AL361" s="26">
        <f>IF($W361="","",IFERROR(IF(ISNUMBER(INDEX($P$9:$P$2008,$W361)),INDEX($P$9:$P$2008,$W361),VALUE(SUBSTITUTE(INDEX($P$9:$P$2008,$W361),"%",""))/100),""))</f>
        <v/>
      </c>
    </row>
    <row r="362">
      <c r="S362">
        <f>IF(AND(ISTEXT($A362),ISNUMBER(SEARCH(" - ",$A362)),ISERROR(SEARCH("Folio",$A362)),$D362=""),TRIM($A362),$S361)</f>
        <v/>
      </c>
      <c r="T362">
        <f>IF(AND(ISNUMBER(SEARCH("Folio",$A362)),$D362&lt;&gt;""),1,"")</f>
        <v/>
      </c>
      <c r="U362">
        <f>IF($T362=1,COUNTIF($T$9:$T362,1),"")</f>
        <v/>
      </c>
      <c r="V362">
        <f>IF(AND(ISTEXT($A362),LEFT($A363,3)="Pan"),1,"")</f>
        <v/>
      </c>
      <c r="W362" s="21">
        <f>IFERROR(MATCH(354,$U$9:$U$2008,0),"")</f>
        <v/>
      </c>
      <c r="X362" s="27">
        <f>IF($W362="","",IF($R$5&lt;&gt;"",$R$5,$R$6))</f>
        <v/>
      </c>
      <c r="Y362" s="27">
        <f>IF($W362="","",INDEX($S$9:$S$2008,$W362))</f>
        <v/>
      </c>
      <c r="Z362" s="27">
        <f>IF($W362="","",IFERROR(TRIM(LEFT(SUBSTITUTE(INDEX($A$9:$A$2008,$W362),CHAR(10)," "),SEARCH("Folio",SUBSTITUTE(INDEX($A$9:$A$2008,$W362),CHAR(10)," "))-1)),TRIM(SUBSTITUTE(INDEX($A$9:$A$2008,$W362),CHAR(10)," "))))</f>
        <v/>
      </c>
      <c r="AA362" s="27">
        <f>IF($W362="","",IFERROR(TRIM(SUBSTITUTE(MID(SUBSTITUTE(INDEX($A$9:$A$2008,$W362),CHAR(10)," "),SEARCH("Folio",SUBSTITUTE(INDEX($A$9:$A$2008,$W362),CHAR(10)," "))+5,200),":","")),""))</f>
        <v/>
      </c>
      <c r="AB362" s="28">
        <f>IF($W362="","",IF(ISNUMBER(INDEX($D$9:$D$2008,$W362)),INDEX($D$9:$D$2008,$W362),IFERROR(DATE(2000+VALUE(RIGHT(INDEX($D$9:$D$2008,$W362),2)),VALUE(MID(INDEX($D$9:$D$2008,$W362),4,2)),VALUE(LEFT(INDEX($D$9:$D$2008,$W362),2))),"")))</f>
        <v/>
      </c>
      <c r="AC362" s="29">
        <f>IF($W362="","",IFERROR(IF(ISNUMBER(INDEX($E$9:$E$2008,$W362)),INDEX($E$9:$E$2008,$W362),VALUE(SUBSTITUTE(INDEX($E$9:$E$2008,$W362),",",""))),""))</f>
        <v/>
      </c>
      <c r="AD362" s="29">
        <f>IF($W362="","",IFERROR(IF(ISNUMBER(INDEX($F$9:$F$2008,$W362)),INDEX($F$9:$F$2008,$W362),VALUE(SUBSTITUTE(INDEX($F$9:$F$2008,$W362),",",""))),""))</f>
        <v/>
      </c>
      <c r="AE362" s="29">
        <f>IF($W362="","",IFERROR(IF(ISNUMBER(INDEX($G$9:$G$2008,$W362)),INDEX($G$9:$G$2008,$W362),VALUE(SUBSTITUTE(INDEX($G$9:$G$2008,$W362),",",""))),""))</f>
        <v/>
      </c>
      <c r="AF362" s="29">
        <f>IF($W362="","",IFERROR(IF(ISNUMBER(INDEX($H$9:$H$2008,$W362)),INDEX($H$9:$H$2008,$W362),VALUE(SUBSTITUTE(INDEX($H$9:$H$2008,$W362),",",""))),""))</f>
        <v/>
      </c>
      <c r="AG362" s="29">
        <f>IF($W362="","",IFERROR(IF(ISNUMBER(INDEX($I$9:$I$2008,$W362)),INDEX($I$9:$I$2008,$W362),VALUE(SUBSTITUTE(INDEX($I$9:$I$2008,$W362),",",""))),""))</f>
        <v/>
      </c>
      <c r="AH362" s="29">
        <f>IF($W362="","",IFERROR(IF(ISNUMBER(INDEX($J$9:$J$2008,$W362)),INDEX($J$9:$J$2008,$W362),VALUE(SUBSTITUTE(INDEX($J$9:$J$2008,$W362),",",""))),""))</f>
        <v/>
      </c>
      <c r="AI362" s="29">
        <f>IF($W362="","",IFERROR(IF(ISNUMBER(INDEX($K$9:$K$2008,$W362)),INDEX($K$9:$K$2008,$W362),VALUE(SUBSTITUTE(INDEX($K$9:$K$2008,$W362),",",""))),""))</f>
        <v/>
      </c>
      <c r="AJ362" s="30">
        <f>IF($W362="","",IFERROR(IF(ISNUMBER(INDEX($L$9:$L$2008,$W362)),INDEX($L$9:$L$2008,$W362),VALUE(SUBSTITUTE(INDEX($L$9:$L$2008,$W362),",",""))),""))</f>
        <v/>
      </c>
      <c r="AK362" s="30">
        <f>IF($W362="","",IFERROR(IF(ISNUMBER(INDEX($M$9:$M$2008,$W362)),INDEX($M$9:$M$2008,$W362),VALUE(SUBSTITUTE(INDEX($M$9:$M$2008,$W362),",",""))),""))</f>
        <v/>
      </c>
      <c r="AL362" s="31">
        <f>IF($W362="","",IFERROR(IF(ISNUMBER(INDEX($P$9:$P$2008,$W362)),INDEX($P$9:$P$2008,$W362),VALUE(SUBSTITUTE(INDEX($P$9:$P$2008,$W362),"%",""))/100),""))</f>
        <v/>
      </c>
    </row>
    <row r="363">
      <c r="S363">
        <f>IF(AND(ISTEXT($A363),ISNUMBER(SEARCH(" - ",$A363)),ISERROR(SEARCH("Folio",$A363)),$D363=""),TRIM($A363),$S362)</f>
        <v/>
      </c>
      <c r="T363">
        <f>IF(AND(ISNUMBER(SEARCH("Folio",$A363)),$D363&lt;&gt;""),1,"")</f>
        <v/>
      </c>
      <c r="U363">
        <f>IF($T363=1,COUNTIF($T$9:$T363,1),"")</f>
        <v/>
      </c>
      <c r="V363">
        <f>IF(AND(ISTEXT($A363),LEFT($A364,3)="Pan"),1,"")</f>
        <v/>
      </c>
      <c r="W363" s="21">
        <f>IFERROR(MATCH(355,$U$9:$U$2008,0),"")</f>
        <v/>
      </c>
      <c r="X363" s="22">
        <f>IF($W363="","",IF($R$5&lt;&gt;"",$R$5,$R$6))</f>
        <v/>
      </c>
      <c r="Y363" s="22">
        <f>IF($W363="","",INDEX($S$9:$S$2008,$W363))</f>
        <v/>
      </c>
      <c r="Z363" s="22">
        <f>IF($W363="","",IFERROR(TRIM(LEFT(SUBSTITUTE(INDEX($A$9:$A$2008,$W363),CHAR(10)," "),SEARCH("Folio",SUBSTITUTE(INDEX($A$9:$A$2008,$W363),CHAR(10)," "))-1)),TRIM(SUBSTITUTE(INDEX($A$9:$A$2008,$W363),CHAR(10)," "))))</f>
        <v/>
      </c>
      <c r="AA363" s="22">
        <f>IF($W363="","",IFERROR(TRIM(SUBSTITUTE(MID(SUBSTITUTE(INDEX($A$9:$A$2008,$W363),CHAR(10)," "),SEARCH("Folio",SUBSTITUTE(INDEX($A$9:$A$2008,$W363),CHAR(10)," "))+5,200),":","")),""))</f>
        <v/>
      </c>
      <c r="AB363" s="23">
        <f>IF($W363="","",IF(ISNUMBER(INDEX($D$9:$D$2008,$W363)),INDEX($D$9:$D$2008,$W363),IFERROR(DATE(2000+VALUE(RIGHT(INDEX($D$9:$D$2008,$W363),2)),VALUE(MID(INDEX($D$9:$D$2008,$W363),4,2)),VALUE(LEFT(INDEX($D$9:$D$2008,$W363),2))),"")))</f>
        <v/>
      </c>
      <c r="AC363" s="24">
        <f>IF($W363="","",IFERROR(IF(ISNUMBER(INDEX($E$9:$E$2008,$W363)),INDEX($E$9:$E$2008,$W363),VALUE(SUBSTITUTE(INDEX($E$9:$E$2008,$W363),",",""))),""))</f>
        <v/>
      </c>
      <c r="AD363" s="24">
        <f>IF($W363="","",IFERROR(IF(ISNUMBER(INDEX($F$9:$F$2008,$W363)),INDEX($F$9:$F$2008,$W363),VALUE(SUBSTITUTE(INDEX($F$9:$F$2008,$W363),",",""))),""))</f>
        <v/>
      </c>
      <c r="AE363" s="24">
        <f>IF($W363="","",IFERROR(IF(ISNUMBER(INDEX($G$9:$G$2008,$W363)),INDEX($G$9:$G$2008,$W363),VALUE(SUBSTITUTE(INDEX($G$9:$G$2008,$W363),",",""))),""))</f>
        <v/>
      </c>
      <c r="AF363" s="24">
        <f>IF($W363="","",IFERROR(IF(ISNUMBER(INDEX($H$9:$H$2008,$W363)),INDEX($H$9:$H$2008,$W363),VALUE(SUBSTITUTE(INDEX($H$9:$H$2008,$W363),",",""))),""))</f>
        <v/>
      </c>
      <c r="AG363" s="24">
        <f>IF($W363="","",IFERROR(IF(ISNUMBER(INDEX($I$9:$I$2008,$W363)),INDEX($I$9:$I$2008,$W363),VALUE(SUBSTITUTE(INDEX($I$9:$I$2008,$W363),",",""))),""))</f>
        <v/>
      </c>
      <c r="AH363" s="24">
        <f>IF($W363="","",IFERROR(IF(ISNUMBER(INDEX($J$9:$J$2008,$W363)),INDEX($J$9:$J$2008,$W363),VALUE(SUBSTITUTE(INDEX($J$9:$J$2008,$W363),",",""))),""))</f>
        <v/>
      </c>
      <c r="AI363" s="24">
        <f>IF($W363="","",IFERROR(IF(ISNUMBER(INDEX($K$9:$K$2008,$W363)),INDEX($K$9:$K$2008,$W363),VALUE(SUBSTITUTE(INDEX($K$9:$K$2008,$W363),",",""))),""))</f>
        <v/>
      </c>
      <c r="AJ363" s="25">
        <f>IF($W363="","",IFERROR(IF(ISNUMBER(INDEX($L$9:$L$2008,$W363)),INDEX($L$9:$L$2008,$W363),VALUE(SUBSTITUTE(INDEX($L$9:$L$2008,$W363),",",""))),""))</f>
        <v/>
      </c>
      <c r="AK363" s="25">
        <f>IF($W363="","",IFERROR(IF(ISNUMBER(INDEX($M$9:$M$2008,$W363)),INDEX($M$9:$M$2008,$W363),VALUE(SUBSTITUTE(INDEX($M$9:$M$2008,$W363),",",""))),""))</f>
        <v/>
      </c>
      <c r="AL363" s="26">
        <f>IF($W363="","",IFERROR(IF(ISNUMBER(INDEX($P$9:$P$2008,$W363)),INDEX($P$9:$P$2008,$W363),VALUE(SUBSTITUTE(INDEX($P$9:$P$2008,$W363),"%",""))/100),""))</f>
        <v/>
      </c>
    </row>
    <row r="364">
      <c r="S364">
        <f>IF(AND(ISTEXT($A364),ISNUMBER(SEARCH(" - ",$A364)),ISERROR(SEARCH("Folio",$A364)),$D364=""),TRIM($A364),$S363)</f>
        <v/>
      </c>
      <c r="T364">
        <f>IF(AND(ISNUMBER(SEARCH("Folio",$A364)),$D364&lt;&gt;""),1,"")</f>
        <v/>
      </c>
      <c r="U364">
        <f>IF($T364=1,COUNTIF($T$9:$T364,1),"")</f>
        <v/>
      </c>
      <c r="V364">
        <f>IF(AND(ISTEXT($A364),LEFT($A365,3)="Pan"),1,"")</f>
        <v/>
      </c>
      <c r="W364" s="21">
        <f>IFERROR(MATCH(356,$U$9:$U$2008,0),"")</f>
        <v/>
      </c>
      <c r="X364" s="27">
        <f>IF($W364="","",IF($R$5&lt;&gt;"",$R$5,$R$6))</f>
        <v/>
      </c>
      <c r="Y364" s="27">
        <f>IF($W364="","",INDEX($S$9:$S$2008,$W364))</f>
        <v/>
      </c>
      <c r="Z364" s="27">
        <f>IF($W364="","",IFERROR(TRIM(LEFT(SUBSTITUTE(INDEX($A$9:$A$2008,$W364),CHAR(10)," "),SEARCH("Folio",SUBSTITUTE(INDEX($A$9:$A$2008,$W364),CHAR(10)," "))-1)),TRIM(SUBSTITUTE(INDEX($A$9:$A$2008,$W364),CHAR(10)," "))))</f>
        <v/>
      </c>
      <c r="AA364" s="27">
        <f>IF($W364="","",IFERROR(TRIM(SUBSTITUTE(MID(SUBSTITUTE(INDEX($A$9:$A$2008,$W364),CHAR(10)," "),SEARCH("Folio",SUBSTITUTE(INDEX($A$9:$A$2008,$W364),CHAR(10)," "))+5,200),":","")),""))</f>
        <v/>
      </c>
      <c r="AB364" s="28">
        <f>IF($W364="","",IF(ISNUMBER(INDEX($D$9:$D$2008,$W364)),INDEX($D$9:$D$2008,$W364),IFERROR(DATE(2000+VALUE(RIGHT(INDEX($D$9:$D$2008,$W364),2)),VALUE(MID(INDEX($D$9:$D$2008,$W364),4,2)),VALUE(LEFT(INDEX($D$9:$D$2008,$W364),2))),"")))</f>
        <v/>
      </c>
      <c r="AC364" s="29">
        <f>IF($W364="","",IFERROR(IF(ISNUMBER(INDEX($E$9:$E$2008,$W364)),INDEX($E$9:$E$2008,$W364),VALUE(SUBSTITUTE(INDEX($E$9:$E$2008,$W364),",",""))),""))</f>
        <v/>
      </c>
      <c r="AD364" s="29">
        <f>IF($W364="","",IFERROR(IF(ISNUMBER(INDEX($F$9:$F$2008,$W364)),INDEX($F$9:$F$2008,$W364),VALUE(SUBSTITUTE(INDEX($F$9:$F$2008,$W364),",",""))),""))</f>
        <v/>
      </c>
      <c r="AE364" s="29">
        <f>IF($W364="","",IFERROR(IF(ISNUMBER(INDEX($G$9:$G$2008,$W364)),INDEX($G$9:$G$2008,$W364),VALUE(SUBSTITUTE(INDEX($G$9:$G$2008,$W364),",",""))),""))</f>
        <v/>
      </c>
      <c r="AF364" s="29">
        <f>IF($W364="","",IFERROR(IF(ISNUMBER(INDEX($H$9:$H$2008,$W364)),INDEX($H$9:$H$2008,$W364),VALUE(SUBSTITUTE(INDEX($H$9:$H$2008,$W364),",",""))),""))</f>
        <v/>
      </c>
      <c r="AG364" s="29">
        <f>IF($W364="","",IFERROR(IF(ISNUMBER(INDEX($I$9:$I$2008,$W364)),INDEX($I$9:$I$2008,$W364),VALUE(SUBSTITUTE(INDEX($I$9:$I$2008,$W364),",",""))),""))</f>
        <v/>
      </c>
      <c r="AH364" s="29">
        <f>IF($W364="","",IFERROR(IF(ISNUMBER(INDEX($J$9:$J$2008,$W364)),INDEX($J$9:$J$2008,$W364),VALUE(SUBSTITUTE(INDEX($J$9:$J$2008,$W364),",",""))),""))</f>
        <v/>
      </c>
      <c r="AI364" s="29">
        <f>IF($W364="","",IFERROR(IF(ISNUMBER(INDEX($K$9:$K$2008,$W364)),INDEX($K$9:$K$2008,$W364),VALUE(SUBSTITUTE(INDEX($K$9:$K$2008,$W364),",",""))),""))</f>
        <v/>
      </c>
      <c r="AJ364" s="30">
        <f>IF($W364="","",IFERROR(IF(ISNUMBER(INDEX($L$9:$L$2008,$W364)),INDEX($L$9:$L$2008,$W364),VALUE(SUBSTITUTE(INDEX($L$9:$L$2008,$W364),",",""))),""))</f>
        <v/>
      </c>
      <c r="AK364" s="30">
        <f>IF($W364="","",IFERROR(IF(ISNUMBER(INDEX($M$9:$M$2008,$W364)),INDEX($M$9:$M$2008,$W364),VALUE(SUBSTITUTE(INDEX($M$9:$M$2008,$W364),",",""))),""))</f>
        <v/>
      </c>
      <c r="AL364" s="31">
        <f>IF($W364="","",IFERROR(IF(ISNUMBER(INDEX($P$9:$P$2008,$W364)),INDEX($P$9:$P$2008,$W364),VALUE(SUBSTITUTE(INDEX($P$9:$P$2008,$W364),"%",""))/100),""))</f>
        <v/>
      </c>
    </row>
    <row r="365">
      <c r="S365">
        <f>IF(AND(ISTEXT($A365),ISNUMBER(SEARCH(" - ",$A365)),ISERROR(SEARCH("Folio",$A365)),$D365=""),TRIM($A365),$S364)</f>
        <v/>
      </c>
      <c r="T365">
        <f>IF(AND(ISNUMBER(SEARCH("Folio",$A365)),$D365&lt;&gt;""),1,"")</f>
        <v/>
      </c>
      <c r="U365">
        <f>IF($T365=1,COUNTIF($T$9:$T365,1),"")</f>
        <v/>
      </c>
      <c r="V365">
        <f>IF(AND(ISTEXT($A365),LEFT($A366,3)="Pan"),1,"")</f>
        <v/>
      </c>
      <c r="W365" s="21">
        <f>IFERROR(MATCH(357,$U$9:$U$2008,0),"")</f>
        <v/>
      </c>
      <c r="X365" s="22">
        <f>IF($W365="","",IF($R$5&lt;&gt;"",$R$5,$R$6))</f>
        <v/>
      </c>
      <c r="Y365" s="22">
        <f>IF($W365="","",INDEX($S$9:$S$2008,$W365))</f>
        <v/>
      </c>
      <c r="Z365" s="22">
        <f>IF($W365="","",IFERROR(TRIM(LEFT(SUBSTITUTE(INDEX($A$9:$A$2008,$W365),CHAR(10)," "),SEARCH("Folio",SUBSTITUTE(INDEX($A$9:$A$2008,$W365),CHAR(10)," "))-1)),TRIM(SUBSTITUTE(INDEX($A$9:$A$2008,$W365),CHAR(10)," "))))</f>
        <v/>
      </c>
      <c r="AA365" s="22">
        <f>IF($W365="","",IFERROR(TRIM(SUBSTITUTE(MID(SUBSTITUTE(INDEX($A$9:$A$2008,$W365),CHAR(10)," "),SEARCH("Folio",SUBSTITUTE(INDEX($A$9:$A$2008,$W365),CHAR(10)," "))+5,200),":","")),""))</f>
        <v/>
      </c>
      <c r="AB365" s="23">
        <f>IF($W365="","",IF(ISNUMBER(INDEX($D$9:$D$2008,$W365)),INDEX($D$9:$D$2008,$W365),IFERROR(DATE(2000+VALUE(RIGHT(INDEX($D$9:$D$2008,$W365),2)),VALUE(MID(INDEX($D$9:$D$2008,$W365),4,2)),VALUE(LEFT(INDEX($D$9:$D$2008,$W365),2))),"")))</f>
        <v/>
      </c>
      <c r="AC365" s="24">
        <f>IF($W365="","",IFERROR(IF(ISNUMBER(INDEX($E$9:$E$2008,$W365)),INDEX($E$9:$E$2008,$W365),VALUE(SUBSTITUTE(INDEX($E$9:$E$2008,$W365),",",""))),""))</f>
        <v/>
      </c>
      <c r="AD365" s="24">
        <f>IF($W365="","",IFERROR(IF(ISNUMBER(INDEX($F$9:$F$2008,$W365)),INDEX($F$9:$F$2008,$W365),VALUE(SUBSTITUTE(INDEX($F$9:$F$2008,$W365),",",""))),""))</f>
        <v/>
      </c>
      <c r="AE365" s="24">
        <f>IF($W365="","",IFERROR(IF(ISNUMBER(INDEX($G$9:$G$2008,$W365)),INDEX($G$9:$G$2008,$W365),VALUE(SUBSTITUTE(INDEX($G$9:$G$2008,$W365),",",""))),""))</f>
        <v/>
      </c>
      <c r="AF365" s="24">
        <f>IF($W365="","",IFERROR(IF(ISNUMBER(INDEX($H$9:$H$2008,$W365)),INDEX($H$9:$H$2008,$W365),VALUE(SUBSTITUTE(INDEX($H$9:$H$2008,$W365),",",""))),""))</f>
        <v/>
      </c>
      <c r="AG365" s="24">
        <f>IF($W365="","",IFERROR(IF(ISNUMBER(INDEX($I$9:$I$2008,$W365)),INDEX($I$9:$I$2008,$W365),VALUE(SUBSTITUTE(INDEX($I$9:$I$2008,$W365),",",""))),""))</f>
        <v/>
      </c>
      <c r="AH365" s="24">
        <f>IF($W365="","",IFERROR(IF(ISNUMBER(INDEX($J$9:$J$2008,$W365)),INDEX($J$9:$J$2008,$W365),VALUE(SUBSTITUTE(INDEX($J$9:$J$2008,$W365),",",""))),""))</f>
        <v/>
      </c>
      <c r="AI365" s="24">
        <f>IF($W365="","",IFERROR(IF(ISNUMBER(INDEX($K$9:$K$2008,$W365)),INDEX($K$9:$K$2008,$W365),VALUE(SUBSTITUTE(INDEX($K$9:$K$2008,$W365),",",""))),""))</f>
        <v/>
      </c>
      <c r="AJ365" s="25">
        <f>IF($W365="","",IFERROR(IF(ISNUMBER(INDEX($L$9:$L$2008,$W365)),INDEX($L$9:$L$2008,$W365),VALUE(SUBSTITUTE(INDEX($L$9:$L$2008,$W365),",",""))),""))</f>
        <v/>
      </c>
      <c r="AK365" s="25">
        <f>IF($W365="","",IFERROR(IF(ISNUMBER(INDEX($M$9:$M$2008,$W365)),INDEX($M$9:$M$2008,$W365),VALUE(SUBSTITUTE(INDEX($M$9:$M$2008,$W365),",",""))),""))</f>
        <v/>
      </c>
      <c r="AL365" s="26">
        <f>IF($W365="","",IFERROR(IF(ISNUMBER(INDEX($P$9:$P$2008,$W365)),INDEX($P$9:$P$2008,$W365),VALUE(SUBSTITUTE(INDEX($P$9:$P$2008,$W365),"%",""))/100),""))</f>
        <v/>
      </c>
    </row>
    <row r="366">
      <c r="S366">
        <f>IF(AND(ISTEXT($A366),ISNUMBER(SEARCH(" - ",$A366)),ISERROR(SEARCH("Folio",$A366)),$D366=""),TRIM($A366),$S365)</f>
        <v/>
      </c>
      <c r="T366">
        <f>IF(AND(ISNUMBER(SEARCH("Folio",$A366)),$D366&lt;&gt;""),1,"")</f>
        <v/>
      </c>
      <c r="U366">
        <f>IF($T366=1,COUNTIF($T$9:$T366,1),"")</f>
        <v/>
      </c>
      <c r="V366">
        <f>IF(AND(ISTEXT($A366),LEFT($A367,3)="Pan"),1,"")</f>
        <v/>
      </c>
      <c r="W366" s="21">
        <f>IFERROR(MATCH(358,$U$9:$U$2008,0),"")</f>
        <v/>
      </c>
      <c r="X366" s="27">
        <f>IF($W366="","",IF($R$5&lt;&gt;"",$R$5,$R$6))</f>
        <v/>
      </c>
      <c r="Y366" s="27">
        <f>IF($W366="","",INDEX($S$9:$S$2008,$W366))</f>
        <v/>
      </c>
      <c r="Z366" s="27">
        <f>IF($W366="","",IFERROR(TRIM(LEFT(SUBSTITUTE(INDEX($A$9:$A$2008,$W366),CHAR(10)," "),SEARCH("Folio",SUBSTITUTE(INDEX($A$9:$A$2008,$W366),CHAR(10)," "))-1)),TRIM(SUBSTITUTE(INDEX($A$9:$A$2008,$W366),CHAR(10)," "))))</f>
        <v/>
      </c>
      <c r="AA366" s="27">
        <f>IF($W366="","",IFERROR(TRIM(SUBSTITUTE(MID(SUBSTITUTE(INDEX($A$9:$A$2008,$W366),CHAR(10)," "),SEARCH("Folio",SUBSTITUTE(INDEX($A$9:$A$2008,$W366),CHAR(10)," "))+5,200),":","")),""))</f>
        <v/>
      </c>
      <c r="AB366" s="28">
        <f>IF($W366="","",IF(ISNUMBER(INDEX($D$9:$D$2008,$W366)),INDEX($D$9:$D$2008,$W366),IFERROR(DATE(2000+VALUE(RIGHT(INDEX($D$9:$D$2008,$W366),2)),VALUE(MID(INDEX($D$9:$D$2008,$W366),4,2)),VALUE(LEFT(INDEX($D$9:$D$2008,$W366),2))),"")))</f>
        <v/>
      </c>
      <c r="AC366" s="29">
        <f>IF($W366="","",IFERROR(IF(ISNUMBER(INDEX($E$9:$E$2008,$W366)),INDEX($E$9:$E$2008,$W366),VALUE(SUBSTITUTE(INDEX($E$9:$E$2008,$W366),",",""))),""))</f>
        <v/>
      </c>
      <c r="AD366" s="29">
        <f>IF($W366="","",IFERROR(IF(ISNUMBER(INDEX($F$9:$F$2008,$W366)),INDEX($F$9:$F$2008,$W366),VALUE(SUBSTITUTE(INDEX($F$9:$F$2008,$W366),",",""))),""))</f>
        <v/>
      </c>
      <c r="AE366" s="29">
        <f>IF($W366="","",IFERROR(IF(ISNUMBER(INDEX($G$9:$G$2008,$W366)),INDEX($G$9:$G$2008,$W366),VALUE(SUBSTITUTE(INDEX($G$9:$G$2008,$W366),",",""))),""))</f>
        <v/>
      </c>
      <c r="AF366" s="29">
        <f>IF($W366="","",IFERROR(IF(ISNUMBER(INDEX($H$9:$H$2008,$W366)),INDEX($H$9:$H$2008,$W366),VALUE(SUBSTITUTE(INDEX($H$9:$H$2008,$W366),",",""))),""))</f>
        <v/>
      </c>
      <c r="AG366" s="29">
        <f>IF($W366="","",IFERROR(IF(ISNUMBER(INDEX($I$9:$I$2008,$W366)),INDEX($I$9:$I$2008,$W366),VALUE(SUBSTITUTE(INDEX($I$9:$I$2008,$W366),",",""))),""))</f>
        <v/>
      </c>
      <c r="AH366" s="29">
        <f>IF($W366="","",IFERROR(IF(ISNUMBER(INDEX($J$9:$J$2008,$W366)),INDEX($J$9:$J$2008,$W366),VALUE(SUBSTITUTE(INDEX($J$9:$J$2008,$W366),",",""))),""))</f>
        <v/>
      </c>
      <c r="AI366" s="29">
        <f>IF($W366="","",IFERROR(IF(ISNUMBER(INDEX($K$9:$K$2008,$W366)),INDEX($K$9:$K$2008,$W366),VALUE(SUBSTITUTE(INDEX($K$9:$K$2008,$W366),",",""))),""))</f>
        <v/>
      </c>
      <c r="AJ366" s="30">
        <f>IF($W366="","",IFERROR(IF(ISNUMBER(INDEX($L$9:$L$2008,$W366)),INDEX($L$9:$L$2008,$W366),VALUE(SUBSTITUTE(INDEX($L$9:$L$2008,$W366),",",""))),""))</f>
        <v/>
      </c>
      <c r="AK366" s="30">
        <f>IF($W366="","",IFERROR(IF(ISNUMBER(INDEX($M$9:$M$2008,$W366)),INDEX($M$9:$M$2008,$W366),VALUE(SUBSTITUTE(INDEX($M$9:$M$2008,$W366),",",""))),""))</f>
        <v/>
      </c>
      <c r="AL366" s="31">
        <f>IF($W366="","",IFERROR(IF(ISNUMBER(INDEX($P$9:$P$2008,$W366)),INDEX($P$9:$P$2008,$W366),VALUE(SUBSTITUTE(INDEX($P$9:$P$2008,$W366),"%",""))/100),""))</f>
        <v/>
      </c>
    </row>
    <row r="367">
      <c r="S367">
        <f>IF(AND(ISTEXT($A367),ISNUMBER(SEARCH(" - ",$A367)),ISERROR(SEARCH("Folio",$A367)),$D367=""),TRIM($A367),$S366)</f>
        <v/>
      </c>
      <c r="T367">
        <f>IF(AND(ISNUMBER(SEARCH("Folio",$A367)),$D367&lt;&gt;""),1,"")</f>
        <v/>
      </c>
      <c r="U367">
        <f>IF($T367=1,COUNTIF($T$9:$T367,1),"")</f>
        <v/>
      </c>
      <c r="V367">
        <f>IF(AND(ISTEXT($A367),LEFT($A368,3)="Pan"),1,"")</f>
        <v/>
      </c>
      <c r="W367" s="21">
        <f>IFERROR(MATCH(359,$U$9:$U$2008,0),"")</f>
        <v/>
      </c>
      <c r="X367" s="22">
        <f>IF($W367="","",IF($R$5&lt;&gt;"",$R$5,$R$6))</f>
        <v/>
      </c>
      <c r="Y367" s="22">
        <f>IF($W367="","",INDEX($S$9:$S$2008,$W367))</f>
        <v/>
      </c>
      <c r="Z367" s="22">
        <f>IF($W367="","",IFERROR(TRIM(LEFT(SUBSTITUTE(INDEX($A$9:$A$2008,$W367),CHAR(10)," "),SEARCH("Folio",SUBSTITUTE(INDEX($A$9:$A$2008,$W367),CHAR(10)," "))-1)),TRIM(SUBSTITUTE(INDEX($A$9:$A$2008,$W367),CHAR(10)," "))))</f>
        <v/>
      </c>
      <c r="AA367" s="22">
        <f>IF($W367="","",IFERROR(TRIM(SUBSTITUTE(MID(SUBSTITUTE(INDEX($A$9:$A$2008,$W367),CHAR(10)," "),SEARCH("Folio",SUBSTITUTE(INDEX($A$9:$A$2008,$W367),CHAR(10)," "))+5,200),":","")),""))</f>
        <v/>
      </c>
      <c r="AB367" s="23">
        <f>IF($W367="","",IF(ISNUMBER(INDEX($D$9:$D$2008,$W367)),INDEX($D$9:$D$2008,$W367),IFERROR(DATE(2000+VALUE(RIGHT(INDEX($D$9:$D$2008,$W367),2)),VALUE(MID(INDEX($D$9:$D$2008,$W367),4,2)),VALUE(LEFT(INDEX($D$9:$D$2008,$W367),2))),"")))</f>
        <v/>
      </c>
      <c r="AC367" s="24">
        <f>IF($W367="","",IFERROR(IF(ISNUMBER(INDEX($E$9:$E$2008,$W367)),INDEX($E$9:$E$2008,$W367),VALUE(SUBSTITUTE(INDEX($E$9:$E$2008,$W367),",",""))),""))</f>
        <v/>
      </c>
      <c r="AD367" s="24">
        <f>IF($W367="","",IFERROR(IF(ISNUMBER(INDEX($F$9:$F$2008,$W367)),INDEX($F$9:$F$2008,$W367),VALUE(SUBSTITUTE(INDEX($F$9:$F$2008,$W367),",",""))),""))</f>
        <v/>
      </c>
      <c r="AE367" s="24">
        <f>IF($W367="","",IFERROR(IF(ISNUMBER(INDEX($G$9:$G$2008,$W367)),INDEX($G$9:$G$2008,$W367),VALUE(SUBSTITUTE(INDEX($G$9:$G$2008,$W367),",",""))),""))</f>
        <v/>
      </c>
      <c r="AF367" s="24">
        <f>IF($W367="","",IFERROR(IF(ISNUMBER(INDEX($H$9:$H$2008,$W367)),INDEX($H$9:$H$2008,$W367),VALUE(SUBSTITUTE(INDEX($H$9:$H$2008,$W367),",",""))),""))</f>
        <v/>
      </c>
      <c r="AG367" s="24">
        <f>IF($W367="","",IFERROR(IF(ISNUMBER(INDEX($I$9:$I$2008,$W367)),INDEX($I$9:$I$2008,$W367),VALUE(SUBSTITUTE(INDEX($I$9:$I$2008,$W367),",",""))),""))</f>
        <v/>
      </c>
      <c r="AH367" s="24">
        <f>IF($W367="","",IFERROR(IF(ISNUMBER(INDEX($J$9:$J$2008,$W367)),INDEX($J$9:$J$2008,$W367),VALUE(SUBSTITUTE(INDEX($J$9:$J$2008,$W367),",",""))),""))</f>
        <v/>
      </c>
      <c r="AI367" s="24">
        <f>IF($W367="","",IFERROR(IF(ISNUMBER(INDEX($K$9:$K$2008,$W367)),INDEX($K$9:$K$2008,$W367),VALUE(SUBSTITUTE(INDEX($K$9:$K$2008,$W367),",",""))),""))</f>
        <v/>
      </c>
      <c r="AJ367" s="25">
        <f>IF($W367="","",IFERROR(IF(ISNUMBER(INDEX($L$9:$L$2008,$W367)),INDEX($L$9:$L$2008,$W367),VALUE(SUBSTITUTE(INDEX($L$9:$L$2008,$W367),",",""))),""))</f>
        <v/>
      </c>
      <c r="AK367" s="25">
        <f>IF($W367="","",IFERROR(IF(ISNUMBER(INDEX($M$9:$M$2008,$W367)),INDEX($M$9:$M$2008,$W367),VALUE(SUBSTITUTE(INDEX($M$9:$M$2008,$W367),",",""))),""))</f>
        <v/>
      </c>
      <c r="AL367" s="26">
        <f>IF($W367="","",IFERROR(IF(ISNUMBER(INDEX($P$9:$P$2008,$W367)),INDEX($P$9:$P$2008,$W367),VALUE(SUBSTITUTE(INDEX($P$9:$P$2008,$W367),"%",""))/100),""))</f>
        <v/>
      </c>
    </row>
    <row r="368">
      <c r="S368">
        <f>IF(AND(ISTEXT($A368),ISNUMBER(SEARCH(" - ",$A368)),ISERROR(SEARCH("Folio",$A368)),$D368=""),TRIM($A368),$S367)</f>
        <v/>
      </c>
      <c r="T368">
        <f>IF(AND(ISNUMBER(SEARCH("Folio",$A368)),$D368&lt;&gt;""),1,"")</f>
        <v/>
      </c>
      <c r="U368">
        <f>IF($T368=1,COUNTIF($T$9:$T368,1),"")</f>
        <v/>
      </c>
      <c r="V368">
        <f>IF(AND(ISTEXT($A368),LEFT($A369,3)="Pan"),1,"")</f>
        <v/>
      </c>
      <c r="W368" s="21">
        <f>IFERROR(MATCH(360,$U$9:$U$2008,0),"")</f>
        <v/>
      </c>
      <c r="X368" s="27">
        <f>IF($W368="","",IF($R$5&lt;&gt;"",$R$5,$R$6))</f>
        <v/>
      </c>
      <c r="Y368" s="27">
        <f>IF($W368="","",INDEX($S$9:$S$2008,$W368))</f>
        <v/>
      </c>
      <c r="Z368" s="27">
        <f>IF($W368="","",IFERROR(TRIM(LEFT(SUBSTITUTE(INDEX($A$9:$A$2008,$W368),CHAR(10)," "),SEARCH("Folio",SUBSTITUTE(INDEX($A$9:$A$2008,$W368),CHAR(10)," "))-1)),TRIM(SUBSTITUTE(INDEX($A$9:$A$2008,$W368),CHAR(10)," "))))</f>
        <v/>
      </c>
      <c r="AA368" s="27">
        <f>IF($W368="","",IFERROR(TRIM(SUBSTITUTE(MID(SUBSTITUTE(INDEX($A$9:$A$2008,$W368),CHAR(10)," "),SEARCH("Folio",SUBSTITUTE(INDEX($A$9:$A$2008,$W368),CHAR(10)," "))+5,200),":","")),""))</f>
        <v/>
      </c>
      <c r="AB368" s="28">
        <f>IF($W368="","",IF(ISNUMBER(INDEX($D$9:$D$2008,$W368)),INDEX($D$9:$D$2008,$W368),IFERROR(DATE(2000+VALUE(RIGHT(INDEX($D$9:$D$2008,$W368),2)),VALUE(MID(INDEX($D$9:$D$2008,$W368),4,2)),VALUE(LEFT(INDEX($D$9:$D$2008,$W368),2))),"")))</f>
        <v/>
      </c>
      <c r="AC368" s="29">
        <f>IF($W368="","",IFERROR(IF(ISNUMBER(INDEX($E$9:$E$2008,$W368)),INDEX($E$9:$E$2008,$W368),VALUE(SUBSTITUTE(INDEX($E$9:$E$2008,$W368),",",""))),""))</f>
        <v/>
      </c>
      <c r="AD368" s="29">
        <f>IF($W368="","",IFERROR(IF(ISNUMBER(INDEX($F$9:$F$2008,$W368)),INDEX($F$9:$F$2008,$W368),VALUE(SUBSTITUTE(INDEX($F$9:$F$2008,$W368),",",""))),""))</f>
        <v/>
      </c>
      <c r="AE368" s="29">
        <f>IF($W368="","",IFERROR(IF(ISNUMBER(INDEX($G$9:$G$2008,$W368)),INDEX($G$9:$G$2008,$W368),VALUE(SUBSTITUTE(INDEX($G$9:$G$2008,$W368),",",""))),""))</f>
        <v/>
      </c>
      <c r="AF368" s="29">
        <f>IF($W368="","",IFERROR(IF(ISNUMBER(INDEX($H$9:$H$2008,$W368)),INDEX($H$9:$H$2008,$W368),VALUE(SUBSTITUTE(INDEX($H$9:$H$2008,$W368),",",""))),""))</f>
        <v/>
      </c>
      <c r="AG368" s="29">
        <f>IF($W368="","",IFERROR(IF(ISNUMBER(INDEX($I$9:$I$2008,$W368)),INDEX($I$9:$I$2008,$W368),VALUE(SUBSTITUTE(INDEX($I$9:$I$2008,$W368),",",""))),""))</f>
        <v/>
      </c>
      <c r="AH368" s="29">
        <f>IF($W368="","",IFERROR(IF(ISNUMBER(INDEX($J$9:$J$2008,$W368)),INDEX($J$9:$J$2008,$W368),VALUE(SUBSTITUTE(INDEX($J$9:$J$2008,$W368),",",""))),""))</f>
        <v/>
      </c>
      <c r="AI368" s="29">
        <f>IF($W368="","",IFERROR(IF(ISNUMBER(INDEX($K$9:$K$2008,$W368)),INDEX($K$9:$K$2008,$W368),VALUE(SUBSTITUTE(INDEX($K$9:$K$2008,$W368),",",""))),""))</f>
        <v/>
      </c>
      <c r="AJ368" s="30">
        <f>IF($W368="","",IFERROR(IF(ISNUMBER(INDEX($L$9:$L$2008,$W368)),INDEX($L$9:$L$2008,$W368),VALUE(SUBSTITUTE(INDEX($L$9:$L$2008,$W368),",",""))),""))</f>
        <v/>
      </c>
      <c r="AK368" s="30">
        <f>IF($W368="","",IFERROR(IF(ISNUMBER(INDEX($M$9:$M$2008,$W368)),INDEX($M$9:$M$2008,$W368),VALUE(SUBSTITUTE(INDEX($M$9:$M$2008,$W368),",",""))),""))</f>
        <v/>
      </c>
      <c r="AL368" s="31">
        <f>IF($W368="","",IFERROR(IF(ISNUMBER(INDEX($P$9:$P$2008,$W368)),INDEX($P$9:$P$2008,$W368),VALUE(SUBSTITUTE(INDEX($P$9:$P$2008,$W368),"%",""))/100),""))</f>
        <v/>
      </c>
    </row>
    <row r="369">
      <c r="S369">
        <f>IF(AND(ISTEXT($A369),ISNUMBER(SEARCH(" - ",$A369)),ISERROR(SEARCH("Folio",$A369)),$D369=""),TRIM($A369),$S368)</f>
        <v/>
      </c>
      <c r="T369">
        <f>IF(AND(ISNUMBER(SEARCH("Folio",$A369)),$D369&lt;&gt;""),1,"")</f>
        <v/>
      </c>
      <c r="U369">
        <f>IF($T369=1,COUNTIF($T$9:$T369,1),"")</f>
        <v/>
      </c>
      <c r="V369">
        <f>IF(AND(ISTEXT($A369),LEFT($A370,3)="Pan"),1,"")</f>
        <v/>
      </c>
      <c r="W369" s="21">
        <f>IFERROR(MATCH(361,$U$9:$U$2008,0),"")</f>
        <v/>
      </c>
      <c r="X369" s="22">
        <f>IF($W369="","",IF($R$5&lt;&gt;"",$R$5,$R$6))</f>
        <v/>
      </c>
      <c r="Y369" s="22">
        <f>IF($W369="","",INDEX($S$9:$S$2008,$W369))</f>
        <v/>
      </c>
      <c r="Z369" s="22">
        <f>IF($W369="","",IFERROR(TRIM(LEFT(SUBSTITUTE(INDEX($A$9:$A$2008,$W369),CHAR(10)," "),SEARCH("Folio",SUBSTITUTE(INDEX($A$9:$A$2008,$W369),CHAR(10)," "))-1)),TRIM(SUBSTITUTE(INDEX($A$9:$A$2008,$W369),CHAR(10)," "))))</f>
        <v/>
      </c>
      <c r="AA369" s="22">
        <f>IF($W369="","",IFERROR(TRIM(SUBSTITUTE(MID(SUBSTITUTE(INDEX($A$9:$A$2008,$W369),CHAR(10)," "),SEARCH("Folio",SUBSTITUTE(INDEX($A$9:$A$2008,$W369),CHAR(10)," "))+5,200),":","")),""))</f>
        <v/>
      </c>
      <c r="AB369" s="23">
        <f>IF($W369="","",IF(ISNUMBER(INDEX($D$9:$D$2008,$W369)),INDEX($D$9:$D$2008,$W369),IFERROR(DATE(2000+VALUE(RIGHT(INDEX($D$9:$D$2008,$W369),2)),VALUE(MID(INDEX($D$9:$D$2008,$W369),4,2)),VALUE(LEFT(INDEX($D$9:$D$2008,$W369),2))),"")))</f>
        <v/>
      </c>
      <c r="AC369" s="24">
        <f>IF($W369="","",IFERROR(IF(ISNUMBER(INDEX($E$9:$E$2008,$W369)),INDEX($E$9:$E$2008,$W369),VALUE(SUBSTITUTE(INDEX($E$9:$E$2008,$W369),",",""))),""))</f>
        <v/>
      </c>
      <c r="AD369" s="24">
        <f>IF($W369="","",IFERROR(IF(ISNUMBER(INDEX($F$9:$F$2008,$W369)),INDEX($F$9:$F$2008,$W369),VALUE(SUBSTITUTE(INDEX($F$9:$F$2008,$W369),",",""))),""))</f>
        <v/>
      </c>
      <c r="AE369" s="24">
        <f>IF($W369="","",IFERROR(IF(ISNUMBER(INDEX($G$9:$G$2008,$W369)),INDEX($G$9:$G$2008,$W369),VALUE(SUBSTITUTE(INDEX($G$9:$G$2008,$W369),",",""))),""))</f>
        <v/>
      </c>
      <c r="AF369" s="24">
        <f>IF($W369="","",IFERROR(IF(ISNUMBER(INDEX($H$9:$H$2008,$W369)),INDEX($H$9:$H$2008,$W369),VALUE(SUBSTITUTE(INDEX($H$9:$H$2008,$W369),",",""))),""))</f>
        <v/>
      </c>
      <c r="AG369" s="24">
        <f>IF($W369="","",IFERROR(IF(ISNUMBER(INDEX($I$9:$I$2008,$W369)),INDEX($I$9:$I$2008,$W369),VALUE(SUBSTITUTE(INDEX($I$9:$I$2008,$W369),",",""))),""))</f>
        <v/>
      </c>
      <c r="AH369" s="24">
        <f>IF($W369="","",IFERROR(IF(ISNUMBER(INDEX($J$9:$J$2008,$W369)),INDEX($J$9:$J$2008,$W369),VALUE(SUBSTITUTE(INDEX($J$9:$J$2008,$W369),",",""))),""))</f>
        <v/>
      </c>
      <c r="AI369" s="24">
        <f>IF($W369="","",IFERROR(IF(ISNUMBER(INDEX($K$9:$K$2008,$W369)),INDEX($K$9:$K$2008,$W369),VALUE(SUBSTITUTE(INDEX($K$9:$K$2008,$W369),",",""))),""))</f>
        <v/>
      </c>
      <c r="AJ369" s="25">
        <f>IF($W369="","",IFERROR(IF(ISNUMBER(INDEX($L$9:$L$2008,$W369)),INDEX($L$9:$L$2008,$W369),VALUE(SUBSTITUTE(INDEX($L$9:$L$2008,$W369),",",""))),""))</f>
        <v/>
      </c>
      <c r="AK369" s="25">
        <f>IF($W369="","",IFERROR(IF(ISNUMBER(INDEX($M$9:$M$2008,$W369)),INDEX($M$9:$M$2008,$W369),VALUE(SUBSTITUTE(INDEX($M$9:$M$2008,$W369),",",""))),""))</f>
        <v/>
      </c>
      <c r="AL369" s="26">
        <f>IF($W369="","",IFERROR(IF(ISNUMBER(INDEX($P$9:$P$2008,$W369)),INDEX($P$9:$P$2008,$W369),VALUE(SUBSTITUTE(INDEX($P$9:$P$2008,$W369),"%",""))/100),""))</f>
        <v/>
      </c>
    </row>
    <row r="370">
      <c r="S370">
        <f>IF(AND(ISTEXT($A370),ISNUMBER(SEARCH(" - ",$A370)),ISERROR(SEARCH("Folio",$A370)),$D370=""),TRIM($A370),$S369)</f>
        <v/>
      </c>
      <c r="T370">
        <f>IF(AND(ISNUMBER(SEARCH("Folio",$A370)),$D370&lt;&gt;""),1,"")</f>
        <v/>
      </c>
      <c r="U370">
        <f>IF($T370=1,COUNTIF($T$9:$T370,1),"")</f>
        <v/>
      </c>
      <c r="V370">
        <f>IF(AND(ISTEXT($A370),LEFT($A371,3)="Pan"),1,"")</f>
        <v/>
      </c>
      <c r="W370" s="21">
        <f>IFERROR(MATCH(362,$U$9:$U$2008,0),"")</f>
        <v/>
      </c>
      <c r="X370" s="27">
        <f>IF($W370="","",IF($R$5&lt;&gt;"",$R$5,$R$6))</f>
        <v/>
      </c>
      <c r="Y370" s="27">
        <f>IF($W370="","",INDEX($S$9:$S$2008,$W370))</f>
        <v/>
      </c>
      <c r="Z370" s="27">
        <f>IF($W370="","",IFERROR(TRIM(LEFT(SUBSTITUTE(INDEX($A$9:$A$2008,$W370),CHAR(10)," "),SEARCH("Folio",SUBSTITUTE(INDEX($A$9:$A$2008,$W370),CHAR(10)," "))-1)),TRIM(SUBSTITUTE(INDEX($A$9:$A$2008,$W370),CHAR(10)," "))))</f>
        <v/>
      </c>
      <c r="AA370" s="27">
        <f>IF($W370="","",IFERROR(TRIM(SUBSTITUTE(MID(SUBSTITUTE(INDEX($A$9:$A$2008,$W370),CHAR(10)," "),SEARCH("Folio",SUBSTITUTE(INDEX($A$9:$A$2008,$W370),CHAR(10)," "))+5,200),":","")),""))</f>
        <v/>
      </c>
      <c r="AB370" s="28">
        <f>IF($W370="","",IF(ISNUMBER(INDEX($D$9:$D$2008,$W370)),INDEX($D$9:$D$2008,$W370),IFERROR(DATE(2000+VALUE(RIGHT(INDEX($D$9:$D$2008,$W370),2)),VALUE(MID(INDEX($D$9:$D$2008,$W370),4,2)),VALUE(LEFT(INDEX($D$9:$D$2008,$W370),2))),"")))</f>
        <v/>
      </c>
      <c r="AC370" s="29">
        <f>IF($W370="","",IFERROR(IF(ISNUMBER(INDEX($E$9:$E$2008,$W370)),INDEX($E$9:$E$2008,$W370),VALUE(SUBSTITUTE(INDEX($E$9:$E$2008,$W370),",",""))),""))</f>
        <v/>
      </c>
      <c r="AD370" s="29">
        <f>IF($W370="","",IFERROR(IF(ISNUMBER(INDEX($F$9:$F$2008,$W370)),INDEX($F$9:$F$2008,$W370),VALUE(SUBSTITUTE(INDEX($F$9:$F$2008,$W370),",",""))),""))</f>
        <v/>
      </c>
      <c r="AE370" s="29">
        <f>IF($W370="","",IFERROR(IF(ISNUMBER(INDEX($G$9:$G$2008,$W370)),INDEX($G$9:$G$2008,$W370),VALUE(SUBSTITUTE(INDEX($G$9:$G$2008,$W370),",",""))),""))</f>
        <v/>
      </c>
      <c r="AF370" s="29">
        <f>IF($W370="","",IFERROR(IF(ISNUMBER(INDEX($H$9:$H$2008,$W370)),INDEX($H$9:$H$2008,$W370),VALUE(SUBSTITUTE(INDEX($H$9:$H$2008,$W370),",",""))),""))</f>
        <v/>
      </c>
      <c r="AG370" s="29">
        <f>IF($W370="","",IFERROR(IF(ISNUMBER(INDEX($I$9:$I$2008,$W370)),INDEX($I$9:$I$2008,$W370),VALUE(SUBSTITUTE(INDEX($I$9:$I$2008,$W370),",",""))),""))</f>
        <v/>
      </c>
      <c r="AH370" s="29">
        <f>IF($W370="","",IFERROR(IF(ISNUMBER(INDEX($J$9:$J$2008,$W370)),INDEX($J$9:$J$2008,$W370),VALUE(SUBSTITUTE(INDEX($J$9:$J$2008,$W370),",",""))),""))</f>
        <v/>
      </c>
      <c r="AI370" s="29">
        <f>IF($W370="","",IFERROR(IF(ISNUMBER(INDEX($K$9:$K$2008,$W370)),INDEX($K$9:$K$2008,$W370),VALUE(SUBSTITUTE(INDEX($K$9:$K$2008,$W370),",",""))),""))</f>
        <v/>
      </c>
      <c r="AJ370" s="30">
        <f>IF($W370="","",IFERROR(IF(ISNUMBER(INDEX($L$9:$L$2008,$W370)),INDEX($L$9:$L$2008,$W370),VALUE(SUBSTITUTE(INDEX($L$9:$L$2008,$W370),",",""))),""))</f>
        <v/>
      </c>
      <c r="AK370" s="30">
        <f>IF($W370="","",IFERROR(IF(ISNUMBER(INDEX($M$9:$M$2008,$W370)),INDEX($M$9:$M$2008,$W370),VALUE(SUBSTITUTE(INDEX($M$9:$M$2008,$W370),",",""))),""))</f>
        <v/>
      </c>
      <c r="AL370" s="31">
        <f>IF($W370="","",IFERROR(IF(ISNUMBER(INDEX($P$9:$P$2008,$W370)),INDEX($P$9:$P$2008,$W370),VALUE(SUBSTITUTE(INDEX($P$9:$P$2008,$W370),"%",""))/100),""))</f>
        <v/>
      </c>
    </row>
    <row r="371">
      <c r="S371">
        <f>IF(AND(ISTEXT($A371),ISNUMBER(SEARCH(" - ",$A371)),ISERROR(SEARCH("Folio",$A371)),$D371=""),TRIM($A371),$S370)</f>
        <v/>
      </c>
      <c r="T371">
        <f>IF(AND(ISNUMBER(SEARCH("Folio",$A371)),$D371&lt;&gt;""),1,"")</f>
        <v/>
      </c>
      <c r="U371">
        <f>IF($T371=1,COUNTIF($T$9:$T371,1),"")</f>
        <v/>
      </c>
      <c r="V371">
        <f>IF(AND(ISTEXT($A371),LEFT($A372,3)="Pan"),1,"")</f>
        <v/>
      </c>
      <c r="W371" s="21">
        <f>IFERROR(MATCH(363,$U$9:$U$2008,0),"")</f>
        <v/>
      </c>
      <c r="X371" s="22">
        <f>IF($W371="","",IF($R$5&lt;&gt;"",$R$5,$R$6))</f>
        <v/>
      </c>
      <c r="Y371" s="22">
        <f>IF($W371="","",INDEX($S$9:$S$2008,$W371))</f>
        <v/>
      </c>
      <c r="Z371" s="22">
        <f>IF($W371="","",IFERROR(TRIM(LEFT(SUBSTITUTE(INDEX($A$9:$A$2008,$W371),CHAR(10)," "),SEARCH("Folio",SUBSTITUTE(INDEX($A$9:$A$2008,$W371),CHAR(10)," "))-1)),TRIM(SUBSTITUTE(INDEX($A$9:$A$2008,$W371),CHAR(10)," "))))</f>
        <v/>
      </c>
      <c r="AA371" s="22">
        <f>IF($W371="","",IFERROR(TRIM(SUBSTITUTE(MID(SUBSTITUTE(INDEX($A$9:$A$2008,$W371),CHAR(10)," "),SEARCH("Folio",SUBSTITUTE(INDEX($A$9:$A$2008,$W371),CHAR(10)," "))+5,200),":","")),""))</f>
        <v/>
      </c>
      <c r="AB371" s="23">
        <f>IF($W371="","",IF(ISNUMBER(INDEX($D$9:$D$2008,$W371)),INDEX($D$9:$D$2008,$W371),IFERROR(DATE(2000+VALUE(RIGHT(INDEX($D$9:$D$2008,$W371),2)),VALUE(MID(INDEX($D$9:$D$2008,$W371),4,2)),VALUE(LEFT(INDEX($D$9:$D$2008,$W371),2))),"")))</f>
        <v/>
      </c>
      <c r="AC371" s="24">
        <f>IF($W371="","",IFERROR(IF(ISNUMBER(INDEX($E$9:$E$2008,$W371)),INDEX($E$9:$E$2008,$W371),VALUE(SUBSTITUTE(INDEX($E$9:$E$2008,$W371),",",""))),""))</f>
        <v/>
      </c>
      <c r="AD371" s="24">
        <f>IF($W371="","",IFERROR(IF(ISNUMBER(INDEX($F$9:$F$2008,$W371)),INDEX($F$9:$F$2008,$W371),VALUE(SUBSTITUTE(INDEX($F$9:$F$2008,$W371),",",""))),""))</f>
        <v/>
      </c>
      <c r="AE371" s="24">
        <f>IF($W371="","",IFERROR(IF(ISNUMBER(INDEX($G$9:$G$2008,$W371)),INDEX($G$9:$G$2008,$W371),VALUE(SUBSTITUTE(INDEX($G$9:$G$2008,$W371),",",""))),""))</f>
        <v/>
      </c>
      <c r="AF371" s="24">
        <f>IF($W371="","",IFERROR(IF(ISNUMBER(INDEX($H$9:$H$2008,$W371)),INDEX($H$9:$H$2008,$W371),VALUE(SUBSTITUTE(INDEX($H$9:$H$2008,$W371),",",""))),""))</f>
        <v/>
      </c>
      <c r="AG371" s="24">
        <f>IF($W371="","",IFERROR(IF(ISNUMBER(INDEX($I$9:$I$2008,$W371)),INDEX($I$9:$I$2008,$W371),VALUE(SUBSTITUTE(INDEX($I$9:$I$2008,$W371),",",""))),""))</f>
        <v/>
      </c>
      <c r="AH371" s="24">
        <f>IF($W371="","",IFERROR(IF(ISNUMBER(INDEX($J$9:$J$2008,$W371)),INDEX($J$9:$J$2008,$W371),VALUE(SUBSTITUTE(INDEX($J$9:$J$2008,$W371),",",""))),""))</f>
        <v/>
      </c>
      <c r="AI371" s="24">
        <f>IF($W371="","",IFERROR(IF(ISNUMBER(INDEX($K$9:$K$2008,$W371)),INDEX($K$9:$K$2008,$W371),VALUE(SUBSTITUTE(INDEX($K$9:$K$2008,$W371),",",""))),""))</f>
        <v/>
      </c>
      <c r="AJ371" s="25">
        <f>IF($W371="","",IFERROR(IF(ISNUMBER(INDEX($L$9:$L$2008,$W371)),INDEX($L$9:$L$2008,$W371),VALUE(SUBSTITUTE(INDEX($L$9:$L$2008,$W371),",",""))),""))</f>
        <v/>
      </c>
      <c r="AK371" s="25">
        <f>IF($W371="","",IFERROR(IF(ISNUMBER(INDEX($M$9:$M$2008,$W371)),INDEX($M$9:$M$2008,$W371),VALUE(SUBSTITUTE(INDEX($M$9:$M$2008,$W371),",",""))),""))</f>
        <v/>
      </c>
      <c r="AL371" s="26">
        <f>IF($W371="","",IFERROR(IF(ISNUMBER(INDEX($P$9:$P$2008,$W371)),INDEX($P$9:$P$2008,$W371),VALUE(SUBSTITUTE(INDEX($P$9:$P$2008,$W371),"%",""))/100),""))</f>
        <v/>
      </c>
    </row>
    <row r="372">
      <c r="S372">
        <f>IF(AND(ISTEXT($A372),ISNUMBER(SEARCH(" - ",$A372)),ISERROR(SEARCH("Folio",$A372)),$D372=""),TRIM($A372),$S371)</f>
        <v/>
      </c>
      <c r="T372">
        <f>IF(AND(ISNUMBER(SEARCH("Folio",$A372)),$D372&lt;&gt;""),1,"")</f>
        <v/>
      </c>
      <c r="U372">
        <f>IF($T372=1,COUNTIF($T$9:$T372,1),"")</f>
        <v/>
      </c>
      <c r="V372">
        <f>IF(AND(ISTEXT($A372),LEFT($A373,3)="Pan"),1,"")</f>
        <v/>
      </c>
      <c r="W372" s="21">
        <f>IFERROR(MATCH(364,$U$9:$U$2008,0),"")</f>
        <v/>
      </c>
      <c r="X372" s="27">
        <f>IF($W372="","",IF($R$5&lt;&gt;"",$R$5,$R$6))</f>
        <v/>
      </c>
      <c r="Y372" s="27">
        <f>IF($W372="","",INDEX($S$9:$S$2008,$W372))</f>
        <v/>
      </c>
      <c r="Z372" s="27">
        <f>IF($W372="","",IFERROR(TRIM(LEFT(SUBSTITUTE(INDEX($A$9:$A$2008,$W372),CHAR(10)," "),SEARCH("Folio",SUBSTITUTE(INDEX($A$9:$A$2008,$W372),CHAR(10)," "))-1)),TRIM(SUBSTITUTE(INDEX($A$9:$A$2008,$W372),CHAR(10)," "))))</f>
        <v/>
      </c>
      <c r="AA372" s="27">
        <f>IF($W372="","",IFERROR(TRIM(SUBSTITUTE(MID(SUBSTITUTE(INDEX($A$9:$A$2008,$W372),CHAR(10)," "),SEARCH("Folio",SUBSTITUTE(INDEX($A$9:$A$2008,$W372),CHAR(10)," "))+5,200),":","")),""))</f>
        <v/>
      </c>
      <c r="AB372" s="28">
        <f>IF($W372="","",IF(ISNUMBER(INDEX($D$9:$D$2008,$W372)),INDEX($D$9:$D$2008,$W372),IFERROR(DATE(2000+VALUE(RIGHT(INDEX($D$9:$D$2008,$W372),2)),VALUE(MID(INDEX($D$9:$D$2008,$W372),4,2)),VALUE(LEFT(INDEX($D$9:$D$2008,$W372),2))),"")))</f>
        <v/>
      </c>
      <c r="AC372" s="29">
        <f>IF($W372="","",IFERROR(IF(ISNUMBER(INDEX($E$9:$E$2008,$W372)),INDEX($E$9:$E$2008,$W372),VALUE(SUBSTITUTE(INDEX($E$9:$E$2008,$W372),",",""))),""))</f>
        <v/>
      </c>
      <c r="AD372" s="29">
        <f>IF($W372="","",IFERROR(IF(ISNUMBER(INDEX($F$9:$F$2008,$W372)),INDEX($F$9:$F$2008,$W372),VALUE(SUBSTITUTE(INDEX($F$9:$F$2008,$W372),",",""))),""))</f>
        <v/>
      </c>
      <c r="AE372" s="29">
        <f>IF($W372="","",IFERROR(IF(ISNUMBER(INDEX($G$9:$G$2008,$W372)),INDEX($G$9:$G$2008,$W372),VALUE(SUBSTITUTE(INDEX($G$9:$G$2008,$W372),",",""))),""))</f>
        <v/>
      </c>
      <c r="AF372" s="29">
        <f>IF($W372="","",IFERROR(IF(ISNUMBER(INDEX($H$9:$H$2008,$W372)),INDEX($H$9:$H$2008,$W372),VALUE(SUBSTITUTE(INDEX($H$9:$H$2008,$W372),",",""))),""))</f>
        <v/>
      </c>
      <c r="AG372" s="29">
        <f>IF($W372="","",IFERROR(IF(ISNUMBER(INDEX($I$9:$I$2008,$W372)),INDEX($I$9:$I$2008,$W372),VALUE(SUBSTITUTE(INDEX($I$9:$I$2008,$W372),",",""))),""))</f>
        <v/>
      </c>
      <c r="AH372" s="29">
        <f>IF($W372="","",IFERROR(IF(ISNUMBER(INDEX($J$9:$J$2008,$W372)),INDEX($J$9:$J$2008,$W372),VALUE(SUBSTITUTE(INDEX($J$9:$J$2008,$W372),",",""))),""))</f>
        <v/>
      </c>
      <c r="AI372" s="29">
        <f>IF($W372="","",IFERROR(IF(ISNUMBER(INDEX($K$9:$K$2008,$W372)),INDEX($K$9:$K$2008,$W372),VALUE(SUBSTITUTE(INDEX($K$9:$K$2008,$W372),",",""))),""))</f>
        <v/>
      </c>
      <c r="AJ372" s="30">
        <f>IF($W372="","",IFERROR(IF(ISNUMBER(INDEX($L$9:$L$2008,$W372)),INDEX($L$9:$L$2008,$W372),VALUE(SUBSTITUTE(INDEX($L$9:$L$2008,$W372),",",""))),""))</f>
        <v/>
      </c>
      <c r="AK372" s="30">
        <f>IF($W372="","",IFERROR(IF(ISNUMBER(INDEX($M$9:$M$2008,$W372)),INDEX($M$9:$M$2008,$W372),VALUE(SUBSTITUTE(INDEX($M$9:$M$2008,$W372),",",""))),""))</f>
        <v/>
      </c>
      <c r="AL372" s="31">
        <f>IF($W372="","",IFERROR(IF(ISNUMBER(INDEX($P$9:$P$2008,$W372)),INDEX($P$9:$P$2008,$W372),VALUE(SUBSTITUTE(INDEX($P$9:$P$2008,$W372),"%",""))/100),""))</f>
        <v/>
      </c>
    </row>
    <row r="373">
      <c r="S373">
        <f>IF(AND(ISTEXT($A373),ISNUMBER(SEARCH(" - ",$A373)),ISERROR(SEARCH("Folio",$A373)),$D373=""),TRIM($A373),$S372)</f>
        <v/>
      </c>
      <c r="T373">
        <f>IF(AND(ISNUMBER(SEARCH("Folio",$A373)),$D373&lt;&gt;""),1,"")</f>
        <v/>
      </c>
      <c r="U373">
        <f>IF($T373=1,COUNTIF($T$9:$T373,1),"")</f>
        <v/>
      </c>
      <c r="V373">
        <f>IF(AND(ISTEXT($A373),LEFT($A374,3)="Pan"),1,"")</f>
        <v/>
      </c>
      <c r="W373" s="21">
        <f>IFERROR(MATCH(365,$U$9:$U$2008,0),"")</f>
        <v/>
      </c>
      <c r="X373" s="22">
        <f>IF($W373="","",IF($R$5&lt;&gt;"",$R$5,$R$6))</f>
        <v/>
      </c>
      <c r="Y373" s="22">
        <f>IF($W373="","",INDEX($S$9:$S$2008,$W373))</f>
        <v/>
      </c>
      <c r="Z373" s="22">
        <f>IF($W373="","",IFERROR(TRIM(LEFT(SUBSTITUTE(INDEX($A$9:$A$2008,$W373),CHAR(10)," "),SEARCH("Folio",SUBSTITUTE(INDEX($A$9:$A$2008,$W373),CHAR(10)," "))-1)),TRIM(SUBSTITUTE(INDEX($A$9:$A$2008,$W373),CHAR(10)," "))))</f>
        <v/>
      </c>
      <c r="AA373" s="22">
        <f>IF($W373="","",IFERROR(TRIM(SUBSTITUTE(MID(SUBSTITUTE(INDEX($A$9:$A$2008,$W373),CHAR(10)," "),SEARCH("Folio",SUBSTITUTE(INDEX($A$9:$A$2008,$W373),CHAR(10)," "))+5,200),":","")),""))</f>
        <v/>
      </c>
      <c r="AB373" s="23">
        <f>IF($W373="","",IF(ISNUMBER(INDEX($D$9:$D$2008,$W373)),INDEX($D$9:$D$2008,$W373),IFERROR(DATE(2000+VALUE(RIGHT(INDEX($D$9:$D$2008,$W373),2)),VALUE(MID(INDEX($D$9:$D$2008,$W373),4,2)),VALUE(LEFT(INDEX($D$9:$D$2008,$W373),2))),"")))</f>
        <v/>
      </c>
      <c r="AC373" s="24">
        <f>IF($W373="","",IFERROR(IF(ISNUMBER(INDEX($E$9:$E$2008,$W373)),INDEX($E$9:$E$2008,$W373),VALUE(SUBSTITUTE(INDEX($E$9:$E$2008,$W373),",",""))),""))</f>
        <v/>
      </c>
      <c r="AD373" s="24">
        <f>IF($W373="","",IFERROR(IF(ISNUMBER(INDEX($F$9:$F$2008,$W373)),INDEX($F$9:$F$2008,$W373),VALUE(SUBSTITUTE(INDEX($F$9:$F$2008,$W373),",",""))),""))</f>
        <v/>
      </c>
      <c r="AE373" s="24">
        <f>IF($W373="","",IFERROR(IF(ISNUMBER(INDEX($G$9:$G$2008,$W373)),INDEX($G$9:$G$2008,$W373),VALUE(SUBSTITUTE(INDEX($G$9:$G$2008,$W373),",",""))),""))</f>
        <v/>
      </c>
      <c r="AF373" s="24">
        <f>IF($W373="","",IFERROR(IF(ISNUMBER(INDEX($H$9:$H$2008,$W373)),INDEX($H$9:$H$2008,$W373),VALUE(SUBSTITUTE(INDEX($H$9:$H$2008,$W373),",",""))),""))</f>
        <v/>
      </c>
      <c r="AG373" s="24">
        <f>IF($W373="","",IFERROR(IF(ISNUMBER(INDEX($I$9:$I$2008,$W373)),INDEX($I$9:$I$2008,$W373),VALUE(SUBSTITUTE(INDEX($I$9:$I$2008,$W373),",",""))),""))</f>
        <v/>
      </c>
      <c r="AH373" s="24">
        <f>IF($W373="","",IFERROR(IF(ISNUMBER(INDEX($J$9:$J$2008,$W373)),INDEX($J$9:$J$2008,$W373),VALUE(SUBSTITUTE(INDEX($J$9:$J$2008,$W373),",",""))),""))</f>
        <v/>
      </c>
      <c r="AI373" s="24">
        <f>IF($W373="","",IFERROR(IF(ISNUMBER(INDEX($K$9:$K$2008,$W373)),INDEX($K$9:$K$2008,$W373),VALUE(SUBSTITUTE(INDEX($K$9:$K$2008,$W373),",",""))),""))</f>
        <v/>
      </c>
      <c r="AJ373" s="25">
        <f>IF($W373="","",IFERROR(IF(ISNUMBER(INDEX($L$9:$L$2008,$W373)),INDEX($L$9:$L$2008,$W373),VALUE(SUBSTITUTE(INDEX($L$9:$L$2008,$W373),",",""))),""))</f>
        <v/>
      </c>
      <c r="AK373" s="25">
        <f>IF($W373="","",IFERROR(IF(ISNUMBER(INDEX($M$9:$M$2008,$W373)),INDEX($M$9:$M$2008,$W373),VALUE(SUBSTITUTE(INDEX($M$9:$M$2008,$W373),",",""))),""))</f>
        <v/>
      </c>
      <c r="AL373" s="26">
        <f>IF($W373="","",IFERROR(IF(ISNUMBER(INDEX($P$9:$P$2008,$W373)),INDEX($P$9:$P$2008,$W373),VALUE(SUBSTITUTE(INDEX($P$9:$P$2008,$W373),"%",""))/100),""))</f>
        <v/>
      </c>
    </row>
    <row r="374">
      <c r="S374">
        <f>IF(AND(ISTEXT($A374),ISNUMBER(SEARCH(" - ",$A374)),ISERROR(SEARCH("Folio",$A374)),$D374=""),TRIM($A374),$S373)</f>
        <v/>
      </c>
      <c r="T374">
        <f>IF(AND(ISNUMBER(SEARCH("Folio",$A374)),$D374&lt;&gt;""),1,"")</f>
        <v/>
      </c>
      <c r="U374">
        <f>IF($T374=1,COUNTIF($T$9:$T374,1),"")</f>
        <v/>
      </c>
      <c r="V374">
        <f>IF(AND(ISTEXT($A374),LEFT($A375,3)="Pan"),1,"")</f>
        <v/>
      </c>
      <c r="W374" s="21">
        <f>IFERROR(MATCH(366,$U$9:$U$2008,0),"")</f>
        <v/>
      </c>
      <c r="X374" s="27">
        <f>IF($W374="","",IF($R$5&lt;&gt;"",$R$5,$R$6))</f>
        <v/>
      </c>
      <c r="Y374" s="27">
        <f>IF($W374="","",INDEX($S$9:$S$2008,$W374))</f>
        <v/>
      </c>
      <c r="Z374" s="27">
        <f>IF($W374="","",IFERROR(TRIM(LEFT(SUBSTITUTE(INDEX($A$9:$A$2008,$W374),CHAR(10)," "),SEARCH("Folio",SUBSTITUTE(INDEX($A$9:$A$2008,$W374),CHAR(10)," "))-1)),TRIM(SUBSTITUTE(INDEX($A$9:$A$2008,$W374),CHAR(10)," "))))</f>
        <v/>
      </c>
      <c r="AA374" s="27">
        <f>IF($W374="","",IFERROR(TRIM(SUBSTITUTE(MID(SUBSTITUTE(INDEX($A$9:$A$2008,$W374),CHAR(10)," "),SEARCH("Folio",SUBSTITUTE(INDEX($A$9:$A$2008,$W374),CHAR(10)," "))+5,200),":","")),""))</f>
        <v/>
      </c>
      <c r="AB374" s="28">
        <f>IF($W374="","",IF(ISNUMBER(INDEX($D$9:$D$2008,$W374)),INDEX($D$9:$D$2008,$W374),IFERROR(DATE(2000+VALUE(RIGHT(INDEX($D$9:$D$2008,$W374),2)),VALUE(MID(INDEX($D$9:$D$2008,$W374),4,2)),VALUE(LEFT(INDEX($D$9:$D$2008,$W374),2))),"")))</f>
        <v/>
      </c>
      <c r="AC374" s="29">
        <f>IF($W374="","",IFERROR(IF(ISNUMBER(INDEX($E$9:$E$2008,$W374)),INDEX($E$9:$E$2008,$W374),VALUE(SUBSTITUTE(INDEX($E$9:$E$2008,$W374),",",""))),""))</f>
        <v/>
      </c>
      <c r="AD374" s="29">
        <f>IF($W374="","",IFERROR(IF(ISNUMBER(INDEX($F$9:$F$2008,$W374)),INDEX($F$9:$F$2008,$W374),VALUE(SUBSTITUTE(INDEX($F$9:$F$2008,$W374),",",""))),""))</f>
        <v/>
      </c>
      <c r="AE374" s="29">
        <f>IF($W374="","",IFERROR(IF(ISNUMBER(INDEX($G$9:$G$2008,$W374)),INDEX($G$9:$G$2008,$W374),VALUE(SUBSTITUTE(INDEX($G$9:$G$2008,$W374),",",""))),""))</f>
        <v/>
      </c>
      <c r="AF374" s="29">
        <f>IF($W374="","",IFERROR(IF(ISNUMBER(INDEX($H$9:$H$2008,$W374)),INDEX($H$9:$H$2008,$W374),VALUE(SUBSTITUTE(INDEX($H$9:$H$2008,$W374),",",""))),""))</f>
        <v/>
      </c>
      <c r="AG374" s="29">
        <f>IF($W374="","",IFERROR(IF(ISNUMBER(INDEX($I$9:$I$2008,$W374)),INDEX($I$9:$I$2008,$W374),VALUE(SUBSTITUTE(INDEX($I$9:$I$2008,$W374),",",""))),""))</f>
        <v/>
      </c>
      <c r="AH374" s="29">
        <f>IF($W374="","",IFERROR(IF(ISNUMBER(INDEX($J$9:$J$2008,$W374)),INDEX($J$9:$J$2008,$W374),VALUE(SUBSTITUTE(INDEX($J$9:$J$2008,$W374),",",""))),""))</f>
        <v/>
      </c>
      <c r="AI374" s="29">
        <f>IF($W374="","",IFERROR(IF(ISNUMBER(INDEX($K$9:$K$2008,$W374)),INDEX($K$9:$K$2008,$W374),VALUE(SUBSTITUTE(INDEX($K$9:$K$2008,$W374),",",""))),""))</f>
        <v/>
      </c>
      <c r="AJ374" s="30">
        <f>IF($W374="","",IFERROR(IF(ISNUMBER(INDEX($L$9:$L$2008,$W374)),INDEX($L$9:$L$2008,$W374),VALUE(SUBSTITUTE(INDEX($L$9:$L$2008,$W374),",",""))),""))</f>
        <v/>
      </c>
      <c r="AK374" s="30">
        <f>IF($W374="","",IFERROR(IF(ISNUMBER(INDEX($M$9:$M$2008,$W374)),INDEX($M$9:$M$2008,$W374),VALUE(SUBSTITUTE(INDEX($M$9:$M$2008,$W374),",",""))),""))</f>
        <v/>
      </c>
      <c r="AL374" s="31">
        <f>IF($W374="","",IFERROR(IF(ISNUMBER(INDEX($P$9:$P$2008,$W374)),INDEX($P$9:$P$2008,$W374),VALUE(SUBSTITUTE(INDEX($P$9:$P$2008,$W374),"%",""))/100),""))</f>
        <v/>
      </c>
    </row>
    <row r="375">
      <c r="S375">
        <f>IF(AND(ISTEXT($A375),ISNUMBER(SEARCH(" - ",$A375)),ISERROR(SEARCH("Folio",$A375)),$D375=""),TRIM($A375),$S374)</f>
        <v/>
      </c>
      <c r="T375">
        <f>IF(AND(ISNUMBER(SEARCH("Folio",$A375)),$D375&lt;&gt;""),1,"")</f>
        <v/>
      </c>
      <c r="U375">
        <f>IF($T375=1,COUNTIF($T$9:$T375,1),"")</f>
        <v/>
      </c>
      <c r="V375">
        <f>IF(AND(ISTEXT($A375),LEFT($A376,3)="Pan"),1,"")</f>
        <v/>
      </c>
      <c r="W375" s="21">
        <f>IFERROR(MATCH(367,$U$9:$U$2008,0),"")</f>
        <v/>
      </c>
      <c r="X375" s="22">
        <f>IF($W375="","",IF($R$5&lt;&gt;"",$R$5,$R$6))</f>
        <v/>
      </c>
      <c r="Y375" s="22">
        <f>IF($W375="","",INDEX($S$9:$S$2008,$W375))</f>
        <v/>
      </c>
      <c r="Z375" s="22">
        <f>IF($W375="","",IFERROR(TRIM(LEFT(SUBSTITUTE(INDEX($A$9:$A$2008,$W375),CHAR(10)," "),SEARCH("Folio",SUBSTITUTE(INDEX($A$9:$A$2008,$W375),CHAR(10)," "))-1)),TRIM(SUBSTITUTE(INDEX($A$9:$A$2008,$W375),CHAR(10)," "))))</f>
        <v/>
      </c>
      <c r="AA375" s="22">
        <f>IF($W375="","",IFERROR(TRIM(SUBSTITUTE(MID(SUBSTITUTE(INDEX($A$9:$A$2008,$W375),CHAR(10)," "),SEARCH("Folio",SUBSTITUTE(INDEX($A$9:$A$2008,$W375),CHAR(10)," "))+5,200),":","")),""))</f>
        <v/>
      </c>
      <c r="AB375" s="23">
        <f>IF($W375="","",IF(ISNUMBER(INDEX($D$9:$D$2008,$W375)),INDEX($D$9:$D$2008,$W375),IFERROR(DATE(2000+VALUE(RIGHT(INDEX($D$9:$D$2008,$W375),2)),VALUE(MID(INDEX($D$9:$D$2008,$W375),4,2)),VALUE(LEFT(INDEX($D$9:$D$2008,$W375),2))),"")))</f>
        <v/>
      </c>
      <c r="AC375" s="24">
        <f>IF($W375="","",IFERROR(IF(ISNUMBER(INDEX($E$9:$E$2008,$W375)),INDEX($E$9:$E$2008,$W375),VALUE(SUBSTITUTE(INDEX($E$9:$E$2008,$W375),",",""))),""))</f>
        <v/>
      </c>
      <c r="AD375" s="24">
        <f>IF($W375="","",IFERROR(IF(ISNUMBER(INDEX($F$9:$F$2008,$W375)),INDEX($F$9:$F$2008,$W375),VALUE(SUBSTITUTE(INDEX($F$9:$F$2008,$W375),",",""))),""))</f>
        <v/>
      </c>
      <c r="AE375" s="24">
        <f>IF($W375="","",IFERROR(IF(ISNUMBER(INDEX($G$9:$G$2008,$W375)),INDEX($G$9:$G$2008,$W375),VALUE(SUBSTITUTE(INDEX($G$9:$G$2008,$W375),",",""))),""))</f>
        <v/>
      </c>
      <c r="AF375" s="24">
        <f>IF($W375="","",IFERROR(IF(ISNUMBER(INDEX($H$9:$H$2008,$W375)),INDEX($H$9:$H$2008,$W375),VALUE(SUBSTITUTE(INDEX($H$9:$H$2008,$W375),",",""))),""))</f>
        <v/>
      </c>
      <c r="AG375" s="24">
        <f>IF($W375="","",IFERROR(IF(ISNUMBER(INDEX($I$9:$I$2008,$W375)),INDEX($I$9:$I$2008,$W375),VALUE(SUBSTITUTE(INDEX($I$9:$I$2008,$W375),",",""))),""))</f>
        <v/>
      </c>
      <c r="AH375" s="24">
        <f>IF($W375="","",IFERROR(IF(ISNUMBER(INDEX($J$9:$J$2008,$W375)),INDEX($J$9:$J$2008,$W375),VALUE(SUBSTITUTE(INDEX($J$9:$J$2008,$W375),",",""))),""))</f>
        <v/>
      </c>
      <c r="AI375" s="24">
        <f>IF($W375="","",IFERROR(IF(ISNUMBER(INDEX($K$9:$K$2008,$W375)),INDEX($K$9:$K$2008,$W375),VALUE(SUBSTITUTE(INDEX($K$9:$K$2008,$W375),",",""))),""))</f>
        <v/>
      </c>
      <c r="AJ375" s="25">
        <f>IF($W375="","",IFERROR(IF(ISNUMBER(INDEX($L$9:$L$2008,$W375)),INDEX($L$9:$L$2008,$W375),VALUE(SUBSTITUTE(INDEX($L$9:$L$2008,$W375),",",""))),""))</f>
        <v/>
      </c>
      <c r="AK375" s="25">
        <f>IF($W375="","",IFERROR(IF(ISNUMBER(INDEX($M$9:$M$2008,$W375)),INDEX($M$9:$M$2008,$W375),VALUE(SUBSTITUTE(INDEX($M$9:$M$2008,$W375),",",""))),""))</f>
        <v/>
      </c>
      <c r="AL375" s="26">
        <f>IF($W375="","",IFERROR(IF(ISNUMBER(INDEX($P$9:$P$2008,$W375)),INDEX($P$9:$P$2008,$W375),VALUE(SUBSTITUTE(INDEX($P$9:$P$2008,$W375),"%",""))/100),""))</f>
        <v/>
      </c>
    </row>
    <row r="376">
      <c r="S376">
        <f>IF(AND(ISTEXT($A376),ISNUMBER(SEARCH(" - ",$A376)),ISERROR(SEARCH("Folio",$A376)),$D376=""),TRIM($A376),$S375)</f>
        <v/>
      </c>
      <c r="T376">
        <f>IF(AND(ISNUMBER(SEARCH("Folio",$A376)),$D376&lt;&gt;""),1,"")</f>
        <v/>
      </c>
      <c r="U376">
        <f>IF($T376=1,COUNTIF($T$9:$T376,1),"")</f>
        <v/>
      </c>
      <c r="V376">
        <f>IF(AND(ISTEXT($A376),LEFT($A377,3)="Pan"),1,"")</f>
        <v/>
      </c>
      <c r="W376" s="21">
        <f>IFERROR(MATCH(368,$U$9:$U$2008,0),"")</f>
        <v/>
      </c>
      <c r="X376" s="27">
        <f>IF($W376="","",IF($R$5&lt;&gt;"",$R$5,$R$6))</f>
        <v/>
      </c>
      <c r="Y376" s="27">
        <f>IF($W376="","",INDEX($S$9:$S$2008,$W376))</f>
        <v/>
      </c>
      <c r="Z376" s="27">
        <f>IF($W376="","",IFERROR(TRIM(LEFT(SUBSTITUTE(INDEX($A$9:$A$2008,$W376),CHAR(10)," "),SEARCH("Folio",SUBSTITUTE(INDEX($A$9:$A$2008,$W376),CHAR(10)," "))-1)),TRIM(SUBSTITUTE(INDEX($A$9:$A$2008,$W376),CHAR(10)," "))))</f>
        <v/>
      </c>
      <c r="AA376" s="27">
        <f>IF($W376="","",IFERROR(TRIM(SUBSTITUTE(MID(SUBSTITUTE(INDEX($A$9:$A$2008,$W376),CHAR(10)," "),SEARCH("Folio",SUBSTITUTE(INDEX($A$9:$A$2008,$W376),CHAR(10)," "))+5,200),":","")),""))</f>
        <v/>
      </c>
      <c r="AB376" s="28">
        <f>IF($W376="","",IF(ISNUMBER(INDEX($D$9:$D$2008,$W376)),INDEX($D$9:$D$2008,$W376),IFERROR(DATE(2000+VALUE(RIGHT(INDEX($D$9:$D$2008,$W376),2)),VALUE(MID(INDEX($D$9:$D$2008,$W376),4,2)),VALUE(LEFT(INDEX($D$9:$D$2008,$W376),2))),"")))</f>
        <v/>
      </c>
      <c r="AC376" s="29">
        <f>IF($W376="","",IFERROR(IF(ISNUMBER(INDEX($E$9:$E$2008,$W376)),INDEX($E$9:$E$2008,$W376),VALUE(SUBSTITUTE(INDEX($E$9:$E$2008,$W376),",",""))),""))</f>
        <v/>
      </c>
      <c r="AD376" s="29">
        <f>IF($W376="","",IFERROR(IF(ISNUMBER(INDEX($F$9:$F$2008,$W376)),INDEX($F$9:$F$2008,$W376),VALUE(SUBSTITUTE(INDEX($F$9:$F$2008,$W376),",",""))),""))</f>
        <v/>
      </c>
      <c r="AE376" s="29">
        <f>IF($W376="","",IFERROR(IF(ISNUMBER(INDEX($G$9:$G$2008,$W376)),INDEX($G$9:$G$2008,$W376),VALUE(SUBSTITUTE(INDEX($G$9:$G$2008,$W376),",",""))),""))</f>
        <v/>
      </c>
      <c r="AF376" s="29">
        <f>IF($W376="","",IFERROR(IF(ISNUMBER(INDEX($H$9:$H$2008,$W376)),INDEX($H$9:$H$2008,$W376),VALUE(SUBSTITUTE(INDEX($H$9:$H$2008,$W376),",",""))),""))</f>
        <v/>
      </c>
      <c r="AG376" s="29">
        <f>IF($W376="","",IFERROR(IF(ISNUMBER(INDEX($I$9:$I$2008,$W376)),INDEX($I$9:$I$2008,$W376),VALUE(SUBSTITUTE(INDEX($I$9:$I$2008,$W376),",",""))),""))</f>
        <v/>
      </c>
      <c r="AH376" s="29">
        <f>IF($W376="","",IFERROR(IF(ISNUMBER(INDEX($J$9:$J$2008,$W376)),INDEX($J$9:$J$2008,$W376),VALUE(SUBSTITUTE(INDEX($J$9:$J$2008,$W376),",",""))),""))</f>
        <v/>
      </c>
      <c r="AI376" s="29">
        <f>IF($W376="","",IFERROR(IF(ISNUMBER(INDEX($K$9:$K$2008,$W376)),INDEX($K$9:$K$2008,$W376),VALUE(SUBSTITUTE(INDEX($K$9:$K$2008,$W376),",",""))),""))</f>
        <v/>
      </c>
      <c r="AJ376" s="30">
        <f>IF($W376="","",IFERROR(IF(ISNUMBER(INDEX($L$9:$L$2008,$W376)),INDEX($L$9:$L$2008,$W376),VALUE(SUBSTITUTE(INDEX($L$9:$L$2008,$W376),",",""))),""))</f>
        <v/>
      </c>
      <c r="AK376" s="30">
        <f>IF($W376="","",IFERROR(IF(ISNUMBER(INDEX($M$9:$M$2008,$W376)),INDEX($M$9:$M$2008,$W376),VALUE(SUBSTITUTE(INDEX($M$9:$M$2008,$W376),",",""))),""))</f>
        <v/>
      </c>
      <c r="AL376" s="31">
        <f>IF($W376="","",IFERROR(IF(ISNUMBER(INDEX($P$9:$P$2008,$W376)),INDEX($P$9:$P$2008,$W376),VALUE(SUBSTITUTE(INDEX($P$9:$P$2008,$W376),"%",""))/100),""))</f>
        <v/>
      </c>
    </row>
    <row r="377">
      <c r="S377">
        <f>IF(AND(ISTEXT($A377),ISNUMBER(SEARCH(" - ",$A377)),ISERROR(SEARCH("Folio",$A377)),$D377=""),TRIM($A377),$S376)</f>
        <v/>
      </c>
      <c r="T377">
        <f>IF(AND(ISNUMBER(SEARCH("Folio",$A377)),$D377&lt;&gt;""),1,"")</f>
        <v/>
      </c>
      <c r="U377">
        <f>IF($T377=1,COUNTIF($T$9:$T377,1),"")</f>
        <v/>
      </c>
      <c r="V377">
        <f>IF(AND(ISTEXT($A377),LEFT($A378,3)="Pan"),1,"")</f>
        <v/>
      </c>
      <c r="W377" s="21">
        <f>IFERROR(MATCH(369,$U$9:$U$2008,0),"")</f>
        <v/>
      </c>
      <c r="X377" s="22">
        <f>IF($W377="","",IF($R$5&lt;&gt;"",$R$5,$R$6))</f>
        <v/>
      </c>
      <c r="Y377" s="22">
        <f>IF($W377="","",INDEX($S$9:$S$2008,$W377))</f>
        <v/>
      </c>
      <c r="Z377" s="22">
        <f>IF($W377="","",IFERROR(TRIM(LEFT(SUBSTITUTE(INDEX($A$9:$A$2008,$W377),CHAR(10)," "),SEARCH("Folio",SUBSTITUTE(INDEX($A$9:$A$2008,$W377),CHAR(10)," "))-1)),TRIM(SUBSTITUTE(INDEX($A$9:$A$2008,$W377),CHAR(10)," "))))</f>
        <v/>
      </c>
      <c r="AA377" s="22">
        <f>IF($W377="","",IFERROR(TRIM(SUBSTITUTE(MID(SUBSTITUTE(INDEX($A$9:$A$2008,$W377),CHAR(10)," "),SEARCH("Folio",SUBSTITUTE(INDEX($A$9:$A$2008,$W377),CHAR(10)," "))+5,200),":","")),""))</f>
        <v/>
      </c>
      <c r="AB377" s="23">
        <f>IF($W377="","",IF(ISNUMBER(INDEX($D$9:$D$2008,$W377)),INDEX($D$9:$D$2008,$W377),IFERROR(DATE(2000+VALUE(RIGHT(INDEX($D$9:$D$2008,$W377),2)),VALUE(MID(INDEX($D$9:$D$2008,$W377),4,2)),VALUE(LEFT(INDEX($D$9:$D$2008,$W377),2))),"")))</f>
        <v/>
      </c>
      <c r="AC377" s="24">
        <f>IF($W377="","",IFERROR(IF(ISNUMBER(INDEX($E$9:$E$2008,$W377)),INDEX($E$9:$E$2008,$W377),VALUE(SUBSTITUTE(INDEX($E$9:$E$2008,$W377),",",""))),""))</f>
        <v/>
      </c>
      <c r="AD377" s="24">
        <f>IF($W377="","",IFERROR(IF(ISNUMBER(INDEX($F$9:$F$2008,$W377)),INDEX($F$9:$F$2008,$W377),VALUE(SUBSTITUTE(INDEX($F$9:$F$2008,$W377),",",""))),""))</f>
        <v/>
      </c>
      <c r="AE377" s="24">
        <f>IF($W377="","",IFERROR(IF(ISNUMBER(INDEX($G$9:$G$2008,$W377)),INDEX($G$9:$G$2008,$W377),VALUE(SUBSTITUTE(INDEX($G$9:$G$2008,$W377),",",""))),""))</f>
        <v/>
      </c>
      <c r="AF377" s="24">
        <f>IF($W377="","",IFERROR(IF(ISNUMBER(INDEX($H$9:$H$2008,$W377)),INDEX($H$9:$H$2008,$W377),VALUE(SUBSTITUTE(INDEX($H$9:$H$2008,$W377),",",""))),""))</f>
        <v/>
      </c>
      <c r="AG377" s="24">
        <f>IF($W377="","",IFERROR(IF(ISNUMBER(INDEX($I$9:$I$2008,$W377)),INDEX($I$9:$I$2008,$W377),VALUE(SUBSTITUTE(INDEX($I$9:$I$2008,$W377),",",""))),""))</f>
        <v/>
      </c>
      <c r="AH377" s="24">
        <f>IF($W377="","",IFERROR(IF(ISNUMBER(INDEX($J$9:$J$2008,$W377)),INDEX($J$9:$J$2008,$W377),VALUE(SUBSTITUTE(INDEX($J$9:$J$2008,$W377),",",""))),""))</f>
        <v/>
      </c>
      <c r="AI377" s="24">
        <f>IF($W377="","",IFERROR(IF(ISNUMBER(INDEX($K$9:$K$2008,$W377)),INDEX($K$9:$K$2008,$W377),VALUE(SUBSTITUTE(INDEX($K$9:$K$2008,$W377),",",""))),""))</f>
        <v/>
      </c>
      <c r="AJ377" s="25">
        <f>IF($W377="","",IFERROR(IF(ISNUMBER(INDEX($L$9:$L$2008,$W377)),INDEX($L$9:$L$2008,$W377),VALUE(SUBSTITUTE(INDEX($L$9:$L$2008,$W377),",",""))),""))</f>
        <v/>
      </c>
      <c r="AK377" s="25">
        <f>IF($W377="","",IFERROR(IF(ISNUMBER(INDEX($M$9:$M$2008,$W377)),INDEX($M$9:$M$2008,$W377),VALUE(SUBSTITUTE(INDEX($M$9:$M$2008,$W377),",",""))),""))</f>
        <v/>
      </c>
      <c r="AL377" s="26">
        <f>IF($W377="","",IFERROR(IF(ISNUMBER(INDEX($P$9:$P$2008,$W377)),INDEX($P$9:$P$2008,$W377),VALUE(SUBSTITUTE(INDEX($P$9:$P$2008,$W377),"%",""))/100),""))</f>
        <v/>
      </c>
    </row>
    <row r="378">
      <c r="S378">
        <f>IF(AND(ISTEXT($A378),ISNUMBER(SEARCH(" - ",$A378)),ISERROR(SEARCH("Folio",$A378)),$D378=""),TRIM($A378),$S377)</f>
        <v/>
      </c>
      <c r="T378">
        <f>IF(AND(ISNUMBER(SEARCH("Folio",$A378)),$D378&lt;&gt;""),1,"")</f>
        <v/>
      </c>
      <c r="U378">
        <f>IF($T378=1,COUNTIF($T$9:$T378,1),"")</f>
        <v/>
      </c>
      <c r="V378">
        <f>IF(AND(ISTEXT($A378),LEFT($A379,3)="Pan"),1,"")</f>
        <v/>
      </c>
      <c r="W378" s="21">
        <f>IFERROR(MATCH(370,$U$9:$U$2008,0),"")</f>
        <v/>
      </c>
      <c r="X378" s="27">
        <f>IF($W378="","",IF($R$5&lt;&gt;"",$R$5,$R$6))</f>
        <v/>
      </c>
      <c r="Y378" s="27">
        <f>IF($W378="","",INDEX($S$9:$S$2008,$W378))</f>
        <v/>
      </c>
      <c r="Z378" s="27">
        <f>IF($W378="","",IFERROR(TRIM(LEFT(SUBSTITUTE(INDEX($A$9:$A$2008,$W378),CHAR(10)," "),SEARCH("Folio",SUBSTITUTE(INDEX($A$9:$A$2008,$W378),CHAR(10)," "))-1)),TRIM(SUBSTITUTE(INDEX($A$9:$A$2008,$W378),CHAR(10)," "))))</f>
        <v/>
      </c>
      <c r="AA378" s="27">
        <f>IF($W378="","",IFERROR(TRIM(SUBSTITUTE(MID(SUBSTITUTE(INDEX($A$9:$A$2008,$W378),CHAR(10)," "),SEARCH("Folio",SUBSTITUTE(INDEX($A$9:$A$2008,$W378),CHAR(10)," "))+5,200),":","")),""))</f>
        <v/>
      </c>
      <c r="AB378" s="28">
        <f>IF($W378="","",IF(ISNUMBER(INDEX($D$9:$D$2008,$W378)),INDEX($D$9:$D$2008,$W378),IFERROR(DATE(2000+VALUE(RIGHT(INDEX($D$9:$D$2008,$W378),2)),VALUE(MID(INDEX($D$9:$D$2008,$W378),4,2)),VALUE(LEFT(INDEX($D$9:$D$2008,$W378),2))),"")))</f>
        <v/>
      </c>
      <c r="AC378" s="29">
        <f>IF($W378="","",IFERROR(IF(ISNUMBER(INDEX($E$9:$E$2008,$W378)),INDEX($E$9:$E$2008,$W378),VALUE(SUBSTITUTE(INDEX($E$9:$E$2008,$W378),",",""))),""))</f>
        <v/>
      </c>
      <c r="AD378" s="29">
        <f>IF($W378="","",IFERROR(IF(ISNUMBER(INDEX($F$9:$F$2008,$W378)),INDEX($F$9:$F$2008,$W378),VALUE(SUBSTITUTE(INDEX($F$9:$F$2008,$W378),",",""))),""))</f>
        <v/>
      </c>
      <c r="AE378" s="29">
        <f>IF($W378="","",IFERROR(IF(ISNUMBER(INDEX($G$9:$G$2008,$W378)),INDEX($G$9:$G$2008,$W378),VALUE(SUBSTITUTE(INDEX($G$9:$G$2008,$W378),",",""))),""))</f>
        <v/>
      </c>
      <c r="AF378" s="29">
        <f>IF($W378="","",IFERROR(IF(ISNUMBER(INDEX($H$9:$H$2008,$W378)),INDEX($H$9:$H$2008,$W378),VALUE(SUBSTITUTE(INDEX($H$9:$H$2008,$W378),",",""))),""))</f>
        <v/>
      </c>
      <c r="AG378" s="29">
        <f>IF($W378="","",IFERROR(IF(ISNUMBER(INDEX($I$9:$I$2008,$W378)),INDEX($I$9:$I$2008,$W378),VALUE(SUBSTITUTE(INDEX($I$9:$I$2008,$W378),",",""))),""))</f>
        <v/>
      </c>
      <c r="AH378" s="29">
        <f>IF($W378="","",IFERROR(IF(ISNUMBER(INDEX($J$9:$J$2008,$W378)),INDEX($J$9:$J$2008,$W378),VALUE(SUBSTITUTE(INDEX($J$9:$J$2008,$W378),",",""))),""))</f>
        <v/>
      </c>
      <c r="AI378" s="29">
        <f>IF($W378="","",IFERROR(IF(ISNUMBER(INDEX($K$9:$K$2008,$W378)),INDEX($K$9:$K$2008,$W378),VALUE(SUBSTITUTE(INDEX($K$9:$K$2008,$W378),",",""))),""))</f>
        <v/>
      </c>
      <c r="AJ378" s="30">
        <f>IF($W378="","",IFERROR(IF(ISNUMBER(INDEX($L$9:$L$2008,$W378)),INDEX($L$9:$L$2008,$W378),VALUE(SUBSTITUTE(INDEX($L$9:$L$2008,$W378),",",""))),""))</f>
        <v/>
      </c>
      <c r="AK378" s="30">
        <f>IF($W378="","",IFERROR(IF(ISNUMBER(INDEX($M$9:$M$2008,$W378)),INDEX($M$9:$M$2008,$W378),VALUE(SUBSTITUTE(INDEX($M$9:$M$2008,$W378),",",""))),""))</f>
        <v/>
      </c>
      <c r="AL378" s="31">
        <f>IF($W378="","",IFERROR(IF(ISNUMBER(INDEX($P$9:$P$2008,$W378)),INDEX($P$9:$P$2008,$W378),VALUE(SUBSTITUTE(INDEX($P$9:$P$2008,$W378),"%",""))/100),""))</f>
        <v/>
      </c>
    </row>
    <row r="379">
      <c r="S379">
        <f>IF(AND(ISTEXT($A379),ISNUMBER(SEARCH(" - ",$A379)),ISERROR(SEARCH("Folio",$A379)),$D379=""),TRIM($A379),$S378)</f>
        <v/>
      </c>
      <c r="T379">
        <f>IF(AND(ISNUMBER(SEARCH("Folio",$A379)),$D379&lt;&gt;""),1,"")</f>
        <v/>
      </c>
      <c r="U379">
        <f>IF($T379=1,COUNTIF($T$9:$T379,1),"")</f>
        <v/>
      </c>
      <c r="V379">
        <f>IF(AND(ISTEXT($A379),LEFT($A380,3)="Pan"),1,"")</f>
        <v/>
      </c>
      <c r="W379" s="21">
        <f>IFERROR(MATCH(371,$U$9:$U$2008,0),"")</f>
        <v/>
      </c>
      <c r="X379" s="22">
        <f>IF($W379="","",IF($R$5&lt;&gt;"",$R$5,$R$6))</f>
        <v/>
      </c>
      <c r="Y379" s="22">
        <f>IF($W379="","",INDEX($S$9:$S$2008,$W379))</f>
        <v/>
      </c>
      <c r="Z379" s="22">
        <f>IF($W379="","",IFERROR(TRIM(LEFT(SUBSTITUTE(INDEX($A$9:$A$2008,$W379),CHAR(10)," "),SEARCH("Folio",SUBSTITUTE(INDEX($A$9:$A$2008,$W379),CHAR(10)," "))-1)),TRIM(SUBSTITUTE(INDEX($A$9:$A$2008,$W379),CHAR(10)," "))))</f>
        <v/>
      </c>
      <c r="AA379" s="22">
        <f>IF($W379="","",IFERROR(TRIM(SUBSTITUTE(MID(SUBSTITUTE(INDEX($A$9:$A$2008,$W379),CHAR(10)," "),SEARCH("Folio",SUBSTITUTE(INDEX($A$9:$A$2008,$W379),CHAR(10)," "))+5,200),":","")),""))</f>
        <v/>
      </c>
      <c r="AB379" s="23">
        <f>IF($W379="","",IF(ISNUMBER(INDEX($D$9:$D$2008,$W379)),INDEX($D$9:$D$2008,$W379),IFERROR(DATE(2000+VALUE(RIGHT(INDEX($D$9:$D$2008,$W379),2)),VALUE(MID(INDEX($D$9:$D$2008,$W379),4,2)),VALUE(LEFT(INDEX($D$9:$D$2008,$W379),2))),"")))</f>
        <v/>
      </c>
      <c r="AC379" s="24">
        <f>IF($W379="","",IFERROR(IF(ISNUMBER(INDEX($E$9:$E$2008,$W379)),INDEX($E$9:$E$2008,$W379),VALUE(SUBSTITUTE(INDEX($E$9:$E$2008,$W379),",",""))),""))</f>
        <v/>
      </c>
      <c r="AD379" s="24">
        <f>IF($W379="","",IFERROR(IF(ISNUMBER(INDEX($F$9:$F$2008,$W379)),INDEX($F$9:$F$2008,$W379),VALUE(SUBSTITUTE(INDEX($F$9:$F$2008,$W379),",",""))),""))</f>
        <v/>
      </c>
      <c r="AE379" s="24">
        <f>IF($W379="","",IFERROR(IF(ISNUMBER(INDEX($G$9:$G$2008,$W379)),INDEX($G$9:$G$2008,$W379),VALUE(SUBSTITUTE(INDEX($G$9:$G$2008,$W379),",",""))),""))</f>
        <v/>
      </c>
      <c r="AF379" s="24">
        <f>IF($W379="","",IFERROR(IF(ISNUMBER(INDEX($H$9:$H$2008,$W379)),INDEX($H$9:$H$2008,$W379),VALUE(SUBSTITUTE(INDEX($H$9:$H$2008,$W379),",",""))),""))</f>
        <v/>
      </c>
      <c r="AG379" s="24">
        <f>IF($W379="","",IFERROR(IF(ISNUMBER(INDEX($I$9:$I$2008,$W379)),INDEX($I$9:$I$2008,$W379),VALUE(SUBSTITUTE(INDEX($I$9:$I$2008,$W379),",",""))),""))</f>
        <v/>
      </c>
      <c r="AH379" s="24">
        <f>IF($W379="","",IFERROR(IF(ISNUMBER(INDEX($J$9:$J$2008,$W379)),INDEX($J$9:$J$2008,$W379),VALUE(SUBSTITUTE(INDEX($J$9:$J$2008,$W379),",",""))),""))</f>
        <v/>
      </c>
      <c r="AI379" s="24">
        <f>IF($W379="","",IFERROR(IF(ISNUMBER(INDEX($K$9:$K$2008,$W379)),INDEX($K$9:$K$2008,$W379),VALUE(SUBSTITUTE(INDEX($K$9:$K$2008,$W379),",",""))),""))</f>
        <v/>
      </c>
      <c r="AJ379" s="25">
        <f>IF($W379="","",IFERROR(IF(ISNUMBER(INDEX($L$9:$L$2008,$W379)),INDEX($L$9:$L$2008,$W379),VALUE(SUBSTITUTE(INDEX($L$9:$L$2008,$W379),",",""))),""))</f>
        <v/>
      </c>
      <c r="AK379" s="25">
        <f>IF($W379="","",IFERROR(IF(ISNUMBER(INDEX($M$9:$M$2008,$W379)),INDEX($M$9:$M$2008,$W379),VALUE(SUBSTITUTE(INDEX($M$9:$M$2008,$W379),",",""))),""))</f>
        <v/>
      </c>
      <c r="AL379" s="26">
        <f>IF($W379="","",IFERROR(IF(ISNUMBER(INDEX($P$9:$P$2008,$W379)),INDEX($P$9:$P$2008,$W379),VALUE(SUBSTITUTE(INDEX($P$9:$P$2008,$W379),"%",""))/100),""))</f>
        <v/>
      </c>
    </row>
    <row r="380">
      <c r="S380">
        <f>IF(AND(ISTEXT($A380),ISNUMBER(SEARCH(" - ",$A380)),ISERROR(SEARCH("Folio",$A380)),$D380=""),TRIM($A380),$S379)</f>
        <v/>
      </c>
      <c r="T380">
        <f>IF(AND(ISNUMBER(SEARCH("Folio",$A380)),$D380&lt;&gt;""),1,"")</f>
        <v/>
      </c>
      <c r="U380">
        <f>IF($T380=1,COUNTIF($T$9:$T380,1),"")</f>
        <v/>
      </c>
      <c r="V380">
        <f>IF(AND(ISTEXT($A380),LEFT($A381,3)="Pan"),1,"")</f>
        <v/>
      </c>
      <c r="W380" s="21">
        <f>IFERROR(MATCH(372,$U$9:$U$2008,0),"")</f>
        <v/>
      </c>
      <c r="X380" s="27">
        <f>IF($W380="","",IF($R$5&lt;&gt;"",$R$5,$R$6))</f>
        <v/>
      </c>
      <c r="Y380" s="27">
        <f>IF($W380="","",INDEX($S$9:$S$2008,$W380))</f>
        <v/>
      </c>
      <c r="Z380" s="27">
        <f>IF($W380="","",IFERROR(TRIM(LEFT(SUBSTITUTE(INDEX($A$9:$A$2008,$W380),CHAR(10)," "),SEARCH("Folio",SUBSTITUTE(INDEX($A$9:$A$2008,$W380),CHAR(10)," "))-1)),TRIM(SUBSTITUTE(INDEX($A$9:$A$2008,$W380),CHAR(10)," "))))</f>
        <v/>
      </c>
      <c r="AA380" s="27">
        <f>IF($W380="","",IFERROR(TRIM(SUBSTITUTE(MID(SUBSTITUTE(INDEX($A$9:$A$2008,$W380),CHAR(10)," "),SEARCH("Folio",SUBSTITUTE(INDEX($A$9:$A$2008,$W380),CHAR(10)," "))+5,200),":","")),""))</f>
        <v/>
      </c>
      <c r="AB380" s="28">
        <f>IF($W380="","",IF(ISNUMBER(INDEX($D$9:$D$2008,$W380)),INDEX($D$9:$D$2008,$W380),IFERROR(DATE(2000+VALUE(RIGHT(INDEX($D$9:$D$2008,$W380),2)),VALUE(MID(INDEX($D$9:$D$2008,$W380),4,2)),VALUE(LEFT(INDEX($D$9:$D$2008,$W380),2))),"")))</f>
        <v/>
      </c>
      <c r="AC380" s="29">
        <f>IF($W380="","",IFERROR(IF(ISNUMBER(INDEX($E$9:$E$2008,$W380)),INDEX($E$9:$E$2008,$W380),VALUE(SUBSTITUTE(INDEX($E$9:$E$2008,$W380),",",""))),""))</f>
        <v/>
      </c>
      <c r="AD380" s="29">
        <f>IF($W380="","",IFERROR(IF(ISNUMBER(INDEX($F$9:$F$2008,$W380)),INDEX($F$9:$F$2008,$W380),VALUE(SUBSTITUTE(INDEX($F$9:$F$2008,$W380),",",""))),""))</f>
        <v/>
      </c>
      <c r="AE380" s="29">
        <f>IF($W380="","",IFERROR(IF(ISNUMBER(INDEX($G$9:$G$2008,$W380)),INDEX($G$9:$G$2008,$W380),VALUE(SUBSTITUTE(INDEX($G$9:$G$2008,$W380),",",""))),""))</f>
        <v/>
      </c>
      <c r="AF380" s="29">
        <f>IF($W380="","",IFERROR(IF(ISNUMBER(INDEX($H$9:$H$2008,$W380)),INDEX($H$9:$H$2008,$W380),VALUE(SUBSTITUTE(INDEX($H$9:$H$2008,$W380),",",""))),""))</f>
        <v/>
      </c>
      <c r="AG380" s="29">
        <f>IF($W380="","",IFERROR(IF(ISNUMBER(INDEX($I$9:$I$2008,$W380)),INDEX($I$9:$I$2008,$W380),VALUE(SUBSTITUTE(INDEX($I$9:$I$2008,$W380),",",""))),""))</f>
        <v/>
      </c>
      <c r="AH380" s="29">
        <f>IF($W380="","",IFERROR(IF(ISNUMBER(INDEX($J$9:$J$2008,$W380)),INDEX($J$9:$J$2008,$W380),VALUE(SUBSTITUTE(INDEX($J$9:$J$2008,$W380),",",""))),""))</f>
        <v/>
      </c>
      <c r="AI380" s="29">
        <f>IF($W380="","",IFERROR(IF(ISNUMBER(INDEX($K$9:$K$2008,$W380)),INDEX($K$9:$K$2008,$W380),VALUE(SUBSTITUTE(INDEX($K$9:$K$2008,$W380),",",""))),""))</f>
        <v/>
      </c>
      <c r="AJ380" s="30">
        <f>IF($W380="","",IFERROR(IF(ISNUMBER(INDEX($L$9:$L$2008,$W380)),INDEX($L$9:$L$2008,$W380),VALUE(SUBSTITUTE(INDEX($L$9:$L$2008,$W380),",",""))),""))</f>
        <v/>
      </c>
      <c r="AK380" s="30">
        <f>IF($W380="","",IFERROR(IF(ISNUMBER(INDEX($M$9:$M$2008,$W380)),INDEX($M$9:$M$2008,$W380),VALUE(SUBSTITUTE(INDEX($M$9:$M$2008,$W380),",",""))),""))</f>
        <v/>
      </c>
      <c r="AL380" s="31">
        <f>IF($W380="","",IFERROR(IF(ISNUMBER(INDEX($P$9:$P$2008,$W380)),INDEX($P$9:$P$2008,$W380),VALUE(SUBSTITUTE(INDEX($P$9:$P$2008,$W380),"%",""))/100),""))</f>
        <v/>
      </c>
    </row>
    <row r="381">
      <c r="S381">
        <f>IF(AND(ISTEXT($A381),ISNUMBER(SEARCH(" - ",$A381)),ISERROR(SEARCH("Folio",$A381)),$D381=""),TRIM($A381),$S380)</f>
        <v/>
      </c>
      <c r="T381">
        <f>IF(AND(ISNUMBER(SEARCH("Folio",$A381)),$D381&lt;&gt;""),1,"")</f>
        <v/>
      </c>
      <c r="U381">
        <f>IF($T381=1,COUNTIF($T$9:$T381,1),"")</f>
        <v/>
      </c>
      <c r="V381">
        <f>IF(AND(ISTEXT($A381),LEFT($A382,3)="Pan"),1,"")</f>
        <v/>
      </c>
      <c r="W381" s="21">
        <f>IFERROR(MATCH(373,$U$9:$U$2008,0),"")</f>
        <v/>
      </c>
      <c r="X381" s="22">
        <f>IF($W381="","",IF($R$5&lt;&gt;"",$R$5,$R$6))</f>
        <v/>
      </c>
      <c r="Y381" s="22">
        <f>IF($W381="","",INDEX($S$9:$S$2008,$W381))</f>
        <v/>
      </c>
      <c r="Z381" s="22">
        <f>IF($W381="","",IFERROR(TRIM(LEFT(SUBSTITUTE(INDEX($A$9:$A$2008,$W381),CHAR(10)," "),SEARCH("Folio",SUBSTITUTE(INDEX($A$9:$A$2008,$W381),CHAR(10)," "))-1)),TRIM(SUBSTITUTE(INDEX($A$9:$A$2008,$W381),CHAR(10)," "))))</f>
        <v/>
      </c>
      <c r="AA381" s="22">
        <f>IF($W381="","",IFERROR(TRIM(SUBSTITUTE(MID(SUBSTITUTE(INDEX($A$9:$A$2008,$W381),CHAR(10)," "),SEARCH("Folio",SUBSTITUTE(INDEX($A$9:$A$2008,$W381),CHAR(10)," "))+5,200),":","")),""))</f>
        <v/>
      </c>
      <c r="AB381" s="23">
        <f>IF($W381="","",IF(ISNUMBER(INDEX($D$9:$D$2008,$W381)),INDEX($D$9:$D$2008,$W381),IFERROR(DATE(2000+VALUE(RIGHT(INDEX($D$9:$D$2008,$W381),2)),VALUE(MID(INDEX($D$9:$D$2008,$W381),4,2)),VALUE(LEFT(INDEX($D$9:$D$2008,$W381),2))),"")))</f>
        <v/>
      </c>
      <c r="AC381" s="24">
        <f>IF($W381="","",IFERROR(IF(ISNUMBER(INDEX($E$9:$E$2008,$W381)),INDEX($E$9:$E$2008,$W381),VALUE(SUBSTITUTE(INDEX($E$9:$E$2008,$W381),",",""))),""))</f>
        <v/>
      </c>
      <c r="AD381" s="24">
        <f>IF($W381="","",IFERROR(IF(ISNUMBER(INDEX($F$9:$F$2008,$W381)),INDEX($F$9:$F$2008,$W381),VALUE(SUBSTITUTE(INDEX($F$9:$F$2008,$W381),",",""))),""))</f>
        <v/>
      </c>
      <c r="AE381" s="24">
        <f>IF($W381="","",IFERROR(IF(ISNUMBER(INDEX($G$9:$G$2008,$W381)),INDEX($G$9:$G$2008,$W381),VALUE(SUBSTITUTE(INDEX($G$9:$G$2008,$W381),",",""))),""))</f>
        <v/>
      </c>
      <c r="AF381" s="24">
        <f>IF($W381="","",IFERROR(IF(ISNUMBER(INDEX($H$9:$H$2008,$W381)),INDEX($H$9:$H$2008,$W381),VALUE(SUBSTITUTE(INDEX($H$9:$H$2008,$W381),",",""))),""))</f>
        <v/>
      </c>
      <c r="AG381" s="24">
        <f>IF($W381="","",IFERROR(IF(ISNUMBER(INDEX($I$9:$I$2008,$W381)),INDEX($I$9:$I$2008,$W381),VALUE(SUBSTITUTE(INDEX($I$9:$I$2008,$W381),",",""))),""))</f>
        <v/>
      </c>
      <c r="AH381" s="24">
        <f>IF($W381="","",IFERROR(IF(ISNUMBER(INDEX($J$9:$J$2008,$W381)),INDEX($J$9:$J$2008,$W381),VALUE(SUBSTITUTE(INDEX($J$9:$J$2008,$W381),",",""))),""))</f>
        <v/>
      </c>
      <c r="AI381" s="24">
        <f>IF($W381="","",IFERROR(IF(ISNUMBER(INDEX($K$9:$K$2008,$W381)),INDEX($K$9:$K$2008,$W381),VALUE(SUBSTITUTE(INDEX($K$9:$K$2008,$W381),",",""))),""))</f>
        <v/>
      </c>
      <c r="AJ381" s="25">
        <f>IF($W381="","",IFERROR(IF(ISNUMBER(INDEX($L$9:$L$2008,$W381)),INDEX($L$9:$L$2008,$W381),VALUE(SUBSTITUTE(INDEX($L$9:$L$2008,$W381),",",""))),""))</f>
        <v/>
      </c>
      <c r="AK381" s="25">
        <f>IF($W381="","",IFERROR(IF(ISNUMBER(INDEX($M$9:$M$2008,$W381)),INDEX($M$9:$M$2008,$W381),VALUE(SUBSTITUTE(INDEX($M$9:$M$2008,$W381),",",""))),""))</f>
        <v/>
      </c>
      <c r="AL381" s="26">
        <f>IF($W381="","",IFERROR(IF(ISNUMBER(INDEX($P$9:$P$2008,$W381)),INDEX($P$9:$P$2008,$W381),VALUE(SUBSTITUTE(INDEX($P$9:$P$2008,$W381),"%",""))/100),""))</f>
        <v/>
      </c>
    </row>
    <row r="382">
      <c r="S382">
        <f>IF(AND(ISTEXT($A382),ISNUMBER(SEARCH(" - ",$A382)),ISERROR(SEARCH("Folio",$A382)),$D382=""),TRIM($A382),$S381)</f>
        <v/>
      </c>
      <c r="T382">
        <f>IF(AND(ISNUMBER(SEARCH("Folio",$A382)),$D382&lt;&gt;""),1,"")</f>
        <v/>
      </c>
      <c r="U382">
        <f>IF($T382=1,COUNTIF($T$9:$T382,1),"")</f>
        <v/>
      </c>
      <c r="V382">
        <f>IF(AND(ISTEXT($A382),LEFT($A383,3)="Pan"),1,"")</f>
        <v/>
      </c>
      <c r="W382" s="21">
        <f>IFERROR(MATCH(374,$U$9:$U$2008,0),"")</f>
        <v/>
      </c>
      <c r="X382" s="27">
        <f>IF($W382="","",IF($R$5&lt;&gt;"",$R$5,$R$6))</f>
        <v/>
      </c>
      <c r="Y382" s="27">
        <f>IF($W382="","",INDEX($S$9:$S$2008,$W382))</f>
        <v/>
      </c>
      <c r="Z382" s="27">
        <f>IF($W382="","",IFERROR(TRIM(LEFT(SUBSTITUTE(INDEX($A$9:$A$2008,$W382),CHAR(10)," "),SEARCH("Folio",SUBSTITUTE(INDEX($A$9:$A$2008,$W382),CHAR(10)," "))-1)),TRIM(SUBSTITUTE(INDEX($A$9:$A$2008,$W382),CHAR(10)," "))))</f>
        <v/>
      </c>
      <c r="AA382" s="27">
        <f>IF($W382="","",IFERROR(TRIM(SUBSTITUTE(MID(SUBSTITUTE(INDEX($A$9:$A$2008,$W382),CHAR(10)," "),SEARCH("Folio",SUBSTITUTE(INDEX($A$9:$A$2008,$W382),CHAR(10)," "))+5,200),":","")),""))</f>
        <v/>
      </c>
      <c r="AB382" s="28">
        <f>IF($W382="","",IF(ISNUMBER(INDEX($D$9:$D$2008,$W382)),INDEX($D$9:$D$2008,$W382),IFERROR(DATE(2000+VALUE(RIGHT(INDEX($D$9:$D$2008,$W382),2)),VALUE(MID(INDEX($D$9:$D$2008,$W382),4,2)),VALUE(LEFT(INDEX($D$9:$D$2008,$W382),2))),"")))</f>
        <v/>
      </c>
      <c r="AC382" s="29">
        <f>IF($W382="","",IFERROR(IF(ISNUMBER(INDEX($E$9:$E$2008,$W382)),INDEX($E$9:$E$2008,$W382),VALUE(SUBSTITUTE(INDEX($E$9:$E$2008,$W382),",",""))),""))</f>
        <v/>
      </c>
      <c r="AD382" s="29">
        <f>IF($W382="","",IFERROR(IF(ISNUMBER(INDEX($F$9:$F$2008,$W382)),INDEX($F$9:$F$2008,$W382),VALUE(SUBSTITUTE(INDEX($F$9:$F$2008,$W382),",",""))),""))</f>
        <v/>
      </c>
      <c r="AE382" s="29">
        <f>IF($W382="","",IFERROR(IF(ISNUMBER(INDEX($G$9:$G$2008,$W382)),INDEX($G$9:$G$2008,$W382),VALUE(SUBSTITUTE(INDEX($G$9:$G$2008,$W382),",",""))),""))</f>
        <v/>
      </c>
      <c r="AF382" s="29">
        <f>IF($W382="","",IFERROR(IF(ISNUMBER(INDEX($H$9:$H$2008,$W382)),INDEX($H$9:$H$2008,$W382),VALUE(SUBSTITUTE(INDEX($H$9:$H$2008,$W382),",",""))),""))</f>
        <v/>
      </c>
      <c r="AG382" s="29">
        <f>IF($W382="","",IFERROR(IF(ISNUMBER(INDEX($I$9:$I$2008,$W382)),INDEX($I$9:$I$2008,$W382),VALUE(SUBSTITUTE(INDEX($I$9:$I$2008,$W382),",",""))),""))</f>
        <v/>
      </c>
      <c r="AH382" s="29">
        <f>IF($W382="","",IFERROR(IF(ISNUMBER(INDEX($J$9:$J$2008,$W382)),INDEX($J$9:$J$2008,$W382),VALUE(SUBSTITUTE(INDEX($J$9:$J$2008,$W382),",",""))),""))</f>
        <v/>
      </c>
      <c r="AI382" s="29">
        <f>IF($W382="","",IFERROR(IF(ISNUMBER(INDEX($K$9:$K$2008,$W382)),INDEX($K$9:$K$2008,$W382),VALUE(SUBSTITUTE(INDEX($K$9:$K$2008,$W382),",",""))),""))</f>
        <v/>
      </c>
      <c r="AJ382" s="30">
        <f>IF($W382="","",IFERROR(IF(ISNUMBER(INDEX($L$9:$L$2008,$W382)),INDEX($L$9:$L$2008,$W382),VALUE(SUBSTITUTE(INDEX($L$9:$L$2008,$W382),",",""))),""))</f>
        <v/>
      </c>
      <c r="AK382" s="30">
        <f>IF($W382="","",IFERROR(IF(ISNUMBER(INDEX($M$9:$M$2008,$W382)),INDEX($M$9:$M$2008,$W382),VALUE(SUBSTITUTE(INDEX($M$9:$M$2008,$W382),",",""))),""))</f>
        <v/>
      </c>
      <c r="AL382" s="31">
        <f>IF($W382="","",IFERROR(IF(ISNUMBER(INDEX($P$9:$P$2008,$W382)),INDEX($P$9:$P$2008,$W382),VALUE(SUBSTITUTE(INDEX($P$9:$P$2008,$W382),"%",""))/100),""))</f>
        <v/>
      </c>
    </row>
    <row r="383">
      <c r="S383">
        <f>IF(AND(ISTEXT($A383),ISNUMBER(SEARCH(" - ",$A383)),ISERROR(SEARCH("Folio",$A383)),$D383=""),TRIM($A383),$S382)</f>
        <v/>
      </c>
      <c r="T383">
        <f>IF(AND(ISNUMBER(SEARCH("Folio",$A383)),$D383&lt;&gt;""),1,"")</f>
        <v/>
      </c>
      <c r="U383">
        <f>IF($T383=1,COUNTIF($T$9:$T383,1),"")</f>
        <v/>
      </c>
      <c r="V383">
        <f>IF(AND(ISTEXT($A383),LEFT($A384,3)="Pan"),1,"")</f>
        <v/>
      </c>
      <c r="W383" s="21">
        <f>IFERROR(MATCH(375,$U$9:$U$2008,0),"")</f>
        <v/>
      </c>
      <c r="X383" s="22">
        <f>IF($W383="","",IF($R$5&lt;&gt;"",$R$5,$R$6))</f>
        <v/>
      </c>
      <c r="Y383" s="22">
        <f>IF($W383="","",INDEX($S$9:$S$2008,$W383))</f>
        <v/>
      </c>
      <c r="Z383" s="22">
        <f>IF($W383="","",IFERROR(TRIM(LEFT(SUBSTITUTE(INDEX($A$9:$A$2008,$W383),CHAR(10)," "),SEARCH("Folio",SUBSTITUTE(INDEX($A$9:$A$2008,$W383),CHAR(10)," "))-1)),TRIM(SUBSTITUTE(INDEX($A$9:$A$2008,$W383),CHAR(10)," "))))</f>
        <v/>
      </c>
      <c r="AA383" s="22">
        <f>IF($W383="","",IFERROR(TRIM(SUBSTITUTE(MID(SUBSTITUTE(INDEX($A$9:$A$2008,$W383),CHAR(10)," "),SEARCH("Folio",SUBSTITUTE(INDEX($A$9:$A$2008,$W383),CHAR(10)," "))+5,200),":","")),""))</f>
        <v/>
      </c>
      <c r="AB383" s="23">
        <f>IF($W383="","",IF(ISNUMBER(INDEX($D$9:$D$2008,$W383)),INDEX($D$9:$D$2008,$W383),IFERROR(DATE(2000+VALUE(RIGHT(INDEX($D$9:$D$2008,$W383),2)),VALUE(MID(INDEX($D$9:$D$2008,$W383),4,2)),VALUE(LEFT(INDEX($D$9:$D$2008,$W383),2))),"")))</f>
        <v/>
      </c>
      <c r="AC383" s="24">
        <f>IF($W383="","",IFERROR(IF(ISNUMBER(INDEX($E$9:$E$2008,$W383)),INDEX($E$9:$E$2008,$W383),VALUE(SUBSTITUTE(INDEX($E$9:$E$2008,$W383),",",""))),""))</f>
        <v/>
      </c>
      <c r="AD383" s="24">
        <f>IF($W383="","",IFERROR(IF(ISNUMBER(INDEX($F$9:$F$2008,$W383)),INDEX($F$9:$F$2008,$W383),VALUE(SUBSTITUTE(INDEX($F$9:$F$2008,$W383),",",""))),""))</f>
        <v/>
      </c>
      <c r="AE383" s="24">
        <f>IF($W383="","",IFERROR(IF(ISNUMBER(INDEX($G$9:$G$2008,$W383)),INDEX($G$9:$G$2008,$W383),VALUE(SUBSTITUTE(INDEX($G$9:$G$2008,$W383),",",""))),""))</f>
        <v/>
      </c>
      <c r="AF383" s="24">
        <f>IF($W383="","",IFERROR(IF(ISNUMBER(INDEX($H$9:$H$2008,$W383)),INDEX($H$9:$H$2008,$W383),VALUE(SUBSTITUTE(INDEX($H$9:$H$2008,$W383),",",""))),""))</f>
        <v/>
      </c>
      <c r="AG383" s="24">
        <f>IF($W383="","",IFERROR(IF(ISNUMBER(INDEX($I$9:$I$2008,$W383)),INDEX($I$9:$I$2008,$W383),VALUE(SUBSTITUTE(INDEX($I$9:$I$2008,$W383),",",""))),""))</f>
        <v/>
      </c>
      <c r="AH383" s="24">
        <f>IF($W383="","",IFERROR(IF(ISNUMBER(INDEX($J$9:$J$2008,$W383)),INDEX($J$9:$J$2008,$W383),VALUE(SUBSTITUTE(INDEX($J$9:$J$2008,$W383),",",""))),""))</f>
        <v/>
      </c>
      <c r="AI383" s="24">
        <f>IF($W383="","",IFERROR(IF(ISNUMBER(INDEX($K$9:$K$2008,$W383)),INDEX($K$9:$K$2008,$W383),VALUE(SUBSTITUTE(INDEX($K$9:$K$2008,$W383),",",""))),""))</f>
        <v/>
      </c>
      <c r="AJ383" s="25">
        <f>IF($W383="","",IFERROR(IF(ISNUMBER(INDEX($L$9:$L$2008,$W383)),INDEX($L$9:$L$2008,$W383),VALUE(SUBSTITUTE(INDEX($L$9:$L$2008,$W383),",",""))),""))</f>
        <v/>
      </c>
      <c r="AK383" s="25">
        <f>IF($W383="","",IFERROR(IF(ISNUMBER(INDEX($M$9:$M$2008,$W383)),INDEX($M$9:$M$2008,$W383),VALUE(SUBSTITUTE(INDEX($M$9:$M$2008,$W383),",",""))),""))</f>
        <v/>
      </c>
      <c r="AL383" s="26">
        <f>IF($W383="","",IFERROR(IF(ISNUMBER(INDEX($P$9:$P$2008,$W383)),INDEX($P$9:$P$2008,$W383),VALUE(SUBSTITUTE(INDEX($P$9:$P$2008,$W383),"%",""))/100),""))</f>
        <v/>
      </c>
    </row>
    <row r="384">
      <c r="S384">
        <f>IF(AND(ISTEXT($A384),ISNUMBER(SEARCH(" - ",$A384)),ISERROR(SEARCH("Folio",$A384)),$D384=""),TRIM($A384),$S383)</f>
        <v/>
      </c>
      <c r="T384">
        <f>IF(AND(ISNUMBER(SEARCH("Folio",$A384)),$D384&lt;&gt;""),1,"")</f>
        <v/>
      </c>
      <c r="U384">
        <f>IF($T384=1,COUNTIF($T$9:$T384,1),"")</f>
        <v/>
      </c>
      <c r="V384">
        <f>IF(AND(ISTEXT($A384),LEFT($A385,3)="Pan"),1,"")</f>
        <v/>
      </c>
      <c r="W384" s="21">
        <f>IFERROR(MATCH(376,$U$9:$U$2008,0),"")</f>
        <v/>
      </c>
      <c r="X384" s="27">
        <f>IF($W384="","",IF($R$5&lt;&gt;"",$R$5,$R$6))</f>
        <v/>
      </c>
      <c r="Y384" s="27">
        <f>IF($W384="","",INDEX($S$9:$S$2008,$W384))</f>
        <v/>
      </c>
      <c r="Z384" s="27">
        <f>IF($W384="","",IFERROR(TRIM(LEFT(SUBSTITUTE(INDEX($A$9:$A$2008,$W384),CHAR(10)," "),SEARCH("Folio",SUBSTITUTE(INDEX($A$9:$A$2008,$W384),CHAR(10)," "))-1)),TRIM(SUBSTITUTE(INDEX($A$9:$A$2008,$W384),CHAR(10)," "))))</f>
        <v/>
      </c>
      <c r="AA384" s="27">
        <f>IF($W384="","",IFERROR(TRIM(SUBSTITUTE(MID(SUBSTITUTE(INDEX($A$9:$A$2008,$W384),CHAR(10)," "),SEARCH("Folio",SUBSTITUTE(INDEX($A$9:$A$2008,$W384),CHAR(10)," "))+5,200),":","")),""))</f>
        <v/>
      </c>
      <c r="AB384" s="28">
        <f>IF($W384="","",IF(ISNUMBER(INDEX($D$9:$D$2008,$W384)),INDEX($D$9:$D$2008,$W384),IFERROR(DATE(2000+VALUE(RIGHT(INDEX($D$9:$D$2008,$W384),2)),VALUE(MID(INDEX($D$9:$D$2008,$W384),4,2)),VALUE(LEFT(INDEX($D$9:$D$2008,$W384),2))),"")))</f>
        <v/>
      </c>
      <c r="AC384" s="29">
        <f>IF($W384="","",IFERROR(IF(ISNUMBER(INDEX($E$9:$E$2008,$W384)),INDEX($E$9:$E$2008,$W384),VALUE(SUBSTITUTE(INDEX($E$9:$E$2008,$W384),",",""))),""))</f>
        <v/>
      </c>
      <c r="AD384" s="29">
        <f>IF($W384="","",IFERROR(IF(ISNUMBER(INDEX($F$9:$F$2008,$W384)),INDEX($F$9:$F$2008,$W384),VALUE(SUBSTITUTE(INDEX($F$9:$F$2008,$W384),",",""))),""))</f>
        <v/>
      </c>
      <c r="AE384" s="29">
        <f>IF($W384="","",IFERROR(IF(ISNUMBER(INDEX($G$9:$G$2008,$W384)),INDEX($G$9:$G$2008,$W384),VALUE(SUBSTITUTE(INDEX($G$9:$G$2008,$W384),",",""))),""))</f>
        <v/>
      </c>
      <c r="AF384" s="29">
        <f>IF($W384="","",IFERROR(IF(ISNUMBER(INDEX($H$9:$H$2008,$W384)),INDEX($H$9:$H$2008,$W384),VALUE(SUBSTITUTE(INDEX($H$9:$H$2008,$W384),",",""))),""))</f>
        <v/>
      </c>
      <c r="AG384" s="29">
        <f>IF($W384="","",IFERROR(IF(ISNUMBER(INDEX($I$9:$I$2008,$W384)),INDEX($I$9:$I$2008,$W384),VALUE(SUBSTITUTE(INDEX($I$9:$I$2008,$W384),",",""))),""))</f>
        <v/>
      </c>
      <c r="AH384" s="29">
        <f>IF($W384="","",IFERROR(IF(ISNUMBER(INDEX($J$9:$J$2008,$W384)),INDEX($J$9:$J$2008,$W384),VALUE(SUBSTITUTE(INDEX($J$9:$J$2008,$W384),",",""))),""))</f>
        <v/>
      </c>
      <c r="AI384" s="29">
        <f>IF($W384="","",IFERROR(IF(ISNUMBER(INDEX($K$9:$K$2008,$W384)),INDEX($K$9:$K$2008,$W384),VALUE(SUBSTITUTE(INDEX($K$9:$K$2008,$W384),",",""))),""))</f>
        <v/>
      </c>
      <c r="AJ384" s="30">
        <f>IF($W384="","",IFERROR(IF(ISNUMBER(INDEX($L$9:$L$2008,$W384)),INDEX($L$9:$L$2008,$W384),VALUE(SUBSTITUTE(INDEX($L$9:$L$2008,$W384),",",""))),""))</f>
        <v/>
      </c>
      <c r="AK384" s="30">
        <f>IF($W384="","",IFERROR(IF(ISNUMBER(INDEX($M$9:$M$2008,$W384)),INDEX($M$9:$M$2008,$W384),VALUE(SUBSTITUTE(INDEX($M$9:$M$2008,$W384),",",""))),""))</f>
        <v/>
      </c>
      <c r="AL384" s="31">
        <f>IF($W384="","",IFERROR(IF(ISNUMBER(INDEX($P$9:$P$2008,$W384)),INDEX($P$9:$P$2008,$W384),VALUE(SUBSTITUTE(INDEX($P$9:$P$2008,$W384),"%",""))/100),""))</f>
        <v/>
      </c>
    </row>
    <row r="385">
      <c r="S385">
        <f>IF(AND(ISTEXT($A385),ISNUMBER(SEARCH(" - ",$A385)),ISERROR(SEARCH("Folio",$A385)),$D385=""),TRIM($A385),$S384)</f>
        <v/>
      </c>
      <c r="T385">
        <f>IF(AND(ISNUMBER(SEARCH("Folio",$A385)),$D385&lt;&gt;""),1,"")</f>
        <v/>
      </c>
      <c r="U385">
        <f>IF($T385=1,COUNTIF($T$9:$T385,1),"")</f>
        <v/>
      </c>
      <c r="V385">
        <f>IF(AND(ISTEXT($A385),LEFT($A386,3)="Pan"),1,"")</f>
        <v/>
      </c>
      <c r="W385" s="21">
        <f>IFERROR(MATCH(377,$U$9:$U$2008,0),"")</f>
        <v/>
      </c>
      <c r="X385" s="22">
        <f>IF($W385="","",IF($R$5&lt;&gt;"",$R$5,$R$6))</f>
        <v/>
      </c>
      <c r="Y385" s="22">
        <f>IF($W385="","",INDEX($S$9:$S$2008,$W385))</f>
        <v/>
      </c>
      <c r="Z385" s="22">
        <f>IF($W385="","",IFERROR(TRIM(LEFT(SUBSTITUTE(INDEX($A$9:$A$2008,$W385),CHAR(10)," "),SEARCH("Folio",SUBSTITUTE(INDEX($A$9:$A$2008,$W385),CHAR(10)," "))-1)),TRIM(SUBSTITUTE(INDEX($A$9:$A$2008,$W385),CHAR(10)," "))))</f>
        <v/>
      </c>
      <c r="AA385" s="22">
        <f>IF($W385="","",IFERROR(TRIM(SUBSTITUTE(MID(SUBSTITUTE(INDEX($A$9:$A$2008,$W385),CHAR(10)," "),SEARCH("Folio",SUBSTITUTE(INDEX($A$9:$A$2008,$W385),CHAR(10)," "))+5,200),":","")),""))</f>
        <v/>
      </c>
      <c r="AB385" s="23">
        <f>IF($W385="","",IF(ISNUMBER(INDEX($D$9:$D$2008,$W385)),INDEX($D$9:$D$2008,$W385),IFERROR(DATE(2000+VALUE(RIGHT(INDEX($D$9:$D$2008,$W385),2)),VALUE(MID(INDEX($D$9:$D$2008,$W385),4,2)),VALUE(LEFT(INDEX($D$9:$D$2008,$W385),2))),"")))</f>
        <v/>
      </c>
      <c r="AC385" s="24">
        <f>IF($W385="","",IFERROR(IF(ISNUMBER(INDEX($E$9:$E$2008,$W385)),INDEX($E$9:$E$2008,$W385),VALUE(SUBSTITUTE(INDEX($E$9:$E$2008,$W385),",",""))),""))</f>
        <v/>
      </c>
      <c r="AD385" s="24">
        <f>IF($W385="","",IFERROR(IF(ISNUMBER(INDEX($F$9:$F$2008,$W385)),INDEX($F$9:$F$2008,$W385),VALUE(SUBSTITUTE(INDEX($F$9:$F$2008,$W385),",",""))),""))</f>
        <v/>
      </c>
      <c r="AE385" s="24">
        <f>IF($W385="","",IFERROR(IF(ISNUMBER(INDEX($G$9:$G$2008,$W385)),INDEX($G$9:$G$2008,$W385),VALUE(SUBSTITUTE(INDEX($G$9:$G$2008,$W385),",",""))),""))</f>
        <v/>
      </c>
      <c r="AF385" s="24">
        <f>IF($W385="","",IFERROR(IF(ISNUMBER(INDEX($H$9:$H$2008,$W385)),INDEX($H$9:$H$2008,$W385),VALUE(SUBSTITUTE(INDEX($H$9:$H$2008,$W385),",",""))),""))</f>
        <v/>
      </c>
      <c r="AG385" s="24">
        <f>IF($W385="","",IFERROR(IF(ISNUMBER(INDEX($I$9:$I$2008,$W385)),INDEX($I$9:$I$2008,$W385),VALUE(SUBSTITUTE(INDEX($I$9:$I$2008,$W385),",",""))),""))</f>
        <v/>
      </c>
      <c r="AH385" s="24">
        <f>IF($W385="","",IFERROR(IF(ISNUMBER(INDEX($J$9:$J$2008,$W385)),INDEX($J$9:$J$2008,$W385),VALUE(SUBSTITUTE(INDEX($J$9:$J$2008,$W385),",",""))),""))</f>
        <v/>
      </c>
      <c r="AI385" s="24">
        <f>IF($W385="","",IFERROR(IF(ISNUMBER(INDEX($K$9:$K$2008,$W385)),INDEX($K$9:$K$2008,$W385),VALUE(SUBSTITUTE(INDEX($K$9:$K$2008,$W385),",",""))),""))</f>
        <v/>
      </c>
      <c r="AJ385" s="25">
        <f>IF($W385="","",IFERROR(IF(ISNUMBER(INDEX($L$9:$L$2008,$W385)),INDEX($L$9:$L$2008,$W385),VALUE(SUBSTITUTE(INDEX($L$9:$L$2008,$W385),",",""))),""))</f>
        <v/>
      </c>
      <c r="AK385" s="25">
        <f>IF($W385="","",IFERROR(IF(ISNUMBER(INDEX($M$9:$M$2008,$W385)),INDEX($M$9:$M$2008,$W385),VALUE(SUBSTITUTE(INDEX($M$9:$M$2008,$W385),",",""))),""))</f>
        <v/>
      </c>
      <c r="AL385" s="26">
        <f>IF($W385="","",IFERROR(IF(ISNUMBER(INDEX($P$9:$P$2008,$W385)),INDEX($P$9:$P$2008,$W385),VALUE(SUBSTITUTE(INDEX($P$9:$P$2008,$W385),"%",""))/100),""))</f>
        <v/>
      </c>
    </row>
    <row r="386">
      <c r="S386">
        <f>IF(AND(ISTEXT($A386),ISNUMBER(SEARCH(" - ",$A386)),ISERROR(SEARCH("Folio",$A386)),$D386=""),TRIM($A386),$S385)</f>
        <v/>
      </c>
      <c r="T386">
        <f>IF(AND(ISNUMBER(SEARCH("Folio",$A386)),$D386&lt;&gt;""),1,"")</f>
        <v/>
      </c>
      <c r="U386">
        <f>IF($T386=1,COUNTIF($T$9:$T386,1),"")</f>
        <v/>
      </c>
      <c r="V386">
        <f>IF(AND(ISTEXT($A386),LEFT($A387,3)="Pan"),1,"")</f>
        <v/>
      </c>
      <c r="W386" s="21">
        <f>IFERROR(MATCH(378,$U$9:$U$2008,0),"")</f>
        <v/>
      </c>
      <c r="X386" s="27">
        <f>IF($W386="","",IF($R$5&lt;&gt;"",$R$5,$R$6))</f>
        <v/>
      </c>
      <c r="Y386" s="27">
        <f>IF($W386="","",INDEX($S$9:$S$2008,$W386))</f>
        <v/>
      </c>
      <c r="Z386" s="27">
        <f>IF($W386="","",IFERROR(TRIM(LEFT(SUBSTITUTE(INDEX($A$9:$A$2008,$W386),CHAR(10)," "),SEARCH("Folio",SUBSTITUTE(INDEX($A$9:$A$2008,$W386),CHAR(10)," "))-1)),TRIM(SUBSTITUTE(INDEX($A$9:$A$2008,$W386),CHAR(10)," "))))</f>
        <v/>
      </c>
      <c r="AA386" s="27">
        <f>IF($W386="","",IFERROR(TRIM(SUBSTITUTE(MID(SUBSTITUTE(INDEX($A$9:$A$2008,$W386),CHAR(10)," "),SEARCH("Folio",SUBSTITUTE(INDEX($A$9:$A$2008,$W386),CHAR(10)," "))+5,200),":","")),""))</f>
        <v/>
      </c>
      <c r="AB386" s="28">
        <f>IF($W386="","",IF(ISNUMBER(INDEX($D$9:$D$2008,$W386)),INDEX($D$9:$D$2008,$W386),IFERROR(DATE(2000+VALUE(RIGHT(INDEX($D$9:$D$2008,$W386),2)),VALUE(MID(INDEX($D$9:$D$2008,$W386),4,2)),VALUE(LEFT(INDEX($D$9:$D$2008,$W386),2))),"")))</f>
        <v/>
      </c>
      <c r="AC386" s="29">
        <f>IF($W386="","",IFERROR(IF(ISNUMBER(INDEX($E$9:$E$2008,$W386)),INDEX($E$9:$E$2008,$W386),VALUE(SUBSTITUTE(INDEX($E$9:$E$2008,$W386),",",""))),""))</f>
        <v/>
      </c>
      <c r="AD386" s="29">
        <f>IF($W386="","",IFERROR(IF(ISNUMBER(INDEX($F$9:$F$2008,$W386)),INDEX($F$9:$F$2008,$W386),VALUE(SUBSTITUTE(INDEX($F$9:$F$2008,$W386),",",""))),""))</f>
        <v/>
      </c>
      <c r="AE386" s="29">
        <f>IF($W386="","",IFERROR(IF(ISNUMBER(INDEX($G$9:$G$2008,$W386)),INDEX($G$9:$G$2008,$W386),VALUE(SUBSTITUTE(INDEX($G$9:$G$2008,$W386),",",""))),""))</f>
        <v/>
      </c>
      <c r="AF386" s="29">
        <f>IF($W386="","",IFERROR(IF(ISNUMBER(INDEX($H$9:$H$2008,$W386)),INDEX($H$9:$H$2008,$W386),VALUE(SUBSTITUTE(INDEX($H$9:$H$2008,$W386),",",""))),""))</f>
        <v/>
      </c>
      <c r="AG386" s="29">
        <f>IF($W386="","",IFERROR(IF(ISNUMBER(INDEX($I$9:$I$2008,$W386)),INDEX($I$9:$I$2008,$W386),VALUE(SUBSTITUTE(INDEX($I$9:$I$2008,$W386),",",""))),""))</f>
        <v/>
      </c>
      <c r="AH386" s="29">
        <f>IF($W386="","",IFERROR(IF(ISNUMBER(INDEX($J$9:$J$2008,$W386)),INDEX($J$9:$J$2008,$W386),VALUE(SUBSTITUTE(INDEX($J$9:$J$2008,$W386),",",""))),""))</f>
        <v/>
      </c>
      <c r="AI386" s="29">
        <f>IF($W386="","",IFERROR(IF(ISNUMBER(INDEX($K$9:$K$2008,$W386)),INDEX($K$9:$K$2008,$W386),VALUE(SUBSTITUTE(INDEX($K$9:$K$2008,$W386),",",""))),""))</f>
        <v/>
      </c>
      <c r="AJ386" s="30">
        <f>IF($W386="","",IFERROR(IF(ISNUMBER(INDEX($L$9:$L$2008,$W386)),INDEX($L$9:$L$2008,$W386),VALUE(SUBSTITUTE(INDEX($L$9:$L$2008,$W386),",",""))),""))</f>
        <v/>
      </c>
      <c r="AK386" s="30">
        <f>IF($W386="","",IFERROR(IF(ISNUMBER(INDEX($M$9:$M$2008,$W386)),INDEX($M$9:$M$2008,$W386),VALUE(SUBSTITUTE(INDEX($M$9:$M$2008,$W386),",",""))),""))</f>
        <v/>
      </c>
      <c r="AL386" s="31">
        <f>IF($W386="","",IFERROR(IF(ISNUMBER(INDEX($P$9:$P$2008,$W386)),INDEX($P$9:$P$2008,$W386),VALUE(SUBSTITUTE(INDEX($P$9:$P$2008,$W386),"%",""))/100),""))</f>
        <v/>
      </c>
    </row>
    <row r="387">
      <c r="S387">
        <f>IF(AND(ISTEXT($A387),ISNUMBER(SEARCH(" - ",$A387)),ISERROR(SEARCH("Folio",$A387)),$D387=""),TRIM($A387),$S386)</f>
        <v/>
      </c>
      <c r="T387">
        <f>IF(AND(ISNUMBER(SEARCH("Folio",$A387)),$D387&lt;&gt;""),1,"")</f>
        <v/>
      </c>
      <c r="U387">
        <f>IF($T387=1,COUNTIF($T$9:$T387,1),"")</f>
        <v/>
      </c>
      <c r="V387">
        <f>IF(AND(ISTEXT($A387),LEFT($A388,3)="Pan"),1,"")</f>
        <v/>
      </c>
      <c r="W387" s="21">
        <f>IFERROR(MATCH(379,$U$9:$U$2008,0),"")</f>
        <v/>
      </c>
      <c r="X387" s="22">
        <f>IF($W387="","",IF($R$5&lt;&gt;"",$R$5,$R$6))</f>
        <v/>
      </c>
      <c r="Y387" s="22">
        <f>IF($W387="","",INDEX($S$9:$S$2008,$W387))</f>
        <v/>
      </c>
      <c r="Z387" s="22">
        <f>IF($W387="","",IFERROR(TRIM(LEFT(SUBSTITUTE(INDEX($A$9:$A$2008,$W387),CHAR(10)," "),SEARCH("Folio",SUBSTITUTE(INDEX($A$9:$A$2008,$W387),CHAR(10)," "))-1)),TRIM(SUBSTITUTE(INDEX($A$9:$A$2008,$W387),CHAR(10)," "))))</f>
        <v/>
      </c>
      <c r="AA387" s="22">
        <f>IF($W387="","",IFERROR(TRIM(SUBSTITUTE(MID(SUBSTITUTE(INDEX($A$9:$A$2008,$W387),CHAR(10)," "),SEARCH("Folio",SUBSTITUTE(INDEX($A$9:$A$2008,$W387),CHAR(10)," "))+5,200),":","")),""))</f>
        <v/>
      </c>
      <c r="AB387" s="23">
        <f>IF($W387="","",IF(ISNUMBER(INDEX($D$9:$D$2008,$W387)),INDEX($D$9:$D$2008,$W387),IFERROR(DATE(2000+VALUE(RIGHT(INDEX($D$9:$D$2008,$W387),2)),VALUE(MID(INDEX($D$9:$D$2008,$W387),4,2)),VALUE(LEFT(INDEX($D$9:$D$2008,$W387),2))),"")))</f>
        <v/>
      </c>
      <c r="AC387" s="24">
        <f>IF($W387="","",IFERROR(IF(ISNUMBER(INDEX($E$9:$E$2008,$W387)),INDEX($E$9:$E$2008,$W387),VALUE(SUBSTITUTE(INDEX($E$9:$E$2008,$W387),",",""))),""))</f>
        <v/>
      </c>
      <c r="AD387" s="24">
        <f>IF($W387="","",IFERROR(IF(ISNUMBER(INDEX($F$9:$F$2008,$W387)),INDEX($F$9:$F$2008,$W387),VALUE(SUBSTITUTE(INDEX($F$9:$F$2008,$W387),",",""))),""))</f>
        <v/>
      </c>
      <c r="AE387" s="24">
        <f>IF($W387="","",IFERROR(IF(ISNUMBER(INDEX($G$9:$G$2008,$W387)),INDEX($G$9:$G$2008,$W387),VALUE(SUBSTITUTE(INDEX($G$9:$G$2008,$W387),",",""))),""))</f>
        <v/>
      </c>
      <c r="AF387" s="24">
        <f>IF($W387="","",IFERROR(IF(ISNUMBER(INDEX($H$9:$H$2008,$W387)),INDEX($H$9:$H$2008,$W387),VALUE(SUBSTITUTE(INDEX($H$9:$H$2008,$W387),",",""))),""))</f>
        <v/>
      </c>
      <c r="AG387" s="24">
        <f>IF($W387="","",IFERROR(IF(ISNUMBER(INDEX($I$9:$I$2008,$W387)),INDEX($I$9:$I$2008,$W387),VALUE(SUBSTITUTE(INDEX($I$9:$I$2008,$W387),",",""))),""))</f>
        <v/>
      </c>
      <c r="AH387" s="24">
        <f>IF($W387="","",IFERROR(IF(ISNUMBER(INDEX($J$9:$J$2008,$W387)),INDEX($J$9:$J$2008,$W387),VALUE(SUBSTITUTE(INDEX($J$9:$J$2008,$W387),",",""))),""))</f>
        <v/>
      </c>
      <c r="AI387" s="24">
        <f>IF($W387="","",IFERROR(IF(ISNUMBER(INDEX($K$9:$K$2008,$W387)),INDEX($K$9:$K$2008,$W387),VALUE(SUBSTITUTE(INDEX($K$9:$K$2008,$W387),",",""))),""))</f>
        <v/>
      </c>
      <c r="AJ387" s="25">
        <f>IF($W387="","",IFERROR(IF(ISNUMBER(INDEX($L$9:$L$2008,$W387)),INDEX($L$9:$L$2008,$W387),VALUE(SUBSTITUTE(INDEX($L$9:$L$2008,$W387),",",""))),""))</f>
        <v/>
      </c>
      <c r="AK387" s="25">
        <f>IF($W387="","",IFERROR(IF(ISNUMBER(INDEX($M$9:$M$2008,$W387)),INDEX($M$9:$M$2008,$W387),VALUE(SUBSTITUTE(INDEX($M$9:$M$2008,$W387),",",""))),""))</f>
        <v/>
      </c>
      <c r="AL387" s="26">
        <f>IF($W387="","",IFERROR(IF(ISNUMBER(INDEX($P$9:$P$2008,$W387)),INDEX($P$9:$P$2008,$W387),VALUE(SUBSTITUTE(INDEX($P$9:$P$2008,$W387),"%",""))/100),""))</f>
        <v/>
      </c>
    </row>
    <row r="388">
      <c r="S388">
        <f>IF(AND(ISTEXT($A388),ISNUMBER(SEARCH(" - ",$A388)),ISERROR(SEARCH("Folio",$A388)),$D388=""),TRIM($A388),$S387)</f>
        <v/>
      </c>
      <c r="T388">
        <f>IF(AND(ISNUMBER(SEARCH("Folio",$A388)),$D388&lt;&gt;""),1,"")</f>
        <v/>
      </c>
      <c r="U388">
        <f>IF($T388=1,COUNTIF($T$9:$T388,1),"")</f>
        <v/>
      </c>
      <c r="V388">
        <f>IF(AND(ISTEXT($A388),LEFT($A389,3)="Pan"),1,"")</f>
        <v/>
      </c>
      <c r="W388" s="21">
        <f>IFERROR(MATCH(380,$U$9:$U$2008,0),"")</f>
        <v/>
      </c>
      <c r="X388" s="27">
        <f>IF($W388="","",IF($R$5&lt;&gt;"",$R$5,$R$6))</f>
        <v/>
      </c>
      <c r="Y388" s="27">
        <f>IF($W388="","",INDEX($S$9:$S$2008,$W388))</f>
        <v/>
      </c>
      <c r="Z388" s="27">
        <f>IF($W388="","",IFERROR(TRIM(LEFT(SUBSTITUTE(INDEX($A$9:$A$2008,$W388),CHAR(10)," "),SEARCH("Folio",SUBSTITUTE(INDEX($A$9:$A$2008,$W388),CHAR(10)," "))-1)),TRIM(SUBSTITUTE(INDEX($A$9:$A$2008,$W388),CHAR(10)," "))))</f>
        <v/>
      </c>
      <c r="AA388" s="27">
        <f>IF($W388="","",IFERROR(TRIM(SUBSTITUTE(MID(SUBSTITUTE(INDEX($A$9:$A$2008,$W388),CHAR(10)," "),SEARCH("Folio",SUBSTITUTE(INDEX($A$9:$A$2008,$W388),CHAR(10)," "))+5,200),":","")),""))</f>
        <v/>
      </c>
      <c r="AB388" s="28">
        <f>IF($W388="","",IF(ISNUMBER(INDEX($D$9:$D$2008,$W388)),INDEX($D$9:$D$2008,$W388),IFERROR(DATE(2000+VALUE(RIGHT(INDEX($D$9:$D$2008,$W388),2)),VALUE(MID(INDEX($D$9:$D$2008,$W388),4,2)),VALUE(LEFT(INDEX($D$9:$D$2008,$W388),2))),"")))</f>
        <v/>
      </c>
      <c r="AC388" s="29">
        <f>IF($W388="","",IFERROR(IF(ISNUMBER(INDEX($E$9:$E$2008,$W388)),INDEX($E$9:$E$2008,$W388),VALUE(SUBSTITUTE(INDEX($E$9:$E$2008,$W388),",",""))),""))</f>
        <v/>
      </c>
      <c r="AD388" s="29">
        <f>IF($W388="","",IFERROR(IF(ISNUMBER(INDEX($F$9:$F$2008,$W388)),INDEX($F$9:$F$2008,$W388),VALUE(SUBSTITUTE(INDEX($F$9:$F$2008,$W388),",",""))),""))</f>
        <v/>
      </c>
      <c r="AE388" s="29">
        <f>IF($W388="","",IFERROR(IF(ISNUMBER(INDEX($G$9:$G$2008,$W388)),INDEX($G$9:$G$2008,$W388),VALUE(SUBSTITUTE(INDEX($G$9:$G$2008,$W388),",",""))),""))</f>
        <v/>
      </c>
      <c r="AF388" s="29">
        <f>IF($W388="","",IFERROR(IF(ISNUMBER(INDEX($H$9:$H$2008,$W388)),INDEX($H$9:$H$2008,$W388),VALUE(SUBSTITUTE(INDEX($H$9:$H$2008,$W388),",",""))),""))</f>
        <v/>
      </c>
      <c r="AG388" s="29">
        <f>IF($W388="","",IFERROR(IF(ISNUMBER(INDEX($I$9:$I$2008,$W388)),INDEX($I$9:$I$2008,$W388),VALUE(SUBSTITUTE(INDEX($I$9:$I$2008,$W388),",",""))),""))</f>
        <v/>
      </c>
      <c r="AH388" s="29">
        <f>IF($W388="","",IFERROR(IF(ISNUMBER(INDEX($J$9:$J$2008,$W388)),INDEX($J$9:$J$2008,$W388),VALUE(SUBSTITUTE(INDEX($J$9:$J$2008,$W388),",",""))),""))</f>
        <v/>
      </c>
      <c r="AI388" s="29">
        <f>IF($W388="","",IFERROR(IF(ISNUMBER(INDEX($K$9:$K$2008,$W388)),INDEX($K$9:$K$2008,$W388),VALUE(SUBSTITUTE(INDEX($K$9:$K$2008,$W388),",",""))),""))</f>
        <v/>
      </c>
      <c r="AJ388" s="30">
        <f>IF($W388="","",IFERROR(IF(ISNUMBER(INDEX($L$9:$L$2008,$W388)),INDEX($L$9:$L$2008,$W388),VALUE(SUBSTITUTE(INDEX($L$9:$L$2008,$W388),",",""))),""))</f>
        <v/>
      </c>
      <c r="AK388" s="30">
        <f>IF($W388="","",IFERROR(IF(ISNUMBER(INDEX($M$9:$M$2008,$W388)),INDEX($M$9:$M$2008,$W388),VALUE(SUBSTITUTE(INDEX($M$9:$M$2008,$W388),",",""))),""))</f>
        <v/>
      </c>
      <c r="AL388" s="31">
        <f>IF($W388="","",IFERROR(IF(ISNUMBER(INDEX($P$9:$P$2008,$W388)),INDEX($P$9:$P$2008,$W388),VALUE(SUBSTITUTE(INDEX($P$9:$P$2008,$W388),"%",""))/100),""))</f>
        <v/>
      </c>
    </row>
    <row r="389">
      <c r="S389">
        <f>IF(AND(ISTEXT($A389),ISNUMBER(SEARCH(" - ",$A389)),ISERROR(SEARCH("Folio",$A389)),$D389=""),TRIM($A389),$S388)</f>
        <v/>
      </c>
      <c r="T389">
        <f>IF(AND(ISNUMBER(SEARCH("Folio",$A389)),$D389&lt;&gt;""),1,"")</f>
        <v/>
      </c>
      <c r="U389">
        <f>IF($T389=1,COUNTIF($T$9:$T389,1),"")</f>
        <v/>
      </c>
      <c r="V389">
        <f>IF(AND(ISTEXT($A389),LEFT($A390,3)="Pan"),1,"")</f>
        <v/>
      </c>
      <c r="W389" s="21">
        <f>IFERROR(MATCH(381,$U$9:$U$2008,0),"")</f>
        <v/>
      </c>
      <c r="X389" s="22">
        <f>IF($W389="","",IF($R$5&lt;&gt;"",$R$5,$R$6))</f>
        <v/>
      </c>
      <c r="Y389" s="22">
        <f>IF($W389="","",INDEX($S$9:$S$2008,$W389))</f>
        <v/>
      </c>
      <c r="Z389" s="22">
        <f>IF($W389="","",IFERROR(TRIM(LEFT(SUBSTITUTE(INDEX($A$9:$A$2008,$W389),CHAR(10)," "),SEARCH("Folio",SUBSTITUTE(INDEX($A$9:$A$2008,$W389),CHAR(10)," "))-1)),TRIM(SUBSTITUTE(INDEX($A$9:$A$2008,$W389),CHAR(10)," "))))</f>
        <v/>
      </c>
      <c r="AA389" s="22">
        <f>IF($W389="","",IFERROR(TRIM(SUBSTITUTE(MID(SUBSTITUTE(INDEX($A$9:$A$2008,$W389),CHAR(10)," "),SEARCH("Folio",SUBSTITUTE(INDEX($A$9:$A$2008,$W389),CHAR(10)," "))+5,200),":","")),""))</f>
        <v/>
      </c>
      <c r="AB389" s="23">
        <f>IF($W389="","",IF(ISNUMBER(INDEX($D$9:$D$2008,$W389)),INDEX($D$9:$D$2008,$W389),IFERROR(DATE(2000+VALUE(RIGHT(INDEX($D$9:$D$2008,$W389),2)),VALUE(MID(INDEX($D$9:$D$2008,$W389),4,2)),VALUE(LEFT(INDEX($D$9:$D$2008,$W389),2))),"")))</f>
        <v/>
      </c>
      <c r="AC389" s="24">
        <f>IF($W389="","",IFERROR(IF(ISNUMBER(INDEX($E$9:$E$2008,$W389)),INDEX($E$9:$E$2008,$W389),VALUE(SUBSTITUTE(INDEX($E$9:$E$2008,$W389),",",""))),""))</f>
        <v/>
      </c>
      <c r="AD389" s="24">
        <f>IF($W389="","",IFERROR(IF(ISNUMBER(INDEX($F$9:$F$2008,$W389)),INDEX($F$9:$F$2008,$W389),VALUE(SUBSTITUTE(INDEX($F$9:$F$2008,$W389),",",""))),""))</f>
        <v/>
      </c>
      <c r="AE389" s="24">
        <f>IF($W389="","",IFERROR(IF(ISNUMBER(INDEX($G$9:$G$2008,$W389)),INDEX($G$9:$G$2008,$W389),VALUE(SUBSTITUTE(INDEX($G$9:$G$2008,$W389),",",""))),""))</f>
        <v/>
      </c>
      <c r="AF389" s="24">
        <f>IF($W389="","",IFERROR(IF(ISNUMBER(INDEX($H$9:$H$2008,$W389)),INDEX($H$9:$H$2008,$W389),VALUE(SUBSTITUTE(INDEX($H$9:$H$2008,$W389),",",""))),""))</f>
        <v/>
      </c>
      <c r="AG389" s="24">
        <f>IF($W389="","",IFERROR(IF(ISNUMBER(INDEX($I$9:$I$2008,$W389)),INDEX($I$9:$I$2008,$W389),VALUE(SUBSTITUTE(INDEX($I$9:$I$2008,$W389),",",""))),""))</f>
        <v/>
      </c>
      <c r="AH389" s="24">
        <f>IF($W389="","",IFERROR(IF(ISNUMBER(INDEX($J$9:$J$2008,$W389)),INDEX($J$9:$J$2008,$W389),VALUE(SUBSTITUTE(INDEX($J$9:$J$2008,$W389),",",""))),""))</f>
        <v/>
      </c>
      <c r="AI389" s="24">
        <f>IF($W389="","",IFERROR(IF(ISNUMBER(INDEX($K$9:$K$2008,$W389)),INDEX($K$9:$K$2008,$W389),VALUE(SUBSTITUTE(INDEX($K$9:$K$2008,$W389),",",""))),""))</f>
        <v/>
      </c>
      <c r="AJ389" s="25">
        <f>IF($W389="","",IFERROR(IF(ISNUMBER(INDEX($L$9:$L$2008,$W389)),INDEX($L$9:$L$2008,$W389),VALUE(SUBSTITUTE(INDEX($L$9:$L$2008,$W389),",",""))),""))</f>
        <v/>
      </c>
      <c r="AK389" s="25">
        <f>IF($W389="","",IFERROR(IF(ISNUMBER(INDEX($M$9:$M$2008,$W389)),INDEX($M$9:$M$2008,$W389),VALUE(SUBSTITUTE(INDEX($M$9:$M$2008,$W389),",",""))),""))</f>
        <v/>
      </c>
      <c r="AL389" s="26">
        <f>IF($W389="","",IFERROR(IF(ISNUMBER(INDEX($P$9:$P$2008,$W389)),INDEX($P$9:$P$2008,$W389),VALUE(SUBSTITUTE(INDEX($P$9:$P$2008,$W389),"%",""))/100),""))</f>
        <v/>
      </c>
    </row>
    <row r="390">
      <c r="S390">
        <f>IF(AND(ISTEXT($A390),ISNUMBER(SEARCH(" - ",$A390)),ISERROR(SEARCH("Folio",$A390)),$D390=""),TRIM($A390),$S389)</f>
        <v/>
      </c>
      <c r="T390">
        <f>IF(AND(ISNUMBER(SEARCH("Folio",$A390)),$D390&lt;&gt;""),1,"")</f>
        <v/>
      </c>
      <c r="U390">
        <f>IF($T390=1,COUNTIF($T$9:$T390,1),"")</f>
        <v/>
      </c>
      <c r="V390">
        <f>IF(AND(ISTEXT($A390),LEFT($A391,3)="Pan"),1,"")</f>
        <v/>
      </c>
      <c r="W390" s="21">
        <f>IFERROR(MATCH(382,$U$9:$U$2008,0),"")</f>
        <v/>
      </c>
      <c r="X390" s="27">
        <f>IF($W390="","",IF($R$5&lt;&gt;"",$R$5,$R$6))</f>
        <v/>
      </c>
      <c r="Y390" s="27">
        <f>IF($W390="","",INDEX($S$9:$S$2008,$W390))</f>
        <v/>
      </c>
      <c r="Z390" s="27">
        <f>IF($W390="","",IFERROR(TRIM(LEFT(SUBSTITUTE(INDEX($A$9:$A$2008,$W390),CHAR(10)," "),SEARCH("Folio",SUBSTITUTE(INDEX($A$9:$A$2008,$W390),CHAR(10)," "))-1)),TRIM(SUBSTITUTE(INDEX($A$9:$A$2008,$W390),CHAR(10)," "))))</f>
        <v/>
      </c>
      <c r="AA390" s="27">
        <f>IF($W390="","",IFERROR(TRIM(SUBSTITUTE(MID(SUBSTITUTE(INDEX($A$9:$A$2008,$W390),CHAR(10)," "),SEARCH("Folio",SUBSTITUTE(INDEX($A$9:$A$2008,$W390),CHAR(10)," "))+5,200),":","")),""))</f>
        <v/>
      </c>
      <c r="AB390" s="28">
        <f>IF($W390="","",IF(ISNUMBER(INDEX($D$9:$D$2008,$W390)),INDEX($D$9:$D$2008,$W390),IFERROR(DATE(2000+VALUE(RIGHT(INDEX($D$9:$D$2008,$W390),2)),VALUE(MID(INDEX($D$9:$D$2008,$W390),4,2)),VALUE(LEFT(INDEX($D$9:$D$2008,$W390),2))),"")))</f>
        <v/>
      </c>
      <c r="AC390" s="29">
        <f>IF($W390="","",IFERROR(IF(ISNUMBER(INDEX($E$9:$E$2008,$W390)),INDEX($E$9:$E$2008,$W390),VALUE(SUBSTITUTE(INDEX($E$9:$E$2008,$W390),",",""))),""))</f>
        <v/>
      </c>
      <c r="AD390" s="29">
        <f>IF($W390="","",IFERROR(IF(ISNUMBER(INDEX($F$9:$F$2008,$W390)),INDEX($F$9:$F$2008,$W390),VALUE(SUBSTITUTE(INDEX($F$9:$F$2008,$W390),",",""))),""))</f>
        <v/>
      </c>
      <c r="AE390" s="29">
        <f>IF($W390="","",IFERROR(IF(ISNUMBER(INDEX($G$9:$G$2008,$W390)),INDEX($G$9:$G$2008,$W390),VALUE(SUBSTITUTE(INDEX($G$9:$G$2008,$W390),",",""))),""))</f>
        <v/>
      </c>
      <c r="AF390" s="29">
        <f>IF($W390="","",IFERROR(IF(ISNUMBER(INDEX($H$9:$H$2008,$W390)),INDEX($H$9:$H$2008,$W390),VALUE(SUBSTITUTE(INDEX($H$9:$H$2008,$W390),",",""))),""))</f>
        <v/>
      </c>
      <c r="AG390" s="29">
        <f>IF($W390="","",IFERROR(IF(ISNUMBER(INDEX($I$9:$I$2008,$W390)),INDEX($I$9:$I$2008,$W390),VALUE(SUBSTITUTE(INDEX($I$9:$I$2008,$W390),",",""))),""))</f>
        <v/>
      </c>
      <c r="AH390" s="29">
        <f>IF($W390="","",IFERROR(IF(ISNUMBER(INDEX($J$9:$J$2008,$W390)),INDEX($J$9:$J$2008,$W390),VALUE(SUBSTITUTE(INDEX($J$9:$J$2008,$W390),",",""))),""))</f>
        <v/>
      </c>
      <c r="AI390" s="29">
        <f>IF($W390="","",IFERROR(IF(ISNUMBER(INDEX($K$9:$K$2008,$W390)),INDEX($K$9:$K$2008,$W390),VALUE(SUBSTITUTE(INDEX($K$9:$K$2008,$W390),",",""))),""))</f>
        <v/>
      </c>
      <c r="AJ390" s="30">
        <f>IF($W390="","",IFERROR(IF(ISNUMBER(INDEX($L$9:$L$2008,$W390)),INDEX($L$9:$L$2008,$W390),VALUE(SUBSTITUTE(INDEX($L$9:$L$2008,$W390),",",""))),""))</f>
        <v/>
      </c>
      <c r="AK390" s="30">
        <f>IF($W390="","",IFERROR(IF(ISNUMBER(INDEX($M$9:$M$2008,$W390)),INDEX($M$9:$M$2008,$W390),VALUE(SUBSTITUTE(INDEX($M$9:$M$2008,$W390),",",""))),""))</f>
        <v/>
      </c>
      <c r="AL390" s="31">
        <f>IF($W390="","",IFERROR(IF(ISNUMBER(INDEX($P$9:$P$2008,$W390)),INDEX($P$9:$P$2008,$W390),VALUE(SUBSTITUTE(INDEX($P$9:$P$2008,$W390),"%",""))/100),""))</f>
        <v/>
      </c>
    </row>
    <row r="391">
      <c r="S391">
        <f>IF(AND(ISTEXT($A391),ISNUMBER(SEARCH(" - ",$A391)),ISERROR(SEARCH("Folio",$A391)),$D391=""),TRIM($A391),$S390)</f>
        <v/>
      </c>
      <c r="T391">
        <f>IF(AND(ISNUMBER(SEARCH("Folio",$A391)),$D391&lt;&gt;""),1,"")</f>
        <v/>
      </c>
      <c r="U391">
        <f>IF($T391=1,COUNTIF($T$9:$T391,1),"")</f>
        <v/>
      </c>
      <c r="V391">
        <f>IF(AND(ISTEXT($A391),LEFT($A392,3)="Pan"),1,"")</f>
        <v/>
      </c>
      <c r="W391" s="21">
        <f>IFERROR(MATCH(383,$U$9:$U$2008,0),"")</f>
        <v/>
      </c>
      <c r="X391" s="22">
        <f>IF($W391="","",IF($R$5&lt;&gt;"",$R$5,$R$6))</f>
        <v/>
      </c>
      <c r="Y391" s="22">
        <f>IF($W391="","",INDEX($S$9:$S$2008,$W391))</f>
        <v/>
      </c>
      <c r="Z391" s="22">
        <f>IF($W391="","",IFERROR(TRIM(LEFT(SUBSTITUTE(INDEX($A$9:$A$2008,$W391),CHAR(10)," "),SEARCH("Folio",SUBSTITUTE(INDEX($A$9:$A$2008,$W391),CHAR(10)," "))-1)),TRIM(SUBSTITUTE(INDEX($A$9:$A$2008,$W391),CHAR(10)," "))))</f>
        <v/>
      </c>
      <c r="AA391" s="22">
        <f>IF($W391="","",IFERROR(TRIM(SUBSTITUTE(MID(SUBSTITUTE(INDEX($A$9:$A$2008,$W391),CHAR(10)," "),SEARCH("Folio",SUBSTITUTE(INDEX($A$9:$A$2008,$W391),CHAR(10)," "))+5,200),":","")),""))</f>
        <v/>
      </c>
      <c r="AB391" s="23">
        <f>IF($W391="","",IF(ISNUMBER(INDEX($D$9:$D$2008,$W391)),INDEX($D$9:$D$2008,$W391),IFERROR(DATE(2000+VALUE(RIGHT(INDEX($D$9:$D$2008,$W391),2)),VALUE(MID(INDEX($D$9:$D$2008,$W391),4,2)),VALUE(LEFT(INDEX($D$9:$D$2008,$W391),2))),"")))</f>
        <v/>
      </c>
      <c r="AC391" s="24">
        <f>IF($W391="","",IFERROR(IF(ISNUMBER(INDEX($E$9:$E$2008,$W391)),INDEX($E$9:$E$2008,$W391),VALUE(SUBSTITUTE(INDEX($E$9:$E$2008,$W391),",",""))),""))</f>
        <v/>
      </c>
      <c r="AD391" s="24">
        <f>IF($W391="","",IFERROR(IF(ISNUMBER(INDEX($F$9:$F$2008,$W391)),INDEX($F$9:$F$2008,$W391),VALUE(SUBSTITUTE(INDEX($F$9:$F$2008,$W391),",",""))),""))</f>
        <v/>
      </c>
      <c r="AE391" s="24">
        <f>IF($W391="","",IFERROR(IF(ISNUMBER(INDEX($G$9:$G$2008,$W391)),INDEX($G$9:$G$2008,$W391),VALUE(SUBSTITUTE(INDEX($G$9:$G$2008,$W391),",",""))),""))</f>
        <v/>
      </c>
      <c r="AF391" s="24">
        <f>IF($W391="","",IFERROR(IF(ISNUMBER(INDEX($H$9:$H$2008,$W391)),INDEX($H$9:$H$2008,$W391),VALUE(SUBSTITUTE(INDEX($H$9:$H$2008,$W391),",",""))),""))</f>
        <v/>
      </c>
      <c r="AG391" s="24">
        <f>IF($W391="","",IFERROR(IF(ISNUMBER(INDEX($I$9:$I$2008,$W391)),INDEX($I$9:$I$2008,$W391),VALUE(SUBSTITUTE(INDEX($I$9:$I$2008,$W391),",",""))),""))</f>
        <v/>
      </c>
      <c r="AH391" s="24">
        <f>IF($W391="","",IFERROR(IF(ISNUMBER(INDEX($J$9:$J$2008,$W391)),INDEX($J$9:$J$2008,$W391),VALUE(SUBSTITUTE(INDEX($J$9:$J$2008,$W391),",",""))),""))</f>
        <v/>
      </c>
      <c r="AI391" s="24">
        <f>IF($W391="","",IFERROR(IF(ISNUMBER(INDEX($K$9:$K$2008,$W391)),INDEX($K$9:$K$2008,$W391),VALUE(SUBSTITUTE(INDEX($K$9:$K$2008,$W391),",",""))),""))</f>
        <v/>
      </c>
      <c r="AJ391" s="25">
        <f>IF($W391="","",IFERROR(IF(ISNUMBER(INDEX($L$9:$L$2008,$W391)),INDEX($L$9:$L$2008,$W391),VALUE(SUBSTITUTE(INDEX($L$9:$L$2008,$W391),",",""))),""))</f>
        <v/>
      </c>
      <c r="AK391" s="25">
        <f>IF($W391="","",IFERROR(IF(ISNUMBER(INDEX($M$9:$M$2008,$W391)),INDEX($M$9:$M$2008,$W391),VALUE(SUBSTITUTE(INDEX($M$9:$M$2008,$W391),",",""))),""))</f>
        <v/>
      </c>
      <c r="AL391" s="26">
        <f>IF($W391="","",IFERROR(IF(ISNUMBER(INDEX($P$9:$P$2008,$W391)),INDEX($P$9:$P$2008,$W391),VALUE(SUBSTITUTE(INDEX($P$9:$P$2008,$W391),"%",""))/100),""))</f>
        <v/>
      </c>
    </row>
    <row r="392">
      <c r="S392">
        <f>IF(AND(ISTEXT($A392),ISNUMBER(SEARCH(" - ",$A392)),ISERROR(SEARCH("Folio",$A392)),$D392=""),TRIM($A392),$S391)</f>
        <v/>
      </c>
      <c r="T392">
        <f>IF(AND(ISNUMBER(SEARCH("Folio",$A392)),$D392&lt;&gt;""),1,"")</f>
        <v/>
      </c>
      <c r="U392">
        <f>IF($T392=1,COUNTIF($T$9:$T392,1),"")</f>
        <v/>
      </c>
      <c r="V392">
        <f>IF(AND(ISTEXT($A392),LEFT($A393,3)="Pan"),1,"")</f>
        <v/>
      </c>
      <c r="W392" s="21">
        <f>IFERROR(MATCH(384,$U$9:$U$2008,0),"")</f>
        <v/>
      </c>
      <c r="X392" s="27">
        <f>IF($W392="","",IF($R$5&lt;&gt;"",$R$5,$R$6))</f>
        <v/>
      </c>
      <c r="Y392" s="27">
        <f>IF($W392="","",INDEX($S$9:$S$2008,$W392))</f>
        <v/>
      </c>
      <c r="Z392" s="27">
        <f>IF($W392="","",IFERROR(TRIM(LEFT(SUBSTITUTE(INDEX($A$9:$A$2008,$W392),CHAR(10)," "),SEARCH("Folio",SUBSTITUTE(INDEX($A$9:$A$2008,$W392),CHAR(10)," "))-1)),TRIM(SUBSTITUTE(INDEX($A$9:$A$2008,$W392),CHAR(10)," "))))</f>
        <v/>
      </c>
      <c r="AA392" s="27">
        <f>IF($W392="","",IFERROR(TRIM(SUBSTITUTE(MID(SUBSTITUTE(INDEX($A$9:$A$2008,$W392),CHAR(10)," "),SEARCH("Folio",SUBSTITUTE(INDEX($A$9:$A$2008,$W392),CHAR(10)," "))+5,200),":","")),""))</f>
        <v/>
      </c>
      <c r="AB392" s="28">
        <f>IF($W392="","",IF(ISNUMBER(INDEX($D$9:$D$2008,$W392)),INDEX($D$9:$D$2008,$W392),IFERROR(DATE(2000+VALUE(RIGHT(INDEX($D$9:$D$2008,$W392),2)),VALUE(MID(INDEX($D$9:$D$2008,$W392),4,2)),VALUE(LEFT(INDEX($D$9:$D$2008,$W392),2))),"")))</f>
        <v/>
      </c>
      <c r="AC392" s="29">
        <f>IF($W392="","",IFERROR(IF(ISNUMBER(INDEX($E$9:$E$2008,$W392)),INDEX($E$9:$E$2008,$W392),VALUE(SUBSTITUTE(INDEX($E$9:$E$2008,$W392),",",""))),""))</f>
        <v/>
      </c>
      <c r="AD392" s="29">
        <f>IF($W392="","",IFERROR(IF(ISNUMBER(INDEX($F$9:$F$2008,$W392)),INDEX($F$9:$F$2008,$W392),VALUE(SUBSTITUTE(INDEX($F$9:$F$2008,$W392),",",""))),""))</f>
        <v/>
      </c>
      <c r="AE392" s="29">
        <f>IF($W392="","",IFERROR(IF(ISNUMBER(INDEX($G$9:$G$2008,$W392)),INDEX($G$9:$G$2008,$W392),VALUE(SUBSTITUTE(INDEX($G$9:$G$2008,$W392),",",""))),""))</f>
        <v/>
      </c>
      <c r="AF392" s="29">
        <f>IF($W392="","",IFERROR(IF(ISNUMBER(INDEX($H$9:$H$2008,$W392)),INDEX($H$9:$H$2008,$W392),VALUE(SUBSTITUTE(INDEX($H$9:$H$2008,$W392),",",""))),""))</f>
        <v/>
      </c>
      <c r="AG392" s="29">
        <f>IF($W392="","",IFERROR(IF(ISNUMBER(INDEX($I$9:$I$2008,$W392)),INDEX($I$9:$I$2008,$W392),VALUE(SUBSTITUTE(INDEX($I$9:$I$2008,$W392),",",""))),""))</f>
        <v/>
      </c>
      <c r="AH392" s="29">
        <f>IF($W392="","",IFERROR(IF(ISNUMBER(INDEX($J$9:$J$2008,$W392)),INDEX($J$9:$J$2008,$W392),VALUE(SUBSTITUTE(INDEX($J$9:$J$2008,$W392),",",""))),""))</f>
        <v/>
      </c>
      <c r="AI392" s="29">
        <f>IF($W392="","",IFERROR(IF(ISNUMBER(INDEX($K$9:$K$2008,$W392)),INDEX($K$9:$K$2008,$W392),VALUE(SUBSTITUTE(INDEX($K$9:$K$2008,$W392),",",""))),""))</f>
        <v/>
      </c>
      <c r="AJ392" s="30">
        <f>IF($W392="","",IFERROR(IF(ISNUMBER(INDEX($L$9:$L$2008,$W392)),INDEX($L$9:$L$2008,$W392),VALUE(SUBSTITUTE(INDEX($L$9:$L$2008,$W392),",",""))),""))</f>
        <v/>
      </c>
      <c r="AK392" s="30">
        <f>IF($W392="","",IFERROR(IF(ISNUMBER(INDEX($M$9:$M$2008,$W392)),INDEX($M$9:$M$2008,$W392),VALUE(SUBSTITUTE(INDEX($M$9:$M$2008,$W392),",",""))),""))</f>
        <v/>
      </c>
      <c r="AL392" s="31">
        <f>IF($W392="","",IFERROR(IF(ISNUMBER(INDEX($P$9:$P$2008,$W392)),INDEX($P$9:$P$2008,$W392),VALUE(SUBSTITUTE(INDEX($P$9:$P$2008,$W392),"%",""))/100),""))</f>
        <v/>
      </c>
    </row>
    <row r="393">
      <c r="S393">
        <f>IF(AND(ISTEXT($A393),ISNUMBER(SEARCH(" - ",$A393)),ISERROR(SEARCH("Folio",$A393)),$D393=""),TRIM($A393),$S392)</f>
        <v/>
      </c>
      <c r="T393">
        <f>IF(AND(ISNUMBER(SEARCH("Folio",$A393)),$D393&lt;&gt;""),1,"")</f>
        <v/>
      </c>
      <c r="U393">
        <f>IF($T393=1,COUNTIF($T$9:$T393,1),"")</f>
        <v/>
      </c>
      <c r="V393">
        <f>IF(AND(ISTEXT($A393),LEFT($A394,3)="Pan"),1,"")</f>
        <v/>
      </c>
      <c r="W393" s="21">
        <f>IFERROR(MATCH(385,$U$9:$U$2008,0),"")</f>
        <v/>
      </c>
      <c r="X393" s="22">
        <f>IF($W393="","",IF($R$5&lt;&gt;"",$R$5,$R$6))</f>
        <v/>
      </c>
      <c r="Y393" s="22">
        <f>IF($W393="","",INDEX($S$9:$S$2008,$W393))</f>
        <v/>
      </c>
      <c r="Z393" s="22">
        <f>IF($W393="","",IFERROR(TRIM(LEFT(SUBSTITUTE(INDEX($A$9:$A$2008,$W393),CHAR(10)," "),SEARCH("Folio",SUBSTITUTE(INDEX($A$9:$A$2008,$W393),CHAR(10)," "))-1)),TRIM(SUBSTITUTE(INDEX($A$9:$A$2008,$W393),CHAR(10)," "))))</f>
        <v/>
      </c>
      <c r="AA393" s="22">
        <f>IF($W393="","",IFERROR(TRIM(SUBSTITUTE(MID(SUBSTITUTE(INDEX($A$9:$A$2008,$W393),CHAR(10)," "),SEARCH("Folio",SUBSTITUTE(INDEX($A$9:$A$2008,$W393),CHAR(10)," "))+5,200),":","")),""))</f>
        <v/>
      </c>
      <c r="AB393" s="23">
        <f>IF($W393="","",IF(ISNUMBER(INDEX($D$9:$D$2008,$W393)),INDEX($D$9:$D$2008,$W393),IFERROR(DATE(2000+VALUE(RIGHT(INDEX($D$9:$D$2008,$W393),2)),VALUE(MID(INDEX($D$9:$D$2008,$W393),4,2)),VALUE(LEFT(INDEX($D$9:$D$2008,$W393),2))),"")))</f>
        <v/>
      </c>
      <c r="AC393" s="24">
        <f>IF($W393="","",IFERROR(IF(ISNUMBER(INDEX($E$9:$E$2008,$W393)),INDEX($E$9:$E$2008,$W393),VALUE(SUBSTITUTE(INDEX($E$9:$E$2008,$W393),",",""))),""))</f>
        <v/>
      </c>
      <c r="AD393" s="24">
        <f>IF($W393="","",IFERROR(IF(ISNUMBER(INDEX($F$9:$F$2008,$W393)),INDEX($F$9:$F$2008,$W393),VALUE(SUBSTITUTE(INDEX($F$9:$F$2008,$W393),",",""))),""))</f>
        <v/>
      </c>
      <c r="AE393" s="24">
        <f>IF($W393="","",IFERROR(IF(ISNUMBER(INDEX($G$9:$G$2008,$W393)),INDEX($G$9:$G$2008,$W393),VALUE(SUBSTITUTE(INDEX($G$9:$G$2008,$W393),",",""))),""))</f>
        <v/>
      </c>
      <c r="AF393" s="24">
        <f>IF($W393="","",IFERROR(IF(ISNUMBER(INDEX($H$9:$H$2008,$W393)),INDEX($H$9:$H$2008,$W393),VALUE(SUBSTITUTE(INDEX($H$9:$H$2008,$W393),",",""))),""))</f>
        <v/>
      </c>
      <c r="AG393" s="24">
        <f>IF($W393="","",IFERROR(IF(ISNUMBER(INDEX($I$9:$I$2008,$W393)),INDEX($I$9:$I$2008,$W393),VALUE(SUBSTITUTE(INDEX($I$9:$I$2008,$W393),",",""))),""))</f>
        <v/>
      </c>
      <c r="AH393" s="24">
        <f>IF($W393="","",IFERROR(IF(ISNUMBER(INDEX($J$9:$J$2008,$W393)),INDEX($J$9:$J$2008,$W393),VALUE(SUBSTITUTE(INDEX($J$9:$J$2008,$W393),",",""))),""))</f>
        <v/>
      </c>
      <c r="AI393" s="24">
        <f>IF($W393="","",IFERROR(IF(ISNUMBER(INDEX($K$9:$K$2008,$W393)),INDEX($K$9:$K$2008,$W393),VALUE(SUBSTITUTE(INDEX($K$9:$K$2008,$W393),",",""))),""))</f>
        <v/>
      </c>
      <c r="AJ393" s="25">
        <f>IF($W393="","",IFERROR(IF(ISNUMBER(INDEX($L$9:$L$2008,$W393)),INDEX($L$9:$L$2008,$W393),VALUE(SUBSTITUTE(INDEX($L$9:$L$2008,$W393),",",""))),""))</f>
        <v/>
      </c>
      <c r="AK393" s="25">
        <f>IF($W393="","",IFERROR(IF(ISNUMBER(INDEX($M$9:$M$2008,$W393)),INDEX($M$9:$M$2008,$W393),VALUE(SUBSTITUTE(INDEX($M$9:$M$2008,$W393),",",""))),""))</f>
        <v/>
      </c>
      <c r="AL393" s="26">
        <f>IF($W393="","",IFERROR(IF(ISNUMBER(INDEX($P$9:$P$2008,$W393)),INDEX($P$9:$P$2008,$W393),VALUE(SUBSTITUTE(INDEX($P$9:$P$2008,$W393),"%",""))/100),""))</f>
        <v/>
      </c>
    </row>
    <row r="394">
      <c r="S394">
        <f>IF(AND(ISTEXT($A394),ISNUMBER(SEARCH(" - ",$A394)),ISERROR(SEARCH("Folio",$A394)),$D394=""),TRIM($A394),$S393)</f>
        <v/>
      </c>
      <c r="T394">
        <f>IF(AND(ISNUMBER(SEARCH("Folio",$A394)),$D394&lt;&gt;""),1,"")</f>
        <v/>
      </c>
      <c r="U394">
        <f>IF($T394=1,COUNTIF($T$9:$T394,1),"")</f>
        <v/>
      </c>
      <c r="V394">
        <f>IF(AND(ISTEXT($A394),LEFT($A395,3)="Pan"),1,"")</f>
        <v/>
      </c>
      <c r="W394" s="21">
        <f>IFERROR(MATCH(386,$U$9:$U$2008,0),"")</f>
        <v/>
      </c>
      <c r="X394" s="27">
        <f>IF($W394="","",IF($R$5&lt;&gt;"",$R$5,$R$6))</f>
        <v/>
      </c>
      <c r="Y394" s="27">
        <f>IF($W394="","",INDEX($S$9:$S$2008,$W394))</f>
        <v/>
      </c>
      <c r="Z394" s="27">
        <f>IF($W394="","",IFERROR(TRIM(LEFT(SUBSTITUTE(INDEX($A$9:$A$2008,$W394),CHAR(10)," "),SEARCH("Folio",SUBSTITUTE(INDEX($A$9:$A$2008,$W394),CHAR(10)," "))-1)),TRIM(SUBSTITUTE(INDEX($A$9:$A$2008,$W394),CHAR(10)," "))))</f>
        <v/>
      </c>
      <c r="AA394" s="27">
        <f>IF($W394="","",IFERROR(TRIM(SUBSTITUTE(MID(SUBSTITUTE(INDEX($A$9:$A$2008,$W394),CHAR(10)," "),SEARCH("Folio",SUBSTITUTE(INDEX($A$9:$A$2008,$W394),CHAR(10)," "))+5,200),":","")),""))</f>
        <v/>
      </c>
      <c r="AB394" s="28">
        <f>IF($W394="","",IF(ISNUMBER(INDEX($D$9:$D$2008,$W394)),INDEX($D$9:$D$2008,$W394),IFERROR(DATE(2000+VALUE(RIGHT(INDEX($D$9:$D$2008,$W394),2)),VALUE(MID(INDEX($D$9:$D$2008,$W394),4,2)),VALUE(LEFT(INDEX($D$9:$D$2008,$W394),2))),"")))</f>
        <v/>
      </c>
      <c r="AC394" s="29">
        <f>IF($W394="","",IFERROR(IF(ISNUMBER(INDEX($E$9:$E$2008,$W394)),INDEX($E$9:$E$2008,$W394),VALUE(SUBSTITUTE(INDEX($E$9:$E$2008,$W394),",",""))),""))</f>
        <v/>
      </c>
      <c r="AD394" s="29">
        <f>IF($W394="","",IFERROR(IF(ISNUMBER(INDEX($F$9:$F$2008,$W394)),INDEX($F$9:$F$2008,$W394),VALUE(SUBSTITUTE(INDEX($F$9:$F$2008,$W394),",",""))),""))</f>
        <v/>
      </c>
      <c r="AE394" s="29">
        <f>IF($W394="","",IFERROR(IF(ISNUMBER(INDEX($G$9:$G$2008,$W394)),INDEX($G$9:$G$2008,$W394),VALUE(SUBSTITUTE(INDEX($G$9:$G$2008,$W394),",",""))),""))</f>
        <v/>
      </c>
      <c r="AF394" s="29">
        <f>IF($W394="","",IFERROR(IF(ISNUMBER(INDEX($H$9:$H$2008,$W394)),INDEX($H$9:$H$2008,$W394),VALUE(SUBSTITUTE(INDEX($H$9:$H$2008,$W394),",",""))),""))</f>
        <v/>
      </c>
      <c r="AG394" s="29">
        <f>IF($W394="","",IFERROR(IF(ISNUMBER(INDEX($I$9:$I$2008,$W394)),INDEX($I$9:$I$2008,$W394),VALUE(SUBSTITUTE(INDEX($I$9:$I$2008,$W394),",",""))),""))</f>
        <v/>
      </c>
      <c r="AH394" s="29">
        <f>IF($W394="","",IFERROR(IF(ISNUMBER(INDEX($J$9:$J$2008,$W394)),INDEX($J$9:$J$2008,$W394),VALUE(SUBSTITUTE(INDEX($J$9:$J$2008,$W394),",",""))),""))</f>
        <v/>
      </c>
      <c r="AI394" s="29">
        <f>IF($W394="","",IFERROR(IF(ISNUMBER(INDEX($K$9:$K$2008,$W394)),INDEX($K$9:$K$2008,$W394),VALUE(SUBSTITUTE(INDEX($K$9:$K$2008,$W394),",",""))),""))</f>
        <v/>
      </c>
      <c r="AJ394" s="30">
        <f>IF($W394="","",IFERROR(IF(ISNUMBER(INDEX($L$9:$L$2008,$W394)),INDEX($L$9:$L$2008,$W394),VALUE(SUBSTITUTE(INDEX($L$9:$L$2008,$W394),",",""))),""))</f>
        <v/>
      </c>
      <c r="AK394" s="30">
        <f>IF($W394="","",IFERROR(IF(ISNUMBER(INDEX($M$9:$M$2008,$W394)),INDEX($M$9:$M$2008,$W394),VALUE(SUBSTITUTE(INDEX($M$9:$M$2008,$W394),",",""))),""))</f>
        <v/>
      </c>
      <c r="AL394" s="31">
        <f>IF($W394="","",IFERROR(IF(ISNUMBER(INDEX($P$9:$P$2008,$W394)),INDEX($P$9:$P$2008,$W394),VALUE(SUBSTITUTE(INDEX($P$9:$P$2008,$W394),"%",""))/100),""))</f>
        <v/>
      </c>
    </row>
    <row r="395">
      <c r="S395">
        <f>IF(AND(ISTEXT($A395),ISNUMBER(SEARCH(" - ",$A395)),ISERROR(SEARCH("Folio",$A395)),$D395=""),TRIM($A395),$S394)</f>
        <v/>
      </c>
      <c r="T395">
        <f>IF(AND(ISNUMBER(SEARCH("Folio",$A395)),$D395&lt;&gt;""),1,"")</f>
        <v/>
      </c>
      <c r="U395">
        <f>IF($T395=1,COUNTIF($T$9:$T395,1),"")</f>
        <v/>
      </c>
      <c r="V395">
        <f>IF(AND(ISTEXT($A395),LEFT($A396,3)="Pan"),1,"")</f>
        <v/>
      </c>
      <c r="W395" s="21">
        <f>IFERROR(MATCH(387,$U$9:$U$2008,0),"")</f>
        <v/>
      </c>
      <c r="X395" s="22">
        <f>IF($W395="","",IF($R$5&lt;&gt;"",$R$5,$R$6))</f>
        <v/>
      </c>
      <c r="Y395" s="22">
        <f>IF($W395="","",INDEX($S$9:$S$2008,$W395))</f>
        <v/>
      </c>
      <c r="Z395" s="22">
        <f>IF($W395="","",IFERROR(TRIM(LEFT(SUBSTITUTE(INDEX($A$9:$A$2008,$W395),CHAR(10)," "),SEARCH("Folio",SUBSTITUTE(INDEX($A$9:$A$2008,$W395),CHAR(10)," "))-1)),TRIM(SUBSTITUTE(INDEX($A$9:$A$2008,$W395),CHAR(10)," "))))</f>
        <v/>
      </c>
      <c r="AA395" s="22">
        <f>IF($W395="","",IFERROR(TRIM(SUBSTITUTE(MID(SUBSTITUTE(INDEX($A$9:$A$2008,$W395),CHAR(10)," "),SEARCH("Folio",SUBSTITUTE(INDEX($A$9:$A$2008,$W395),CHAR(10)," "))+5,200),":","")),""))</f>
        <v/>
      </c>
      <c r="AB395" s="23">
        <f>IF($W395="","",IF(ISNUMBER(INDEX($D$9:$D$2008,$W395)),INDEX($D$9:$D$2008,$W395),IFERROR(DATE(2000+VALUE(RIGHT(INDEX($D$9:$D$2008,$W395),2)),VALUE(MID(INDEX($D$9:$D$2008,$W395),4,2)),VALUE(LEFT(INDEX($D$9:$D$2008,$W395),2))),"")))</f>
        <v/>
      </c>
      <c r="AC395" s="24">
        <f>IF($W395="","",IFERROR(IF(ISNUMBER(INDEX($E$9:$E$2008,$W395)),INDEX($E$9:$E$2008,$W395),VALUE(SUBSTITUTE(INDEX($E$9:$E$2008,$W395),",",""))),""))</f>
        <v/>
      </c>
      <c r="AD395" s="24">
        <f>IF($W395="","",IFERROR(IF(ISNUMBER(INDEX($F$9:$F$2008,$W395)),INDEX($F$9:$F$2008,$W395),VALUE(SUBSTITUTE(INDEX($F$9:$F$2008,$W395),",",""))),""))</f>
        <v/>
      </c>
      <c r="AE395" s="24">
        <f>IF($W395="","",IFERROR(IF(ISNUMBER(INDEX($G$9:$G$2008,$W395)),INDEX($G$9:$G$2008,$W395),VALUE(SUBSTITUTE(INDEX($G$9:$G$2008,$W395),",",""))),""))</f>
        <v/>
      </c>
      <c r="AF395" s="24">
        <f>IF($W395="","",IFERROR(IF(ISNUMBER(INDEX($H$9:$H$2008,$W395)),INDEX($H$9:$H$2008,$W395),VALUE(SUBSTITUTE(INDEX($H$9:$H$2008,$W395),",",""))),""))</f>
        <v/>
      </c>
      <c r="AG395" s="24">
        <f>IF($W395="","",IFERROR(IF(ISNUMBER(INDEX($I$9:$I$2008,$W395)),INDEX($I$9:$I$2008,$W395),VALUE(SUBSTITUTE(INDEX($I$9:$I$2008,$W395),",",""))),""))</f>
        <v/>
      </c>
      <c r="AH395" s="24">
        <f>IF($W395="","",IFERROR(IF(ISNUMBER(INDEX($J$9:$J$2008,$W395)),INDEX($J$9:$J$2008,$W395),VALUE(SUBSTITUTE(INDEX($J$9:$J$2008,$W395),",",""))),""))</f>
        <v/>
      </c>
      <c r="AI395" s="24">
        <f>IF($W395="","",IFERROR(IF(ISNUMBER(INDEX($K$9:$K$2008,$W395)),INDEX($K$9:$K$2008,$W395),VALUE(SUBSTITUTE(INDEX($K$9:$K$2008,$W395),",",""))),""))</f>
        <v/>
      </c>
      <c r="AJ395" s="25">
        <f>IF($W395="","",IFERROR(IF(ISNUMBER(INDEX($L$9:$L$2008,$W395)),INDEX($L$9:$L$2008,$W395),VALUE(SUBSTITUTE(INDEX($L$9:$L$2008,$W395),",",""))),""))</f>
        <v/>
      </c>
      <c r="AK395" s="25">
        <f>IF($W395="","",IFERROR(IF(ISNUMBER(INDEX($M$9:$M$2008,$W395)),INDEX($M$9:$M$2008,$W395),VALUE(SUBSTITUTE(INDEX($M$9:$M$2008,$W395),",",""))),""))</f>
        <v/>
      </c>
      <c r="AL395" s="26">
        <f>IF($W395="","",IFERROR(IF(ISNUMBER(INDEX($P$9:$P$2008,$W395)),INDEX($P$9:$P$2008,$W395),VALUE(SUBSTITUTE(INDEX($P$9:$P$2008,$W395),"%",""))/100),""))</f>
        <v/>
      </c>
    </row>
    <row r="396">
      <c r="S396">
        <f>IF(AND(ISTEXT($A396),ISNUMBER(SEARCH(" - ",$A396)),ISERROR(SEARCH("Folio",$A396)),$D396=""),TRIM($A396),$S395)</f>
        <v/>
      </c>
      <c r="T396">
        <f>IF(AND(ISNUMBER(SEARCH("Folio",$A396)),$D396&lt;&gt;""),1,"")</f>
        <v/>
      </c>
      <c r="U396">
        <f>IF($T396=1,COUNTIF($T$9:$T396,1),"")</f>
        <v/>
      </c>
      <c r="V396">
        <f>IF(AND(ISTEXT($A396),LEFT($A397,3)="Pan"),1,"")</f>
        <v/>
      </c>
      <c r="W396" s="21">
        <f>IFERROR(MATCH(388,$U$9:$U$2008,0),"")</f>
        <v/>
      </c>
      <c r="X396" s="27">
        <f>IF($W396="","",IF($R$5&lt;&gt;"",$R$5,$R$6))</f>
        <v/>
      </c>
      <c r="Y396" s="27">
        <f>IF($W396="","",INDEX($S$9:$S$2008,$W396))</f>
        <v/>
      </c>
      <c r="Z396" s="27">
        <f>IF($W396="","",IFERROR(TRIM(LEFT(SUBSTITUTE(INDEX($A$9:$A$2008,$W396),CHAR(10)," "),SEARCH("Folio",SUBSTITUTE(INDEX($A$9:$A$2008,$W396),CHAR(10)," "))-1)),TRIM(SUBSTITUTE(INDEX($A$9:$A$2008,$W396),CHAR(10)," "))))</f>
        <v/>
      </c>
      <c r="AA396" s="27">
        <f>IF($W396="","",IFERROR(TRIM(SUBSTITUTE(MID(SUBSTITUTE(INDEX($A$9:$A$2008,$W396),CHAR(10)," "),SEARCH("Folio",SUBSTITUTE(INDEX($A$9:$A$2008,$W396),CHAR(10)," "))+5,200),":","")),""))</f>
        <v/>
      </c>
      <c r="AB396" s="28">
        <f>IF($W396="","",IF(ISNUMBER(INDEX($D$9:$D$2008,$W396)),INDEX($D$9:$D$2008,$W396),IFERROR(DATE(2000+VALUE(RIGHT(INDEX($D$9:$D$2008,$W396),2)),VALUE(MID(INDEX($D$9:$D$2008,$W396),4,2)),VALUE(LEFT(INDEX($D$9:$D$2008,$W396),2))),"")))</f>
        <v/>
      </c>
      <c r="AC396" s="29">
        <f>IF($W396="","",IFERROR(IF(ISNUMBER(INDEX($E$9:$E$2008,$W396)),INDEX($E$9:$E$2008,$W396),VALUE(SUBSTITUTE(INDEX($E$9:$E$2008,$W396),",",""))),""))</f>
        <v/>
      </c>
      <c r="AD396" s="29">
        <f>IF($W396="","",IFERROR(IF(ISNUMBER(INDEX($F$9:$F$2008,$W396)),INDEX($F$9:$F$2008,$W396),VALUE(SUBSTITUTE(INDEX($F$9:$F$2008,$W396),",",""))),""))</f>
        <v/>
      </c>
      <c r="AE396" s="29">
        <f>IF($W396="","",IFERROR(IF(ISNUMBER(INDEX($G$9:$G$2008,$W396)),INDEX($G$9:$G$2008,$W396),VALUE(SUBSTITUTE(INDEX($G$9:$G$2008,$W396),",",""))),""))</f>
        <v/>
      </c>
      <c r="AF396" s="29">
        <f>IF($W396="","",IFERROR(IF(ISNUMBER(INDEX($H$9:$H$2008,$W396)),INDEX($H$9:$H$2008,$W396),VALUE(SUBSTITUTE(INDEX($H$9:$H$2008,$W396),",",""))),""))</f>
        <v/>
      </c>
      <c r="AG396" s="29">
        <f>IF($W396="","",IFERROR(IF(ISNUMBER(INDEX($I$9:$I$2008,$W396)),INDEX($I$9:$I$2008,$W396),VALUE(SUBSTITUTE(INDEX($I$9:$I$2008,$W396),",",""))),""))</f>
        <v/>
      </c>
      <c r="AH396" s="29">
        <f>IF($W396="","",IFERROR(IF(ISNUMBER(INDEX($J$9:$J$2008,$W396)),INDEX($J$9:$J$2008,$W396),VALUE(SUBSTITUTE(INDEX($J$9:$J$2008,$W396),",",""))),""))</f>
        <v/>
      </c>
      <c r="AI396" s="29">
        <f>IF($W396="","",IFERROR(IF(ISNUMBER(INDEX($K$9:$K$2008,$W396)),INDEX($K$9:$K$2008,$W396),VALUE(SUBSTITUTE(INDEX($K$9:$K$2008,$W396),",",""))),""))</f>
        <v/>
      </c>
      <c r="AJ396" s="30">
        <f>IF($W396="","",IFERROR(IF(ISNUMBER(INDEX($L$9:$L$2008,$W396)),INDEX($L$9:$L$2008,$W396),VALUE(SUBSTITUTE(INDEX($L$9:$L$2008,$W396),",",""))),""))</f>
        <v/>
      </c>
      <c r="AK396" s="30">
        <f>IF($W396="","",IFERROR(IF(ISNUMBER(INDEX($M$9:$M$2008,$W396)),INDEX($M$9:$M$2008,$W396),VALUE(SUBSTITUTE(INDEX($M$9:$M$2008,$W396),",",""))),""))</f>
        <v/>
      </c>
      <c r="AL396" s="31">
        <f>IF($W396="","",IFERROR(IF(ISNUMBER(INDEX($P$9:$P$2008,$W396)),INDEX($P$9:$P$2008,$W396),VALUE(SUBSTITUTE(INDEX($P$9:$P$2008,$W396),"%",""))/100),""))</f>
        <v/>
      </c>
    </row>
    <row r="397">
      <c r="S397">
        <f>IF(AND(ISTEXT($A397),ISNUMBER(SEARCH(" - ",$A397)),ISERROR(SEARCH("Folio",$A397)),$D397=""),TRIM($A397),$S396)</f>
        <v/>
      </c>
      <c r="T397">
        <f>IF(AND(ISNUMBER(SEARCH("Folio",$A397)),$D397&lt;&gt;""),1,"")</f>
        <v/>
      </c>
      <c r="U397">
        <f>IF($T397=1,COUNTIF($T$9:$T397,1),"")</f>
        <v/>
      </c>
      <c r="V397">
        <f>IF(AND(ISTEXT($A397),LEFT($A398,3)="Pan"),1,"")</f>
        <v/>
      </c>
      <c r="W397" s="21">
        <f>IFERROR(MATCH(389,$U$9:$U$2008,0),"")</f>
        <v/>
      </c>
      <c r="X397" s="22">
        <f>IF($W397="","",IF($R$5&lt;&gt;"",$R$5,$R$6))</f>
        <v/>
      </c>
      <c r="Y397" s="22">
        <f>IF($W397="","",INDEX($S$9:$S$2008,$W397))</f>
        <v/>
      </c>
      <c r="Z397" s="22">
        <f>IF($W397="","",IFERROR(TRIM(LEFT(SUBSTITUTE(INDEX($A$9:$A$2008,$W397),CHAR(10)," "),SEARCH("Folio",SUBSTITUTE(INDEX($A$9:$A$2008,$W397),CHAR(10)," "))-1)),TRIM(SUBSTITUTE(INDEX($A$9:$A$2008,$W397),CHAR(10)," "))))</f>
        <v/>
      </c>
      <c r="AA397" s="22">
        <f>IF($W397="","",IFERROR(TRIM(SUBSTITUTE(MID(SUBSTITUTE(INDEX($A$9:$A$2008,$W397),CHAR(10)," "),SEARCH("Folio",SUBSTITUTE(INDEX($A$9:$A$2008,$W397),CHAR(10)," "))+5,200),":","")),""))</f>
        <v/>
      </c>
      <c r="AB397" s="23">
        <f>IF($W397="","",IF(ISNUMBER(INDEX($D$9:$D$2008,$W397)),INDEX($D$9:$D$2008,$W397),IFERROR(DATE(2000+VALUE(RIGHT(INDEX($D$9:$D$2008,$W397),2)),VALUE(MID(INDEX($D$9:$D$2008,$W397),4,2)),VALUE(LEFT(INDEX($D$9:$D$2008,$W397),2))),"")))</f>
        <v/>
      </c>
      <c r="AC397" s="24">
        <f>IF($W397="","",IFERROR(IF(ISNUMBER(INDEX($E$9:$E$2008,$W397)),INDEX($E$9:$E$2008,$W397),VALUE(SUBSTITUTE(INDEX($E$9:$E$2008,$W397),",",""))),""))</f>
        <v/>
      </c>
      <c r="AD397" s="24">
        <f>IF($W397="","",IFERROR(IF(ISNUMBER(INDEX($F$9:$F$2008,$W397)),INDEX($F$9:$F$2008,$W397),VALUE(SUBSTITUTE(INDEX($F$9:$F$2008,$W397),",",""))),""))</f>
        <v/>
      </c>
      <c r="AE397" s="24">
        <f>IF($W397="","",IFERROR(IF(ISNUMBER(INDEX($G$9:$G$2008,$W397)),INDEX($G$9:$G$2008,$W397),VALUE(SUBSTITUTE(INDEX($G$9:$G$2008,$W397),",",""))),""))</f>
        <v/>
      </c>
      <c r="AF397" s="24">
        <f>IF($W397="","",IFERROR(IF(ISNUMBER(INDEX($H$9:$H$2008,$W397)),INDEX($H$9:$H$2008,$W397),VALUE(SUBSTITUTE(INDEX($H$9:$H$2008,$W397),",",""))),""))</f>
        <v/>
      </c>
      <c r="AG397" s="24">
        <f>IF($W397="","",IFERROR(IF(ISNUMBER(INDEX($I$9:$I$2008,$W397)),INDEX($I$9:$I$2008,$W397),VALUE(SUBSTITUTE(INDEX($I$9:$I$2008,$W397),",",""))),""))</f>
        <v/>
      </c>
      <c r="AH397" s="24">
        <f>IF($W397="","",IFERROR(IF(ISNUMBER(INDEX($J$9:$J$2008,$W397)),INDEX($J$9:$J$2008,$W397),VALUE(SUBSTITUTE(INDEX($J$9:$J$2008,$W397),",",""))),""))</f>
        <v/>
      </c>
      <c r="AI397" s="24">
        <f>IF($W397="","",IFERROR(IF(ISNUMBER(INDEX($K$9:$K$2008,$W397)),INDEX($K$9:$K$2008,$W397),VALUE(SUBSTITUTE(INDEX($K$9:$K$2008,$W397),",",""))),""))</f>
        <v/>
      </c>
      <c r="AJ397" s="25">
        <f>IF($W397="","",IFERROR(IF(ISNUMBER(INDEX($L$9:$L$2008,$W397)),INDEX($L$9:$L$2008,$W397),VALUE(SUBSTITUTE(INDEX($L$9:$L$2008,$W397),",",""))),""))</f>
        <v/>
      </c>
      <c r="AK397" s="25">
        <f>IF($W397="","",IFERROR(IF(ISNUMBER(INDEX($M$9:$M$2008,$W397)),INDEX($M$9:$M$2008,$W397),VALUE(SUBSTITUTE(INDEX($M$9:$M$2008,$W397),",",""))),""))</f>
        <v/>
      </c>
      <c r="AL397" s="26">
        <f>IF($W397="","",IFERROR(IF(ISNUMBER(INDEX($P$9:$P$2008,$W397)),INDEX($P$9:$P$2008,$W397),VALUE(SUBSTITUTE(INDEX($P$9:$P$2008,$W397),"%",""))/100),""))</f>
        <v/>
      </c>
    </row>
    <row r="398">
      <c r="S398">
        <f>IF(AND(ISTEXT($A398),ISNUMBER(SEARCH(" - ",$A398)),ISERROR(SEARCH("Folio",$A398)),$D398=""),TRIM($A398),$S397)</f>
        <v/>
      </c>
      <c r="T398">
        <f>IF(AND(ISNUMBER(SEARCH("Folio",$A398)),$D398&lt;&gt;""),1,"")</f>
        <v/>
      </c>
      <c r="U398">
        <f>IF($T398=1,COUNTIF($T$9:$T398,1),"")</f>
        <v/>
      </c>
      <c r="V398">
        <f>IF(AND(ISTEXT($A398),LEFT($A399,3)="Pan"),1,"")</f>
        <v/>
      </c>
      <c r="W398" s="21">
        <f>IFERROR(MATCH(390,$U$9:$U$2008,0),"")</f>
        <v/>
      </c>
      <c r="X398" s="27">
        <f>IF($W398="","",IF($R$5&lt;&gt;"",$R$5,$R$6))</f>
        <v/>
      </c>
      <c r="Y398" s="27">
        <f>IF($W398="","",INDEX($S$9:$S$2008,$W398))</f>
        <v/>
      </c>
      <c r="Z398" s="27">
        <f>IF($W398="","",IFERROR(TRIM(LEFT(SUBSTITUTE(INDEX($A$9:$A$2008,$W398),CHAR(10)," "),SEARCH("Folio",SUBSTITUTE(INDEX($A$9:$A$2008,$W398),CHAR(10)," "))-1)),TRIM(SUBSTITUTE(INDEX($A$9:$A$2008,$W398),CHAR(10)," "))))</f>
        <v/>
      </c>
      <c r="AA398" s="27">
        <f>IF($W398="","",IFERROR(TRIM(SUBSTITUTE(MID(SUBSTITUTE(INDEX($A$9:$A$2008,$W398),CHAR(10)," "),SEARCH("Folio",SUBSTITUTE(INDEX($A$9:$A$2008,$W398),CHAR(10)," "))+5,200),":","")),""))</f>
        <v/>
      </c>
      <c r="AB398" s="28">
        <f>IF($W398="","",IF(ISNUMBER(INDEX($D$9:$D$2008,$W398)),INDEX($D$9:$D$2008,$W398),IFERROR(DATE(2000+VALUE(RIGHT(INDEX($D$9:$D$2008,$W398),2)),VALUE(MID(INDEX($D$9:$D$2008,$W398),4,2)),VALUE(LEFT(INDEX($D$9:$D$2008,$W398),2))),"")))</f>
        <v/>
      </c>
      <c r="AC398" s="29">
        <f>IF($W398="","",IFERROR(IF(ISNUMBER(INDEX($E$9:$E$2008,$W398)),INDEX($E$9:$E$2008,$W398),VALUE(SUBSTITUTE(INDEX($E$9:$E$2008,$W398),",",""))),""))</f>
        <v/>
      </c>
      <c r="AD398" s="29">
        <f>IF($W398="","",IFERROR(IF(ISNUMBER(INDEX($F$9:$F$2008,$W398)),INDEX($F$9:$F$2008,$W398),VALUE(SUBSTITUTE(INDEX($F$9:$F$2008,$W398),",",""))),""))</f>
        <v/>
      </c>
      <c r="AE398" s="29">
        <f>IF($W398="","",IFERROR(IF(ISNUMBER(INDEX($G$9:$G$2008,$W398)),INDEX($G$9:$G$2008,$W398),VALUE(SUBSTITUTE(INDEX($G$9:$G$2008,$W398),",",""))),""))</f>
        <v/>
      </c>
      <c r="AF398" s="29">
        <f>IF($W398="","",IFERROR(IF(ISNUMBER(INDEX($H$9:$H$2008,$W398)),INDEX($H$9:$H$2008,$W398),VALUE(SUBSTITUTE(INDEX($H$9:$H$2008,$W398),",",""))),""))</f>
        <v/>
      </c>
      <c r="AG398" s="29">
        <f>IF($W398="","",IFERROR(IF(ISNUMBER(INDEX($I$9:$I$2008,$W398)),INDEX($I$9:$I$2008,$W398),VALUE(SUBSTITUTE(INDEX($I$9:$I$2008,$W398),",",""))),""))</f>
        <v/>
      </c>
      <c r="AH398" s="29">
        <f>IF($W398="","",IFERROR(IF(ISNUMBER(INDEX($J$9:$J$2008,$W398)),INDEX($J$9:$J$2008,$W398),VALUE(SUBSTITUTE(INDEX($J$9:$J$2008,$W398),",",""))),""))</f>
        <v/>
      </c>
      <c r="AI398" s="29">
        <f>IF($W398="","",IFERROR(IF(ISNUMBER(INDEX($K$9:$K$2008,$W398)),INDEX($K$9:$K$2008,$W398),VALUE(SUBSTITUTE(INDEX($K$9:$K$2008,$W398),",",""))),""))</f>
        <v/>
      </c>
      <c r="AJ398" s="30">
        <f>IF($W398="","",IFERROR(IF(ISNUMBER(INDEX($L$9:$L$2008,$W398)),INDEX($L$9:$L$2008,$W398),VALUE(SUBSTITUTE(INDEX($L$9:$L$2008,$W398),",",""))),""))</f>
        <v/>
      </c>
      <c r="AK398" s="30">
        <f>IF($W398="","",IFERROR(IF(ISNUMBER(INDEX($M$9:$M$2008,$W398)),INDEX($M$9:$M$2008,$W398),VALUE(SUBSTITUTE(INDEX($M$9:$M$2008,$W398),",",""))),""))</f>
        <v/>
      </c>
      <c r="AL398" s="31">
        <f>IF($W398="","",IFERROR(IF(ISNUMBER(INDEX($P$9:$P$2008,$W398)),INDEX($P$9:$P$2008,$W398),VALUE(SUBSTITUTE(INDEX($P$9:$P$2008,$W398),"%",""))/100),""))</f>
        <v/>
      </c>
    </row>
    <row r="399">
      <c r="S399">
        <f>IF(AND(ISTEXT($A399),ISNUMBER(SEARCH(" - ",$A399)),ISERROR(SEARCH("Folio",$A399)),$D399=""),TRIM($A399),$S398)</f>
        <v/>
      </c>
      <c r="T399">
        <f>IF(AND(ISNUMBER(SEARCH("Folio",$A399)),$D399&lt;&gt;""),1,"")</f>
        <v/>
      </c>
      <c r="U399">
        <f>IF($T399=1,COUNTIF($T$9:$T399,1),"")</f>
        <v/>
      </c>
      <c r="V399">
        <f>IF(AND(ISTEXT($A399),LEFT($A400,3)="Pan"),1,"")</f>
        <v/>
      </c>
      <c r="W399" s="21">
        <f>IFERROR(MATCH(391,$U$9:$U$2008,0),"")</f>
        <v/>
      </c>
      <c r="X399" s="22">
        <f>IF($W399="","",IF($R$5&lt;&gt;"",$R$5,$R$6))</f>
        <v/>
      </c>
      <c r="Y399" s="22">
        <f>IF($W399="","",INDEX($S$9:$S$2008,$W399))</f>
        <v/>
      </c>
      <c r="Z399" s="22">
        <f>IF($W399="","",IFERROR(TRIM(LEFT(SUBSTITUTE(INDEX($A$9:$A$2008,$W399),CHAR(10)," "),SEARCH("Folio",SUBSTITUTE(INDEX($A$9:$A$2008,$W399),CHAR(10)," "))-1)),TRIM(SUBSTITUTE(INDEX($A$9:$A$2008,$W399),CHAR(10)," "))))</f>
        <v/>
      </c>
      <c r="AA399" s="22">
        <f>IF($W399="","",IFERROR(TRIM(SUBSTITUTE(MID(SUBSTITUTE(INDEX($A$9:$A$2008,$W399),CHAR(10)," "),SEARCH("Folio",SUBSTITUTE(INDEX($A$9:$A$2008,$W399),CHAR(10)," "))+5,200),":","")),""))</f>
        <v/>
      </c>
      <c r="AB399" s="23">
        <f>IF($W399="","",IF(ISNUMBER(INDEX($D$9:$D$2008,$W399)),INDEX($D$9:$D$2008,$W399),IFERROR(DATE(2000+VALUE(RIGHT(INDEX($D$9:$D$2008,$W399),2)),VALUE(MID(INDEX($D$9:$D$2008,$W399),4,2)),VALUE(LEFT(INDEX($D$9:$D$2008,$W399),2))),"")))</f>
        <v/>
      </c>
      <c r="AC399" s="24">
        <f>IF($W399="","",IFERROR(IF(ISNUMBER(INDEX($E$9:$E$2008,$W399)),INDEX($E$9:$E$2008,$W399),VALUE(SUBSTITUTE(INDEX($E$9:$E$2008,$W399),",",""))),""))</f>
        <v/>
      </c>
      <c r="AD399" s="24">
        <f>IF($W399="","",IFERROR(IF(ISNUMBER(INDEX($F$9:$F$2008,$W399)),INDEX($F$9:$F$2008,$W399),VALUE(SUBSTITUTE(INDEX($F$9:$F$2008,$W399),",",""))),""))</f>
        <v/>
      </c>
      <c r="AE399" s="24">
        <f>IF($W399="","",IFERROR(IF(ISNUMBER(INDEX($G$9:$G$2008,$W399)),INDEX($G$9:$G$2008,$W399),VALUE(SUBSTITUTE(INDEX($G$9:$G$2008,$W399),",",""))),""))</f>
        <v/>
      </c>
      <c r="AF399" s="24">
        <f>IF($W399="","",IFERROR(IF(ISNUMBER(INDEX($H$9:$H$2008,$W399)),INDEX($H$9:$H$2008,$W399),VALUE(SUBSTITUTE(INDEX($H$9:$H$2008,$W399),",",""))),""))</f>
        <v/>
      </c>
      <c r="AG399" s="24">
        <f>IF($W399="","",IFERROR(IF(ISNUMBER(INDEX($I$9:$I$2008,$W399)),INDEX($I$9:$I$2008,$W399),VALUE(SUBSTITUTE(INDEX($I$9:$I$2008,$W399),",",""))),""))</f>
        <v/>
      </c>
      <c r="AH399" s="24">
        <f>IF($W399="","",IFERROR(IF(ISNUMBER(INDEX($J$9:$J$2008,$W399)),INDEX($J$9:$J$2008,$W399),VALUE(SUBSTITUTE(INDEX($J$9:$J$2008,$W399),",",""))),""))</f>
        <v/>
      </c>
      <c r="AI399" s="24">
        <f>IF($W399="","",IFERROR(IF(ISNUMBER(INDEX($K$9:$K$2008,$W399)),INDEX($K$9:$K$2008,$W399),VALUE(SUBSTITUTE(INDEX($K$9:$K$2008,$W399),",",""))),""))</f>
        <v/>
      </c>
      <c r="AJ399" s="25">
        <f>IF($W399="","",IFERROR(IF(ISNUMBER(INDEX($L$9:$L$2008,$W399)),INDEX($L$9:$L$2008,$W399),VALUE(SUBSTITUTE(INDEX($L$9:$L$2008,$W399),",",""))),""))</f>
        <v/>
      </c>
      <c r="AK399" s="25">
        <f>IF($W399="","",IFERROR(IF(ISNUMBER(INDEX($M$9:$M$2008,$W399)),INDEX($M$9:$M$2008,$W399),VALUE(SUBSTITUTE(INDEX($M$9:$M$2008,$W399),",",""))),""))</f>
        <v/>
      </c>
      <c r="AL399" s="26">
        <f>IF($W399="","",IFERROR(IF(ISNUMBER(INDEX($P$9:$P$2008,$W399)),INDEX($P$9:$P$2008,$W399),VALUE(SUBSTITUTE(INDEX($P$9:$P$2008,$W399),"%",""))/100),""))</f>
        <v/>
      </c>
    </row>
    <row r="400">
      <c r="S400">
        <f>IF(AND(ISTEXT($A400),ISNUMBER(SEARCH(" - ",$A400)),ISERROR(SEARCH("Folio",$A400)),$D400=""),TRIM($A400),$S399)</f>
        <v/>
      </c>
      <c r="T400">
        <f>IF(AND(ISNUMBER(SEARCH("Folio",$A400)),$D400&lt;&gt;""),1,"")</f>
        <v/>
      </c>
      <c r="U400">
        <f>IF($T400=1,COUNTIF($T$9:$T400,1),"")</f>
        <v/>
      </c>
      <c r="V400">
        <f>IF(AND(ISTEXT($A400),LEFT($A401,3)="Pan"),1,"")</f>
        <v/>
      </c>
      <c r="W400" s="21">
        <f>IFERROR(MATCH(392,$U$9:$U$2008,0),"")</f>
        <v/>
      </c>
      <c r="X400" s="27">
        <f>IF($W400="","",IF($R$5&lt;&gt;"",$R$5,$R$6))</f>
        <v/>
      </c>
      <c r="Y400" s="27">
        <f>IF($W400="","",INDEX($S$9:$S$2008,$W400))</f>
        <v/>
      </c>
      <c r="Z400" s="27">
        <f>IF($W400="","",IFERROR(TRIM(LEFT(SUBSTITUTE(INDEX($A$9:$A$2008,$W400),CHAR(10)," "),SEARCH("Folio",SUBSTITUTE(INDEX($A$9:$A$2008,$W400),CHAR(10)," "))-1)),TRIM(SUBSTITUTE(INDEX($A$9:$A$2008,$W400),CHAR(10)," "))))</f>
        <v/>
      </c>
      <c r="AA400" s="27">
        <f>IF($W400="","",IFERROR(TRIM(SUBSTITUTE(MID(SUBSTITUTE(INDEX($A$9:$A$2008,$W400),CHAR(10)," "),SEARCH("Folio",SUBSTITUTE(INDEX($A$9:$A$2008,$W400),CHAR(10)," "))+5,200),":","")),""))</f>
        <v/>
      </c>
      <c r="AB400" s="28">
        <f>IF($W400="","",IF(ISNUMBER(INDEX($D$9:$D$2008,$W400)),INDEX($D$9:$D$2008,$W400),IFERROR(DATE(2000+VALUE(RIGHT(INDEX($D$9:$D$2008,$W400),2)),VALUE(MID(INDEX($D$9:$D$2008,$W400),4,2)),VALUE(LEFT(INDEX($D$9:$D$2008,$W400),2))),"")))</f>
        <v/>
      </c>
      <c r="AC400" s="29">
        <f>IF($W400="","",IFERROR(IF(ISNUMBER(INDEX($E$9:$E$2008,$W400)),INDEX($E$9:$E$2008,$W400),VALUE(SUBSTITUTE(INDEX($E$9:$E$2008,$W400),",",""))),""))</f>
        <v/>
      </c>
      <c r="AD400" s="29">
        <f>IF($W400="","",IFERROR(IF(ISNUMBER(INDEX($F$9:$F$2008,$W400)),INDEX($F$9:$F$2008,$W400),VALUE(SUBSTITUTE(INDEX($F$9:$F$2008,$W400),",",""))),""))</f>
        <v/>
      </c>
      <c r="AE400" s="29">
        <f>IF($W400="","",IFERROR(IF(ISNUMBER(INDEX($G$9:$G$2008,$W400)),INDEX($G$9:$G$2008,$W400),VALUE(SUBSTITUTE(INDEX($G$9:$G$2008,$W400),",",""))),""))</f>
        <v/>
      </c>
      <c r="AF400" s="29">
        <f>IF($W400="","",IFERROR(IF(ISNUMBER(INDEX($H$9:$H$2008,$W400)),INDEX($H$9:$H$2008,$W400),VALUE(SUBSTITUTE(INDEX($H$9:$H$2008,$W400),",",""))),""))</f>
        <v/>
      </c>
      <c r="AG400" s="29">
        <f>IF($W400="","",IFERROR(IF(ISNUMBER(INDEX($I$9:$I$2008,$W400)),INDEX($I$9:$I$2008,$W400),VALUE(SUBSTITUTE(INDEX($I$9:$I$2008,$W400),",",""))),""))</f>
        <v/>
      </c>
      <c r="AH400" s="29">
        <f>IF($W400="","",IFERROR(IF(ISNUMBER(INDEX($J$9:$J$2008,$W400)),INDEX($J$9:$J$2008,$W400),VALUE(SUBSTITUTE(INDEX($J$9:$J$2008,$W400),",",""))),""))</f>
        <v/>
      </c>
      <c r="AI400" s="29">
        <f>IF($W400="","",IFERROR(IF(ISNUMBER(INDEX($K$9:$K$2008,$W400)),INDEX($K$9:$K$2008,$W400),VALUE(SUBSTITUTE(INDEX($K$9:$K$2008,$W400),",",""))),""))</f>
        <v/>
      </c>
      <c r="AJ400" s="30">
        <f>IF($W400="","",IFERROR(IF(ISNUMBER(INDEX($L$9:$L$2008,$W400)),INDEX($L$9:$L$2008,$W400),VALUE(SUBSTITUTE(INDEX($L$9:$L$2008,$W400),",",""))),""))</f>
        <v/>
      </c>
      <c r="AK400" s="30">
        <f>IF($W400="","",IFERROR(IF(ISNUMBER(INDEX($M$9:$M$2008,$W400)),INDEX($M$9:$M$2008,$W400),VALUE(SUBSTITUTE(INDEX($M$9:$M$2008,$W400),",",""))),""))</f>
        <v/>
      </c>
      <c r="AL400" s="31">
        <f>IF($W400="","",IFERROR(IF(ISNUMBER(INDEX($P$9:$P$2008,$W400)),INDEX($P$9:$P$2008,$W400),VALUE(SUBSTITUTE(INDEX($P$9:$P$2008,$W400),"%",""))/100),""))</f>
        <v/>
      </c>
    </row>
    <row r="401">
      <c r="S401">
        <f>IF(AND(ISTEXT($A401),ISNUMBER(SEARCH(" - ",$A401)),ISERROR(SEARCH("Folio",$A401)),$D401=""),TRIM($A401),$S400)</f>
        <v/>
      </c>
      <c r="T401">
        <f>IF(AND(ISNUMBER(SEARCH("Folio",$A401)),$D401&lt;&gt;""),1,"")</f>
        <v/>
      </c>
      <c r="U401">
        <f>IF($T401=1,COUNTIF($T$9:$T401,1),"")</f>
        <v/>
      </c>
      <c r="V401">
        <f>IF(AND(ISTEXT($A401),LEFT($A402,3)="Pan"),1,"")</f>
        <v/>
      </c>
      <c r="W401" s="21">
        <f>IFERROR(MATCH(393,$U$9:$U$2008,0),"")</f>
        <v/>
      </c>
      <c r="X401" s="22">
        <f>IF($W401="","",IF($R$5&lt;&gt;"",$R$5,$R$6))</f>
        <v/>
      </c>
      <c r="Y401" s="22">
        <f>IF($W401="","",INDEX($S$9:$S$2008,$W401))</f>
        <v/>
      </c>
      <c r="Z401" s="22">
        <f>IF($W401="","",IFERROR(TRIM(LEFT(SUBSTITUTE(INDEX($A$9:$A$2008,$W401),CHAR(10)," "),SEARCH("Folio",SUBSTITUTE(INDEX($A$9:$A$2008,$W401),CHAR(10)," "))-1)),TRIM(SUBSTITUTE(INDEX($A$9:$A$2008,$W401),CHAR(10)," "))))</f>
        <v/>
      </c>
      <c r="AA401" s="22">
        <f>IF($W401="","",IFERROR(TRIM(SUBSTITUTE(MID(SUBSTITUTE(INDEX($A$9:$A$2008,$W401),CHAR(10)," "),SEARCH("Folio",SUBSTITUTE(INDEX($A$9:$A$2008,$W401),CHAR(10)," "))+5,200),":","")),""))</f>
        <v/>
      </c>
      <c r="AB401" s="23">
        <f>IF($W401="","",IF(ISNUMBER(INDEX($D$9:$D$2008,$W401)),INDEX($D$9:$D$2008,$W401),IFERROR(DATE(2000+VALUE(RIGHT(INDEX($D$9:$D$2008,$W401),2)),VALUE(MID(INDEX($D$9:$D$2008,$W401),4,2)),VALUE(LEFT(INDEX($D$9:$D$2008,$W401),2))),"")))</f>
        <v/>
      </c>
      <c r="AC401" s="24">
        <f>IF($W401="","",IFERROR(IF(ISNUMBER(INDEX($E$9:$E$2008,$W401)),INDEX($E$9:$E$2008,$W401),VALUE(SUBSTITUTE(INDEX($E$9:$E$2008,$W401),",",""))),""))</f>
        <v/>
      </c>
      <c r="AD401" s="24">
        <f>IF($W401="","",IFERROR(IF(ISNUMBER(INDEX($F$9:$F$2008,$W401)),INDEX($F$9:$F$2008,$W401),VALUE(SUBSTITUTE(INDEX($F$9:$F$2008,$W401),",",""))),""))</f>
        <v/>
      </c>
      <c r="AE401" s="24">
        <f>IF($W401="","",IFERROR(IF(ISNUMBER(INDEX($G$9:$G$2008,$W401)),INDEX($G$9:$G$2008,$W401),VALUE(SUBSTITUTE(INDEX($G$9:$G$2008,$W401),",",""))),""))</f>
        <v/>
      </c>
      <c r="AF401" s="24">
        <f>IF($W401="","",IFERROR(IF(ISNUMBER(INDEX($H$9:$H$2008,$W401)),INDEX($H$9:$H$2008,$W401),VALUE(SUBSTITUTE(INDEX($H$9:$H$2008,$W401),",",""))),""))</f>
        <v/>
      </c>
      <c r="AG401" s="24">
        <f>IF($W401="","",IFERROR(IF(ISNUMBER(INDEX($I$9:$I$2008,$W401)),INDEX($I$9:$I$2008,$W401),VALUE(SUBSTITUTE(INDEX($I$9:$I$2008,$W401),",",""))),""))</f>
        <v/>
      </c>
      <c r="AH401" s="24">
        <f>IF($W401="","",IFERROR(IF(ISNUMBER(INDEX($J$9:$J$2008,$W401)),INDEX($J$9:$J$2008,$W401),VALUE(SUBSTITUTE(INDEX($J$9:$J$2008,$W401),",",""))),""))</f>
        <v/>
      </c>
      <c r="AI401" s="24">
        <f>IF($W401="","",IFERROR(IF(ISNUMBER(INDEX($K$9:$K$2008,$W401)),INDEX($K$9:$K$2008,$W401),VALUE(SUBSTITUTE(INDEX($K$9:$K$2008,$W401),",",""))),""))</f>
        <v/>
      </c>
      <c r="AJ401" s="25">
        <f>IF($W401="","",IFERROR(IF(ISNUMBER(INDEX($L$9:$L$2008,$W401)),INDEX($L$9:$L$2008,$W401),VALUE(SUBSTITUTE(INDEX($L$9:$L$2008,$W401),",",""))),""))</f>
        <v/>
      </c>
      <c r="AK401" s="25">
        <f>IF($W401="","",IFERROR(IF(ISNUMBER(INDEX($M$9:$M$2008,$W401)),INDEX($M$9:$M$2008,$W401),VALUE(SUBSTITUTE(INDEX($M$9:$M$2008,$W401),",",""))),""))</f>
        <v/>
      </c>
      <c r="AL401" s="26">
        <f>IF($W401="","",IFERROR(IF(ISNUMBER(INDEX($P$9:$P$2008,$W401)),INDEX($P$9:$P$2008,$W401),VALUE(SUBSTITUTE(INDEX($P$9:$P$2008,$W401),"%",""))/100),""))</f>
        <v/>
      </c>
    </row>
    <row r="402">
      <c r="S402">
        <f>IF(AND(ISTEXT($A402),ISNUMBER(SEARCH(" - ",$A402)),ISERROR(SEARCH("Folio",$A402)),$D402=""),TRIM($A402),$S401)</f>
        <v/>
      </c>
      <c r="T402">
        <f>IF(AND(ISNUMBER(SEARCH("Folio",$A402)),$D402&lt;&gt;""),1,"")</f>
        <v/>
      </c>
      <c r="U402">
        <f>IF($T402=1,COUNTIF($T$9:$T402,1),"")</f>
        <v/>
      </c>
      <c r="V402">
        <f>IF(AND(ISTEXT($A402),LEFT($A403,3)="Pan"),1,"")</f>
        <v/>
      </c>
      <c r="W402" s="21">
        <f>IFERROR(MATCH(394,$U$9:$U$2008,0),"")</f>
        <v/>
      </c>
      <c r="X402" s="27">
        <f>IF($W402="","",IF($R$5&lt;&gt;"",$R$5,$R$6))</f>
        <v/>
      </c>
      <c r="Y402" s="27">
        <f>IF($W402="","",INDEX($S$9:$S$2008,$W402))</f>
        <v/>
      </c>
      <c r="Z402" s="27">
        <f>IF($W402="","",IFERROR(TRIM(LEFT(SUBSTITUTE(INDEX($A$9:$A$2008,$W402),CHAR(10)," "),SEARCH("Folio",SUBSTITUTE(INDEX($A$9:$A$2008,$W402),CHAR(10)," "))-1)),TRIM(SUBSTITUTE(INDEX($A$9:$A$2008,$W402),CHAR(10)," "))))</f>
        <v/>
      </c>
      <c r="AA402" s="27">
        <f>IF($W402="","",IFERROR(TRIM(SUBSTITUTE(MID(SUBSTITUTE(INDEX($A$9:$A$2008,$W402),CHAR(10)," "),SEARCH("Folio",SUBSTITUTE(INDEX($A$9:$A$2008,$W402),CHAR(10)," "))+5,200),":","")),""))</f>
        <v/>
      </c>
      <c r="AB402" s="28">
        <f>IF($W402="","",IF(ISNUMBER(INDEX($D$9:$D$2008,$W402)),INDEX($D$9:$D$2008,$W402),IFERROR(DATE(2000+VALUE(RIGHT(INDEX($D$9:$D$2008,$W402),2)),VALUE(MID(INDEX($D$9:$D$2008,$W402),4,2)),VALUE(LEFT(INDEX($D$9:$D$2008,$W402),2))),"")))</f>
        <v/>
      </c>
      <c r="AC402" s="29">
        <f>IF($W402="","",IFERROR(IF(ISNUMBER(INDEX($E$9:$E$2008,$W402)),INDEX($E$9:$E$2008,$W402),VALUE(SUBSTITUTE(INDEX($E$9:$E$2008,$W402),",",""))),""))</f>
        <v/>
      </c>
      <c r="AD402" s="29">
        <f>IF($W402="","",IFERROR(IF(ISNUMBER(INDEX($F$9:$F$2008,$W402)),INDEX($F$9:$F$2008,$W402),VALUE(SUBSTITUTE(INDEX($F$9:$F$2008,$W402),",",""))),""))</f>
        <v/>
      </c>
      <c r="AE402" s="29">
        <f>IF($W402="","",IFERROR(IF(ISNUMBER(INDEX($G$9:$G$2008,$W402)),INDEX($G$9:$G$2008,$W402),VALUE(SUBSTITUTE(INDEX($G$9:$G$2008,$W402),",",""))),""))</f>
        <v/>
      </c>
      <c r="AF402" s="29">
        <f>IF($W402="","",IFERROR(IF(ISNUMBER(INDEX($H$9:$H$2008,$W402)),INDEX($H$9:$H$2008,$W402),VALUE(SUBSTITUTE(INDEX($H$9:$H$2008,$W402),",",""))),""))</f>
        <v/>
      </c>
      <c r="AG402" s="29">
        <f>IF($W402="","",IFERROR(IF(ISNUMBER(INDEX($I$9:$I$2008,$W402)),INDEX($I$9:$I$2008,$W402),VALUE(SUBSTITUTE(INDEX($I$9:$I$2008,$W402),",",""))),""))</f>
        <v/>
      </c>
      <c r="AH402" s="29">
        <f>IF($W402="","",IFERROR(IF(ISNUMBER(INDEX($J$9:$J$2008,$W402)),INDEX($J$9:$J$2008,$W402),VALUE(SUBSTITUTE(INDEX($J$9:$J$2008,$W402),",",""))),""))</f>
        <v/>
      </c>
      <c r="AI402" s="29">
        <f>IF($W402="","",IFERROR(IF(ISNUMBER(INDEX($K$9:$K$2008,$W402)),INDEX($K$9:$K$2008,$W402),VALUE(SUBSTITUTE(INDEX($K$9:$K$2008,$W402),",",""))),""))</f>
        <v/>
      </c>
      <c r="AJ402" s="30">
        <f>IF($W402="","",IFERROR(IF(ISNUMBER(INDEX($L$9:$L$2008,$W402)),INDEX($L$9:$L$2008,$W402),VALUE(SUBSTITUTE(INDEX($L$9:$L$2008,$W402),",",""))),""))</f>
        <v/>
      </c>
      <c r="AK402" s="30">
        <f>IF($W402="","",IFERROR(IF(ISNUMBER(INDEX($M$9:$M$2008,$W402)),INDEX($M$9:$M$2008,$W402),VALUE(SUBSTITUTE(INDEX($M$9:$M$2008,$W402),",",""))),""))</f>
        <v/>
      </c>
      <c r="AL402" s="31">
        <f>IF($W402="","",IFERROR(IF(ISNUMBER(INDEX($P$9:$P$2008,$W402)),INDEX($P$9:$P$2008,$W402),VALUE(SUBSTITUTE(INDEX($P$9:$P$2008,$W402),"%",""))/100),""))</f>
        <v/>
      </c>
    </row>
    <row r="403">
      <c r="S403">
        <f>IF(AND(ISTEXT($A403),ISNUMBER(SEARCH(" - ",$A403)),ISERROR(SEARCH("Folio",$A403)),$D403=""),TRIM($A403),$S402)</f>
        <v/>
      </c>
      <c r="T403">
        <f>IF(AND(ISNUMBER(SEARCH("Folio",$A403)),$D403&lt;&gt;""),1,"")</f>
        <v/>
      </c>
      <c r="U403">
        <f>IF($T403=1,COUNTIF($T$9:$T403,1),"")</f>
        <v/>
      </c>
      <c r="V403">
        <f>IF(AND(ISTEXT($A403),LEFT($A404,3)="Pan"),1,"")</f>
        <v/>
      </c>
      <c r="W403" s="21">
        <f>IFERROR(MATCH(395,$U$9:$U$2008,0),"")</f>
        <v/>
      </c>
      <c r="X403" s="22">
        <f>IF($W403="","",IF($R$5&lt;&gt;"",$R$5,$R$6))</f>
        <v/>
      </c>
      <c r="Y403" s="22">
        <f>IF($W403="","",INDEX($S$9:$S$2008,$W403))</f>
        <v/>
      </c>
      <c r="Z403" s="22">
        <f>IF($W403="","",IFERROR(TRIM(LEFT(SUBSTITUTE(INDEX($A$9:$A$2008,$W403),CHAR(10)," "),SEARCH("Folio",SUBSTITUTE(INDEX($A$9:$A$2008,$W403),CHAR(10)," "))-1)),TRIM(SUBSTITUTE(INDEX($A$9:$A$2008,$W403),CHAR(10)," "))))</f>
        <v/>
      </c>
      <c r="AA403" s="22">
        <f>IF($W403="","",IFERROR(TRIM(SUBSTITUTE(MID(SUBSTITUTE(INDEX($A$9:$A$2008,$W403),CHAR(10)," "),SEARCH("Folio",SUBSTITUTE(INDEX($A$9:$A$2008,$W403),CHAR(10)," "))+5,200),":","")),""))</f>
        <v/>
      </c>
      <c r="AB403" s="23">
        <f>IF($W403="","",IF(ISNUMBER(INDEX($D$9:$D$2008,$W403)),INDEX($D$9:$D$2008,$W403),IFERROR(DATE(2000+VALUE(RIGHT(INDEX($D$9:$D$2008,$W403),2)),VALUE(MID(INDEX($D$9:$D$2008,$W403),4,2)),VALUE(LEFT(INDEX($D$9:$D$2008,$W403),2))),"")))</f>
        <v/>
      </c>
      <c r="AC403" s="24">
        <f>IF($W403="","",IFERROR(IF(ISNUMBER(INDEX($E$9:$E$2008,$W403)),INDEX($E$9:$E$2008,$W403),VALUE(SUBSTITUTE(INDEX($E$9:$E$2008,$W403),",",""))),""))</f>
        <v/>
      </c>
      <c r="AD403" s="24">
        <f>IF($W403="","",IFERROR(IF(ISNUMBER(INDEX($F$9:$F$2008,$W403)),INDEX($F$9:$F$2008,$W403),VALUE(SUBSTITUTE(INDEX($F$9:$F$2008,$W403),",",""))),""))</f>
        <v/>
      </c>
      <c r="AE403" s="24">
        <f>IF($W403="","",IFERROR(IF(ISNUMBER(INDEX($G$9:$G$2008,$W403)),INDEX($G$9:$G$2008,$W403),VALUE(SUBSTITUTE(INDEX($G$9:$G$2008,$W403),",",""))),""))</f>
        <v/>
      </c>
      <c r="AF403" s="24">
        <f>IF($W403="","",IFERROR(IF(ISNUMBER(INDEX($H$9:$H$2008,$W403)),INDEX($H$9:$H$2008,$W403),VALUE(SUBSTITUTE(INDEX($H$9:$H$2008,$W403),",",""))),""))</f>
        <v/>
      </c>
      <c r="AG403" s="24">
        <f>IF($W403="","",IFERROR(IF(ISNUMBER(INDEX($I$9:$I$2008,$W403)),INDEX($I$9:$I$2008,$W403),VALUE(SUBSTITUTE(INDEX($I$9:$I$2008,$W403),",",""))),""))</f>
        <v/>
      </c>
      <c r="AH403" s="24">
        <f>IF($W403="","",IFERROR(IF(ISNUMBER(INDEX($J$9:$J$2008,$W403)),INDEX($J$9:$J$2008,$W403),VALUE(SUBSTITUTE(INDEX($J$9:$J$2008,$W403),",",""))),""))</f>
        <v/>
      </c>
      <c r="AI403" s="24">
        <f>IF($W403="","",IFERROR(IF(ISNUMBER(INDEX($K$9:$K$2008,$W403)),INDEX($K$9:$K$2008,$W403),VALUE(SUBSTITUTE(INDEX($K$9:$K$2008,$W403),",",""))),""))</f>
        <v/>
      </c>
      <c r="AJ403" s="25">
        <f>IF($W403="","",IFERROR(IF(ISNUMBER(INDEX($L$9:$L$2008,$W403)),INDEX($L$9:$L$2008,$W403),VALUE(SUBSTITUTE(INDEX($L$9:$L$2008,$W403),",",""))),""))</f>
        <v/>
      </c>
      <c r="AK403" s="25">
        <f>IF($W403="","",IFERROR(IF(ISNUMBER(INDEX($M$9:$M$2008,$W403)),INDEX($M$9:$M$2008,$W403),VALUE(SUBSTITUTE(INDEX($M$9:$M$2008,$W403),",",""))),""))</f>
        <v/>
      </c>
      <c r="AL403" s="26">
        <f>IF($W403="","",IFERROR(IF(ISNUMBER(INDEX($P$9:$P$2008,$W403)),INDEX($P$9:$P$2008,$W403),VALUE(SUBSTITUTE(INDEX($P$9:$P$2008,$W403),"%",""))/100),""))</f>
        <v/>
      </c>
    </row>
    <row r="404">
      <c r="S404">
        <f>IF(AND(ISTEXT($A404),ISNUMBER(SEARCH(" - ",$A404)),ISERROR(SEARCH("Folio",$A404)),$D404=""),TRIM($A404),$S403)</f>
        <v/>
      </c>
      <c r="T404">
        <f>IF(AND(ISNUMBER(SEARCH("Folio",$A404)),$D404&lt;&gt;""),1,"")</f>
        <v/>
      </c>
      <c r="U404">
        <f>IF($T404=1,COUNTIF($T$9:$T404,1),"")</f>
        <v/>
      </c>
      <c r="V404">
        <f>IF(AND(ISTEXT($A404),LEFT($A405,3)="Pan"),1,"")</f>
        <v/>
      </c>
      <c r="W404" s="21">
        <f>IFERROR(MATCH(396,$U$9:$U$2008,0),"")</f>
        <v/>
      </c>
      <c r="X404" s="27">
        <f>IF($W404="","",IF($R$5&lt;&gt;"",$R$5,$R$6))</f>
        <v/>
      </c>
      <c r="Y404" s="27">
        <f>IF($W404="","",INDEX($S$9:$S$2008,$W404))</f>
        <v/>
      </c>
      <c r="Z404" s="27">
        <f>IF($W404="","",IFERROR(TRIM(LEFT(SUBSTITUTE(INDEX($A$9:$A$2008,$W404),CHAR(10)," "),SEARCH("Folio",SUBSTITUTE(INDEX($A$9:$A$2008,$W404),CHAR(10)," "))-1)),TRIM(SUBSTITUTE(INDEX($A$9:$A$2008,$W404),CHAR(10)," "))))</f>
        <v/>
      </c>
      <c r="AA404" s="27">
        <f>IF($W404="","",IFERROR(TRIM(SUBSTITUTE(MID(SUBSTITUTE(INDEX($A$9:$A$2008,$W404),CHAR(10)," "),SEARCH("Folio",SUBSTITUTE(INDEX($A$9:$A$2008,$W404),CHAR(10)," "))+5,200),":","")),""))</f>
        <v/>
      </c>
      <c r="AB404" s="28">
        <f>IF($W404="","",IF(ISNUMBER(INDEX($D$9:$D$2008,$W404)),INDEX($D$9:$D$2008,$W404),IFERROR(DATE(2000+VALUE(RIGHT(INDEX($D$9:$D$2008,$W404),2)),VALUE(MID(INDEX($D$9:$D$2008,$W404),4,2)),VALUE(LEFT(INDEX($D$9:$D$2008,$W404),2))),"")))</f>
        <v/>
      </c>
      <c r="AC404" s="29">
        <f>IF($W404="","",IFERROR(IF(ISNUMBER(INDEX($E$9:$E$2008,$W404)),INDEX($E$9:$E$2008,$W404),VALUE(SUBSTITUTE(INDEX($E$9:$E$2008,$W404),",",""))),""))</f>
        <v/>
      </c>
      <c r="AD404" s="29">
        <f>IF($W404="","",IFERROR(IF(ISNUMBER(INDEX($F$9:$F$2008,$W404)),INDEX($F$9:$F$2008,$W404),VALUE(SUBSTITUTE(INDEX($F$9:$F$2008,$W404),",",""))),""))</f>
        <v/>
      </c>
      <c r="AE404" s="29">
        <f>IF($W404="","",IFERROR(IF(ISNUMBER(INDEX($G$9:$G$2008,$W404)),INDEX($G$9:$G$2008,$W404),VALUE(SUBSTITUTE(INDEX($G$9:$G$2008,$W404),",",""))),""))</f>
        <v/>
      </c>
      <c r="AF404" s="29">
        <f>IF($W404="","",IFERROR(IF(ISNUMBER(INDEX($H$9:$H$2008,$W404)),INDEX($H$9:$H$2008,$W404),VALUE(SUBSTITUTE(INDEX($H$9:$H$2008,$W404),",",""))),""))</f>
        <v/>
      </c>
      <c r="AG404" s="29">
        <f>IF($W404="","",IFERROR(IF(ISNUMBER(INDEX($I$9:$I$2008,$W404)),INDEX($I$9:$I$2008,$W404),VALUE(SUBSTITUTE(INDEX($I$9:$I$2008,$W404),",",""))),""))</f>
        <v/>
      </c>
      <c r="AH404" s="29">
        <f>IF($W404="","",IFERROR(IF(ISNUMBER(INDEX($J$9:$J$2008,$W404)),INDEX($J$9:$J$2008,$W404),VALUE(SUBSTITUTE(INDEX($J$9:$J$2008,$W404),",",""))),""))</f>
        <v/>
      </c>
      <c r="AI404" s="29">
        <f>IF($W404="","",IFERROR(IF(ISNUMBER(INDEX($K$9:$K$2008,$W404)),INDEX($K$9:$K$2008,$W404),VALUE(SUBSTITUTE(INDEX($K$9:$K$2008,$W404),",",""))),""))</f>
        <v/>
      </c>
      <c r="AJ404" s="30">
        <f>IF($W404="","",IFERROR(IF(ISNUMBER(INDEX($L$9:$L$2008,$W404)),INDEX($L$9:$L$2008,$W404),VALUE(SUBSTITUTE(INDEX($L$9:$L$2008,$W404),",",""))),""))</f>
        <v/>
      </c>
      <c r="AK404" s="30">
        <f>IF($W404="","",IFERROR(IF(ISNUMBER(INDEX($M$9:$M$2008,$W404)),INDEX($M$9:$M$2008,$W404),VALUE(SUBSTITUTE(INDEX($M$9:$M$2008,$W404),",",""))),""))</f>
        <v/>
      </c>
      <c r="AL404" s="31">
        <f>IF($W404="","",IFERROR(IF(ISNUMBER(INDEX($P$9:$P$2008,$W404)),INDEX($P$9:$P$2008,$W404),VALUE(SUBSTITUTE(INDEX($P$9:$P$2008,$W404),"%",""))/100),""))</f>
        <v/>
      </c>
    </row>
    <row r="405">
      <c r="S405">
        <f>IF(AND(ISTEXT($A405),ISNUMBER(SEARCH(" - ",$A405)),ISERROR(SEARCH("Folio",$A405)),$D405=""),TRIM($A405),$S404)</f>
        <v/>
      </c>
      <c r="T405">
        <f>IF(AND(ISNUMBER(SEARCH("Folio",$A405)),$D405&lt;&gt;""),1,"")</f>
        <v/>
      </c>
      <c r="U405">
        <f>IF($T405=1,COUNTIF($T$9:$T405,1),"")</f>
        <v/>
      </c>
      <c r="V405">
        <f>IF(AND(ISTEXT($A405),LEFT($A406,3)="Pan"),1,"")</f>
        <v/>
      </c>
      <c r="W405" s="21">
        <f>IFERROR(MATCH(397,$U$9:$U$2008,0),"")</f>
        <v/>
      </c>
      <c r="X405" s="22">
        <f>IF($W405="","",IF($R$5&lt;&gt;"",$R$5,$R$6))</f>
        <v/>
      </c>
      <c r="Y405" s="22">
        <f>IF($W405="","",INDEX($S$9:$S$2008,$W405))</f>
        <v/>
      </c>
      <c r="Z405" s="22">
        <f>IF($W405="","",IFERROR(TRIM(LEFT(SUBSTITUTE(INDEX($A$9:$A$2008,$W405),CHAR(10)," "),SEARCH("Folio",SUBSTITUTE(INDEX($A$9:$A$2008,$W405),CHAR(10)," "))-1)),TRIM(SUBSTITUTE(INDEX($A$9:$A$2008,$W405),CHAR(10)," "))))</f>
        <v/>
      </c>
      <c r="AA405" s="22">
        <f>IF($W405="","",IFERROR(TRIM(SUBSTITUTE(MID(SUBSTITUTE(INDEX($A$9:$A$2008,$W405),CHAR(10)," "),SEARCH("Folio",SUBSTITUTE(INDEX($A$9:$A$2008,$W405),CHAR(10)," "))+5,200),":","")),""))</f>
        <v/>
      </c>
      <c r="AB405" s="23">
        <f>IF($W405="","",IF(ISNUMBER(INDEX($D$9:$D$2008,$W405)),INDEX($D$9:$D$2008,$W405),IFERROR(DATE(2000+VALUE(RIGHT(INDEX($D$9:$D$2008,$W405),2)),VALUE(MID(INDEX($D$9:$D$2008,$W405),4,2)),VALUE(LEFT(INDEX($D$9:$D$2008,$W405),2))),"")))</f>
        <v/>
      </c>
      <c r="AC405" s="24">
        <f>IF($W405="","",IFERROR(IF(ISNUMBER(INDEX($E$9:$E$2008,$W405)),INDEX($E$9:$E$2008,$W405),VALUE(SUBSTITUTE(INDEX($E$9:$E$2008,$W405),",",""))),""))</f>
        <v/>
      </c>
      <c r="AD405" s="24">
        <f>IF($W405="","",IFERROR(IF(ISNUMBER(INDEX($F$9:$F$2008,$W405)),INDEX($F$9:$F$2008,$W405),VALUE(SUBSTITUTE(INDEX($F$9:$F$2008,$W405),",",""))),""))</f>
        <v/>
      </c>
      <c r="AE405" s="24">
        <f>IF($W405="","",IFERROR(IF(ISNUMBER(INDEX($G$9:$G$2008,$W405)),INDEX($G$9:$G$2008,$W405),VALUE(SUBSTITUTE(INDEX($G$9:$G$2008,$W405),",",""))),""))</f>
        <v/>
      </c>
      <c r="AF405" s="24">
        <f>IF($W405="","",IFERROR(IF(ISNUMBER(INDEX($H$9:$H$2008,$W405)),INDEX($H$9:$H$2008,$W405),VALUE(SUBSTITUTE(INDEX($H$9:$H$2008,$W405),",",""))),""))</f>
        <v/>
      </c>
      <c r="AG405" s="24">
        <f>IF($W405="","",IFERROR(IF(ISNUMBER(INDEX($I$9:$I$2008,$W405)),INDEX($I$9:$I$2008,$W405),VALUE(SUBSTITUTE(INDEX($I$9:$I$2008,$W405),",",""))),""))</f>
        <v/>
      </c>
      <c r="AH405" s="24">
        <f>IF($W405="","",IFERROR(IF(ISNUMBER(INDEX($J$9:$J$2008,$W405)),INDEX($J$9:$J$2008,$W405),VALUE(SUBSTITUTE(INDEX($J$9:$J$2008,$W405),",",""))),""))</f>
        <v/>
      </c>
      <c r="AI405" s="24">
        <f>IF($W405="","",IFERROR(IF(ISNUMBER(INDEX($K$9:$K$2008,$W405)),INDEX($K$9:$K$2008,$W405),VALUE(SUBSTITUTE(INDEX($K$9:$K$2008,$W405),",",""))),""))</f>
        <v/>
      </c>
      <c r="AJ405" s="25">
        <f>IF($W405="","",IFERROR(IF(ISNUMBER(INDEX($L$9:$L$2008,$W405)),INDEX($L$9:$L$2008,$W405),VALUE(SUBSTITUTE(INDEX($L$9:$L$2008,$W405),",",""))),""))</f>
        <v/>
      </c>
      <c r="AK405" s="25">
        <f>IF($W405="","",IFERROR(IF(ISNUMBER(INDEX($M$9:$M$2008,$W405)),INDEX($M$9:$M$2008,$W405),VALUE(SUBSTITUTE(INDEX($M$9:$M$2008,$W405),",",""))),""))</f>
        <v/>
      </c>
      <c r="AL405" s="26">
        <f>IF($W405="","",IFERROR(IF(ISNUMBER(INDEX($P$9:$P$2008,$W405)),INDEX($P$9:$P$2008,$W405),VALUE(SUBSTITUTE(INDEX($P$9:$P$2008,$W405),"%",""))/100),""))</f>
        <v/>
      </c>
    </row>
    <row r="406">
      <c r="S406">
        <f>IF(AND(ISTEXT($A406),ISNUMBER(SEARCH(" - ",$A406)),ISERROR(SEARCH("Folio",$A406)),$D406=""),TRIM($A406),$S405)</f>
        <v/>
      </c>
      <c r="T406">
        <f>IF(AND(ISNUMBER(SEARCH("Folio",$A406)),$D406&lt;&gt;""),1,"")</f>
        <v/>
      </c>
      <c r="U406">
        <f>IF($T406=1,COUNTIF($T$9:$T406,1),"")</f>
        <v/>
      </c>
      <c r="V406">
        <f>IF(AND(ISTEXT($A406),LEFT($A407,3)="Pan"),1,"")</f>
        <v/>
      </c>
      <c r="W406" s="21">
        <f>IFERROR(MATCH(398,$U$9:$U$2008,0),"")</f>
        <v/>
      </c>
      <c r="X406" s="27">
        <f>IF($W406="","",IF($R$5&lt;&gt;"",$R$5,$R$6))</f>
        <v/>
      </c>
      <c r="Y406" s="27">
        <f>IF($W406="","",INDEX($S$9:$S$2008,$W406))</f>
        <v/>
      </c>
      <c r="Z406" s="27">
        <f>IF($W406="","",IFERROR(TRIM(LEFT(SUBSTITUTE(INDEX($A$9:$A$2008,$W406),CHAR(10)," "),SEARCH("Folio",SUBSTITUTE(INDEX($A$9:$A$2008,$W406),CHAR(10)," "))-1)),TRIM(SUBSTITUTE(INDEX($A$9:$A$2008,$W406),CHAR(10)," "))))</f>
        <v/>
      </c>
      <c r="AA406" s="27">
        <f>IF($W406="","",IFERROR(TRIM(SUBSTITUTE(MID(SUBSTITUTE(INDEX($A$9:$A$2008,$W406),CHAR(10)," "),SEARCH("Folio",SUBSTITUTE(INDEX($A$9:$A$2008,$W406),CHAR(10)," "))+5,200),":","")),""))</f>
        <v/>
      </c>
      <c r="AB406" s="28">
        <f>IF($W406="","",IF(ISNUMBER(INDEX($D$9:$D$2008,$W406)),INDEX($D$9:$D$2008,$W406),IFERROR(DATE(2000+VALUE(RIGHT(INDEX($D$9:$D$2008,$W406),2)),VALUE(MID(INDEX($D$9:$D$2008,$W406),4,2)),VALUE(LEFT(INDEX($D$9:$D$2008,$W406),2))),"")))</f>
        <v/>
      </c>
      <c r="AC406" s="29">
        <f>IF($W406="","",IFERROR(IF(ISNUMBER(INDEX($E$9:$E$2008,$W406)),INDEX($E$9:$E$2008,$W406),VALUE(SUBSTITUTE(INDEX($E$9:$E$2008,$W406),",",""))),""))</f>
        <v/>
      </c>
      <c r="AD406" s="29">
        <f>IF($W406="","",IFERROR(IF(ISNUMBER(INDEX($F$9:$F$2008,$W406)),INDEX($F$9:$F$2008,$W406),VALUE(SUBSTITUTE(INDEX($F$9:$F$2008,$W406),",",""))),""))</f>
        <v/>
      </c>
      <c r="AE406" s="29">
        <f>IF($W406="","",IFERROR(IF(ISNUMBER(INDEX($G$9:$G$2008,$W406)),INDEX($G$9:$G$2008,$W406),VALUE(SUBSTITUTE(INDEX($G$9:$G$2008,$W406),",",""))),""))</f>
        <v/>
      </c>
      <c r="AF406" s="29">
        <f>IF($W406="","",IFERROR(IF(ISNUMBER(INDEX($H$9:$H$2008,$W406)),INDEX($H$9:$H$2008,$W406),VALUE(SUBSTITUTE(INDEX($H$9:$H$2008,$W406),",",""))),""))</f>
        <v/>
      </c>
      <c r="AG406" s="29">
        <f>IF($W406="","",IFERROR(IF(ISNUMBER(INDEX($I$9:$I$2008,$W406)),INDEX($I$9:$I$2008,$W406),VALUE(SUBSTITUTE(INDEX($I$9:$I$2008,$W406),",",""))),""))</f>
        <v/>
      </c>
      <c r="AH406" s="29">
        <f>IF($W406="","",IFERROR(IF(ISNUMBER(INDEX($J$9:$J$2008,$W406)),INDEX($J$9:$J$2008,$W406),VALUE(SUBSTITUTE(INDEX($J$9:$J$2008,$W406),",",""))),""))</f>
        <v/>
      </c>
      <c r="AI406" s="29">
        <f>IF($W406="","",IFERROR(IF(ISNUMBER(INDEX($K$9:$K$2008,$W406)),INDEX($K$9:$K$2008,$W406),VALUE(SUBSTITUTE(INDEX($K$9:$K$2008,$W406),",",""))),""))</f>
        <v/>
      </c>
      <c r="AJ406" s="30">
        <f>IF($W406="","",IFERROR(IF(ISNUMBER(INDEX($L$9:$L$2008,$W406)),INDEX($L$9:$L$2008,$W406),VALUE(SUBSTITUTE(INDEX($L$9:$L$2008,$W406),",",""))),""))</f>
        <v/>
      </c>
      <c r="AK406" s="30">
        <f>IF($W406="","",IFERROR(IF(ISNUMBER(INDEX($M$9:$M$2008,$W406)),INDEX($M$9:$M$2008,$W406),VALUE(SUBSTITUTE(INDEX($M$9:$M$2008,$W406),",",""))),""))</f>
        <v/>
      </c>
      <c r="AL406" s="31">
        <f>IF($W406="","",IFERROR(IF(ISNUMBER(INDEX($P$9:$P$2008,$W406)),INDEX($P$9:$P$2008,$W406),VALUE(SUBSTITUTE(INDEX($P$9:$P$2008,$W406),"%",""))/100),""))</f>
        <v/>
      </c>
    </row>
    <row r="407">
      <c r="S407">
        <f>IF(AND(ISTEXT($A407),ISNUMBER(SEARCH(" - ",$A407)),ISERROR(SEARCH("Folio",$A407)),$D407=""),TRIM($A407),$S406)</f>
        <v/>
      </c>
      <c r="T407">
        <f>IF(AND(ISNUMBER(SEARCH("Folio",$A407)),$D407&lt;&gt;""),1,"")</f>
        <v/>
      </c>
      <c r="U407">
        <f>IF($T407=1,COUNTIF($T$9:$T407,1),"")</f>
        <v/>
      </c>
      <c r="V407">
        <f>IF(AND(ISTEXT($A407),LEFT($A408,3)="Pan"),1,"")</f>
        <v/>
      </c>
      <c r="W407" s="21">
        <f>IFERROR(MATCH(399,$U$9:$U$2008,0),"")</f>
        <v/>
      </c>
      <c r="X407" s="22">
        <f>IF($W407="","",IF($R$5&lt;&gt;"",$R$5,$R$6))</f>
        <v/>
      </c>
      <c r="Y407" s="22">
        <f>IF($W407="","",INDEX($S$9:$S$2008,$W407))</f>
        <v/>
      </c>
      <c r="Z407" s="22">
        <f>IF($W407="","",IFERROR(TRIM(LEFT(SUBSTITUTE(INDEX($A$9:$A$2008,$W407),CHAR(10)," "),SEARCH("Folio",SUBSTITUTE(INDEX($A$9:$A$2008,$W407),CHAR(10)," "))-1)),TRIM(SUBSTITUTE(INDEX($A$9:$A$2008,$W407),CHAR(10)," "))))</f>
        <v/>
      </c>
      <c r="AA407" s="22">
        <f>IF($W407="","",IFERROR(TRIM(SUBSTITUTE(MID(SUBSTITUTE(INDEX($A$9:$A$2008,$W407),CHAR(10)," "),SEARCH("Folio",SUBSTITUTE(INDEX($A$9:$A$2008,$W407),CHAR(10)," "))+5,200),":","")),""))</f>
        <v/>
      </c>
      <c r="AB407" s="23">
        <f>IF($W407="","",IF(ISNUMBER(INDEX($D$9:$D$2008,$W407)),INDEX($D$9:$D$2008,$W407),IFERROR(DATE(2000+VALUE(RIGHT(INDEX($D$9:$D$2008,$W407),2)),VALUE(MID(INDEX($D$9:$D$2008,$W407),4,2)),VALUE(LEFT(INDEX($D$9:$D$2008,$W407),2))),"")))</f>
        <v/>
      </c>
      <c r="AC407" s="24">
        <f>IF($W407="","",IFERROR(IF(ISNUMBER(INDEX($E$9:$E$2008,$W407)),INDEX($E$9:$E$2008,$W407),VALUE(SUBSTITUTE(INDEX($E$9:$E$2008,$W407),",",""))),""))</f>
        <v/>
      </c>
      <c r="AD407" s="24">
        <f>IF($W407="","",IFERROR(IF(ISNUMBER(INDEX($F$9:$F$2008,$W407)),INDEX($F$9:$F$2008,$W407),VALUE(SUBSTITUTE(INDEX($F$9:$F$2008,$W407),",",""))),""))</f>
        <v/>
      </c>
      <c r="AE407" s="24">
        <f>IF($W407="","",IFERROR(IF(ISNUMBER(INDEX($G$9:$G$2008,$W407)),INDEX($G$9:$G$2008,$W407),VALUE(SUBSTITUTE(INDEX($G$9:$G$2008,$W407),",",""))),""))</f>
        <v/>
      </c>
      <c r="AF407" s="24">
        <f>IF($W407="","",IFERROR(IF(ISNUMBER(INDEX($H$9:$H$2008,$W407)),INDEX($H$9:$H$2008,$W407),VALUE(SUBSTITUTE(INDEX($H$9:$H$2008,$W407),",",""))),""))</f>
        <v/>
      </c>
      <c r="AG407" s="24">
        <f>IF($W407="","",IFERROR(IF(ISNUMBER(INDEX($I$9:$I$2008,$W407)),INDEX($I$9:$I$2008,$W407),VALUE(SUBSTITUTE(INDEX($I$9:$I$2008,$W407),",",""))),""))</f>
        <v/>
      </c>
      <c r="AH407" s="24">
        <f>IF($W407="","",IFERROR(IF(ISNUMBER(INDEX($J$9:$J$2008,$W407)),INDEX($J$9:$J$2008,$W407),VALUE(SUBSTITUTE(INDEX($J$9:$J$2008,$W407),",",""))),""))</f>
        <v/>
      </c>
      <c r="AI407" s="24">
        <f>IF($W407="","",IFERROR(IF(ISNUMBER(INDEX($K$9:$K$2008,$W407)),INDEX($K$9:$K$2008,$W407),VALUE(SUBSTITUTE(INDEX($K$9:$K$2008,$W407),",",""))),""))</f>
        <v/>
      </c>
      <c r="AJ407" s="25">
        <f>IF($W407="","",IFERROR(IF(ISNUMBER(INDEX($L$9:$L$2008,$W407)),INDEX($L$9:$L$2008,$W407),VALUE(SUBSTITUTE(INDEX($L$9:$L$2008,$W407),",",""))),""))</f>
        <v/>
      </c>
      <c r="AK407" s="25">
        <f>IF($W407="","",IFERROR(IF(ISNUMBER(INDEX($M$9:$M$2008,$W407)),INDEX($M$9:$M$2008,$W407),VALUE(SUBSTITUTE(INDEX($M$9:$M$2008,$W407),",",""))),""))</f>
        <v/>
      </c>
      <c r="AL407" s="26">
        <f>IF($W407="","",IFERROR(IF(ISNUMBER(INDEX($P$9:$P$2008,$W407)),INDEX($P$9:$P$2008,$W407),VALUE(SUBSTITUTE(INDEX($P$9:$P$2008,$W407),"%",""))/100),""))</f>
        <v/>
      </c>
    </row>
    <row r="408">
      <c r="S408">
        <f>IF(AND(ISTEXT($A408),ISNUMBER(SEARCH(" - ",$A408)),ISERROR(SEARCH("Folio",$A408)),$D408=""),TRIM($A408),$S407)</f>
        <v/>
      </c>
      <c r="T408">
        <f>IF(AND(ISNUMBER(SEARCH("Folio",$A408)),$D408&lt;&gt;""),1,"")</f>
        <v/>
      </c>
      <c r="U408">
        <f>IF($T408=1,COUNTIF($T$9:$T408,1),"")</f>
        <v/>
      </c>
      <c r="V408">
        <f>IF(AND(ISTEXT($A408),LEFT($A409,3)="Pan"),1,"")</f>
        <v/>
      </c>
      <c r="W408" s="21">
        <f>IFERROR(MATCH(400,$U$9:$U$2008,0),"")</f>
        <v/>
      </c>
      <c r="X408" s="27">
        <f>IF($W408="","",IF($R$5&lt;&gt;"",$R$5,$R$6))</f>
        <v/>
      </c>
      <c r="Y408" s="27">
        <f>IF($W408="","",INDEX($S$9:$S$2008,$W408))</f>
        <v/>
      </c>
      <c r="Z408" s="27">
        <f>IF($W408="","",IFERROR(TRIM(LEFT(SUBSTITUTE(INDEX($A$9:$A$2008,$W408),CHAR(10)," "),SEARCH("Folio",SUBSTITUTE(INDEX($A$9:$A$2008,$W408),CHAR(10)," "))-1)),TRIM(SUBSTITUTE(INDEX($A$9:$A$2008,$W408),CHAR(10)," "))))</f>
        <v/>
      </c>
      <c r="AA408" s="27">
        <f>IF($W408="","",IFERROR(TRIM(SUBSTITUTE(MID(SUBSTITUTE(INDEX($A$9:$A$2008,$W408),CHAR(10)," "),SEARCH("Folio",SUBSTITUTE(INDEX($A$9:$A$2008,$W408),CHAR(10)," "))+5,200),":","")),""))</f>
        <v/>
      </c>
      <c r="AB408" s="28">
        <f>IF($W408="","",IF(ISNUMBER(INDEX($D$9:$D$2008,$W408)),INDEX($D$9:$D$2008,$W408),IFERROR(DATE(2000+VALUE(RIGHT(INDEX($D$9:$D$2008,$W408),2)),VALUE(MID(INDEX($D$9:$D$2008,$W408),4,2)),VALUE(LEFT(INDEX($D$9:$D$2008,$W408),2))),"")))</f>
        <v/>
      </c>
      <c r="AC408" s="29">
        <f>IF($W408="","",IFERROR(IF(ISNUMBER(INDEX($E$9:$E$2008,$W408)),INDEX($E$9:$E$2008,$W408),VALUE(SUBSTITUTE(INDEX($E$9:$E$2008,$W408),",",""))),""))</f>
        <v/>
      </c>
      <c r="AD408" s="29">
        <f>IF($W408="","",IFERROR(IF(ISNUMBER(INDEX($F$9:$F$2008,$W408)),INDEX($F$9:$F$2008,$W408),VALUE(SUBSTITUTE(INDEX($F$9:$F$2008,$W408),",",""))),""))</f>
        <v/>
      </c>
      <c r="AE408" s="29">
        <f>IF($W408="","",IFERROR(IF(ISNUMBER(INDEX($G$9:$G$2008,$W408)),INDEX($G$9:$G$2008,$W408),VALUE(SUBSTITUTE(INDEX($G$9:$G$2008,$W408),",",""))),""))</f>
        <v/>
      </c>
      <c r="AF408" s="29">
        <f>IF($W408="","",IFERROR(IF(ISNUMBER(INDEX($H$9:$H$2008,$W408)),INDEX($H$9:$H$2008,$W408),VALUE(SUBSTITUTE(INDEX($H$9:$H$2008,$W408),",",""))),""))</f>
        <v/>
      </c>
      <c r="AG408" s="29">
        <f>IF($W408="","",IFERROR(IF(ISNUMBER(INDEX($I$9:$I$2008,$W408)),INDEX($I$9:$I$2008,$W408),VALUE(SUBSTITUTE(INDEX($I$9:$I$2008,$W408),",",""))),""))</f>
        <v/>
      </c>
      <c r="AH408" s="29">
        <f>IF($W408="","",IFERROR(IF(ISNUMBER(INDEX($J$9:$J$2008,$W408)),INDEX($J$9:$J$2008,$W408),VALUE(SUBSTITUTE(INDEX($J$9:$J$2008,$W408),",",""))),""))</f>
        <v/>
      </c>
      <c r="AI408" s="29">
        <f>IF($W408="","",IFERROR(IF(ISNUMBER(INDEX($K$9:$K$2008,$W408)),INDEX($K$9:$K$2008,$W408),VALUE(SUBSTITUTE(INDEX($K$9:$K$2008,$W408),",",""))),""))</f>
        <v/>
      </c>
      <c r="AJ408" s="30">
        <f>IF($W408="","",IFERROR(IF(ISNUMBER(INDEX($L$9:$L$2008,$W408)),INDEX($L$9:$L$2008,$W408),VALUE(SUBSTITUTE(INDEX($L$9:$L$2008,$W408),",",""))),""))</f>
        <v/>
      </c>
      <c r="AK408" s="30">
        <f>IF($W408="","",IFERROR(IF(ISNUMBER(INDEX($M$9:$M$2008,$W408)),INDEX($M$9:$M$2008,$W408),VALUE(SUBSTITUTE(INDEX($M$9:$M$2008,$W408),",",""))),""))</f>
        <v/>
      </c>
      <c r="AL408" s="31">
        <f>IF($W408="","",IFERROR(IF(ISNUMBER(INDEX($P$9:$P$2008,$W408)),INDEX($P$9:$P$2008,$W408),VALUE(SUBSTITUTE(INDEX($P$9:$P$2008,$W408),"%",""))/100),""))</f>
        <v/>
      </c>
    </row>
    <row r="409">
      <c r="S409">
        <f>IF(AND(ISTEXT($A409),ISNUMBER(SEARCH(" - ",$A409)),ISERROR(SEARCH("Folio",$A409)),$D409=""),TRIM($A409),$S408)</f>
        <v/>
      </c>
      <c r="T409">
        <f>IF(AND(ISNUMBER(SEARCH("Folio",$A409)),$D409&lt;&gt;""),1,"")</f>
        <v/>
      </c>
      <c r="U409">
        <f>IF($T409=1,COUNTIF($T$9:$T409,1),"")</f>
        <v/>
      </c>
      <c r="V409">
        <f>IF(AND(ISTEXT($A409),LEFT($A410,3)="Pan"),1,"")</f>
        <v/>
      </c>
    </row>
    <row r="410">
      <c r="S410">
        <f>IF(AND(ISTEXT($A410),ISNUMBER(SEARCH(" - ",$A410)),ISERROR(SEARCH("Folio",$A410)),$D410=""),TRIM($A410),$S409)</f>
        <v/>
      </c>
      <c r="T410">
        <f>IF(AND(ISNUMBER(SEARCH("Folio",$A410)),$D410&lt;&gt;""),1,"")</f>
        <v/>
      </c>
      <c r="U410">
        <f>IF($T410=1,COUNTIF($T$9:$T410,1),"")</f>
        <v/>
      </c>
      <c r="V410">
        <f>IF(AND(ISTEXT($A410),LEFT($A411,3)="Pan"),1,"")</f>
        <v/>
      </c>
      <c r="X410" s="32" t="inlineStr">
        <is>
          <t>Takes up to 400 schemes from a report of up to 2000 rows. Clear the paste area before importing the next client.</t>
        </is>
      </c>
    </row>
    <row r="411">
      <c r="S411">
        <f>IF(AND(ISTEXT($A411),ISNUMBER(SEARCH(" - ",$A411)),ISERROR(SEARCH("Folio",$A411)),$D411=""),TRIM($A411),$S410)</f>
        <v/>
      </c>
      <c r="T411">
        <f>IF(AND(ISNUMBER(SEARCH("Folio",$A411)),$D411&lt;&gt;""),1,"")</f>
        <v/>
      </c>
      <c r="U411">
        <f>IF($T411=1,COUNTIF($T$9:$T411,1),"")</f>
        <v/>
      </c>
      <c r="V411">
        <f>IF(AND(ISTEXT($A411),LEFT($A412,3)="Pan"),1,"")</f>
        <v/>
      </c>
    </row>
    <row r="412">
      <c r="S412">
        <f>IF(AND(ISTEXT($A412),ISNUMBER(SEARCH(" - ",$A412)),ISERROR(SEARCH("Folio",$A412)),$D412=""),TRIM($A412),$S411)</f>
        <v/>
      </c>
      <c r="T412">
        <f>IF(AND(ISNUMBER(SEARCH("Folio",$A412)),$D412&lt;&gt;""),1,"")</f>
        <v/>
      </c>
      <c r="U412">
        <f>IF($T412=1,COUNTIF($T$9:$T412,1),"")</f>
        <v/>
      </c>
      <c r="V412">
        <f>IF(AND(ISTEXT($A412),LEFT($A413,3)="Pan"),1,"")</f>
        <v/>
      </c>
    </row>
    <row r="413">
      <c r="S413">
        <f>IF(AND(ISTEXT($A413),ISNUMBER(SEARCH(" - ",$A413)),ISERROR(SEARCH("Folio",$A413)),$D413=""),TRIM($A413),$S412)</f>
        <v/>
      </c>
      <c r="T413">
        <f>IF(AND(ISNUMBER(SEARCH("Folio",$A413)),$D413&lt;&gt;""),1,"")</f>
        <v/>
      </c>
      <c r="U413">
        <f>IF($T413=1,COUNTIF($T$9:$T413,1),"")</f>
        <v/>
      </c>
      <c r="V413">
        <f>IF(AND(ISTEXT($A413),LEFT($A414,3)="Pan"),1,"")</f>
        <v/>
      </c>
    </row>
    <row r="414">
      <c r="S414">
        <f>IF(AND(ISTEXT($A414),ISNUMBER(SEARCH(" - ",$A414)),ISERROR(SEARCH("Folio",$A414)),$D414=""),TRIM($A414),$S413)</f>
        <v/>
      </c>
      <c r="T414">
        <f>IF(AND(ISNUMBER(SEARCH("Folio",$A414)),$D414&lt;&gt;""),1,"")</f>
        <v/>
      </c>
      <c r="U414">
        <f>IF($T414=1,COUNTIF($T$9:$T414,1),"")</f>
        <v/>
      </c>
      <c r="V414">
        <f>IF(AND(ISTEXT($A414),LEFT($A415,3)="Pan"),1,"")</f>
        <v/>
      </c>
    </row>
    <row r="415">
      <c r="S415">
        <f>IF(AND(ISTEXT($A415),ISNUMBER(SEARCH(" - ",$A415)),ISERROR(SEARCH("Folio",$A415)),$D415=""),TRIM($A415),$S414)</f>
        <v/>
      </c>
      <c r="T415">
        <f>IF(AND(ISNUMBER(SEARCH("Folio",$A415)),$D415&lt;&gt;""),1,"")</f>
        <v/>
      </c>
      <c r="U415">
        <f>IF($T415=1,COUNTIF($T$9:$T415,1),"")</f>
        <v/>
      </c>
      <c r="V415">
        <f>IF(AND(ISTEXT($A415),LEFT($A416,3)="Pan"),1,"")</f>
        <v/>
      </c>
    </row>
    <row r="416">
      <c r="S416">
        <f>IF(AND(ISTEXT($A416),ISNUMBER(SEARCH(" - ",$A416)),ISERROR(SEARCH("Folio",$A416)),$D416=""),TRIM($A416),$S415)</f>
        <v/>
      </c>
      <c r="T416">
        <f>IF(AND(ISNUMBER(SEARCH("Folio",$A416)),$D416&lt;&gt;""),1,"")</f>
        <v/>
      </c>
      <c r="U416">
        <f>IF($T416=1,COUNTIF($T$9:$T416,1),"")</f>
        <v/>
      </c>
      <c r="V416">
        <f>IF(AND(ISTEXT($A416),LEFT($A417,3)="Pan"),1,"")</f>
        <v/>
      </c>
    </row>
    <row r="417">
      <c r="S417">
        <f>IF(AND(ISTEXT($A417),ISNUMBER(SEARCH(" - ",$A417)),ISERROR(SEARCH("Folio",$A417)),$D417=""),TRIM($A417),$S416)</f>
        <v/>
      </c>
      <c r="T417">
        <f>IF(AND(ISNUMBER(SEARCH("Folio",$A417)),$D417&lt;&gt;""),1,"")</f>
        <v/>
      </c>
      <c r="U417">
        <f>IF($T417=1,COUNTIF($T$9:$T417,1),"")</f>
        <v/>
      </c>
      <c r="V417">
        <f>IF(AND(ISTEXT($A417),LEFT($A418,3)="Pan"),1,"")</f>
        <v/>
      </c>
    </row>
    <row r="418">
      <c r="S418">
        <f>IF(AND(ISTEXT($A418),ISNUMBER(SEARCH(" - ",$A418)),ISERROR(SEARCH("Folio",$A418)),$D418=""),TRIM($A418),$S417)</f>
        <v/>
      </c>
      <c r="T418">
        <f>IF(AND(ISNUMBER(SEARCH("Folio",$A418)),$D418&lt;&gt;""),1,"")</f>
        <v/>
      </c>
      <c r="U418">
        <f>IF($T418=1,COUNTIF($T$9:$T418,1),"")</f>
        <v/>
      </c>
      <c r="V418">
        <f>IF(AND(ISTEXT($A418),LEFT($A419,3)="Pan"),1,"")</f>
        <v/>
      </c>
    </row>
    <row r="419">
      <c r="S419">
        <f>IF(AND(ISTEXT($A419),ISNUMBER(SEARCH(" - ",$A419)),ISERROR(SEARCH("Folio",$A419)),$D419=""),TRIM($A419),$S418)</f>
        <v/>
      </c>
      <c r="T419">
        <f>IF(AND(ISNUMBER(SEARCH("Folio",$A419)),$D419&lt;&gt;""),1,"")</f>
        <v/>
      </c>
      <c r="U419">
        <f>IF($T419=1,COUNTIF($T$9:$T419,1),"")</f>
        <v/>
      </c>
      <c r="V419">
        <f>IF(AND(ISTEXT($A419),LEFT($A420,3)="Pan"),1,"")</f>
        <v/>
      </c>
    </row>
    <row r="420">
      <c r="S420">
        <f>IF(AND(ISTEXT($A420),ISNUMBER(SEARCH(" - ",$A420)),ISERROR(SEARCH("Folio",$A420)),$D420=""),TRIM($A420),$S419)</f>
        <v/>
      </c>
      <c r="T420">
        <f>IF(AND(ISNUMBER(SEARCH("Folio",$A420)),$D420&lt;&gt;""),1,"")</f>
        <v/>
      </c>
      <c r="U420">
        <f>IF($T420=1,COUNTIF($T$9:$T420,1),"")</f>
        <v/>
      </c>
      <c r="V420">
        <f>IF(AND(ISTEXT($A420),LEFT($A421,3)="Pan"),1,"")</f>
        <v/>
      </c>
    </row>
    <row r="421">
      <c r="S421">
        <f>IF(AND(ISTEXT($A421),ISNUMBER(SEARCH(" - ",$A421)),ISERROR(SEARCH("Folio",$A421)),$D421=""),TRIM($A421),$S420)</f>
        <v/>
      </c>
      <c r="T421">
        <f>IF(AND(ISNUMBER(SEARCH("Folio",$A421)),$D421&lt;&gt;""),1,"")</f>
        <v/>
      </c>
      <c r="U421">
        <f>IF($T421=1,COUNTIF($T$9:$T421,1),"")</f>
        <v/>
      </c>
      <c r="V421">
        <f>IF(AND(ISTEXT($A421),LEFT($A422,3)="Pan"),1,"")</f>
        <v/>
      </c>
    </row>
    <row r="422">
      <c r="S422">
        <f>IF(AND(ISTEXT($A422),ISNUMBER(SEARCH(" - ",$A422)),ISERROR(SEARCH("Folio",$A422)),$D422=""),TRIM($A422),$S421)</f>
        <v/>
      </c>
      <c r="T422">
        <f>IF(AND(ISNUMBER(SEARCH("Folio",$A422)),$D422&lt;&gt;""),1,"")</f>
        <v/>
      </c>
      <c r="U422">
        <f>IF($T422=1,COUNTIF($T$9:$T422,1),"")</f>
        <v/>
      </c>
      <c r="V422">
        <f>IF(AND(ISTEXT($A422),LEFT($A423,3)="Pan"),1,"")</f>
        <v/>
      </c>
    </row>
    <row r="423">
      <c r="S423">
        <f>IF(AND(ISTEXT($A423),ISNUMBER(SEARCH(" - ",$A423)),ISERROR(SEARCH("Folio",$A423)),$D423=""),TRIM($A423),$S422)</f>
        <v/>
      </c>
      <c r="T423">
        <f>IF(AND(ISNUMBER(SEARCH("Folio",$A423)),$D423&lt;&gt;""),1,"")</f>
        <v/>
      </c>
      <c r="U423">
        <f>IF($T423=1,COUNTIF($T$9:$T423,1),"")</f>
        <v/>
      </c>
      <c r="V423">
        <f>IF(AND(ISTEXT($A423),LEFT($A424,3)="Pan"),1,"")</f>
        <v/>
      </c>
    </row>
    <row r="424">
      <c r="S424">
        <f>IF(AND(ISTEXT($A424),ISNUMBER(SEARCH(" - ",$A424)),ISERROR(SEARCH("Folio",$A424)),$D424=""),TRIM($A424),$S423)</f>
        <v/>
      </c>
      <c r="T424">
        <f>IF(AND(ISNUMBER(SEARCH("Folio",$A424)),$D424&lt;&gt;""),1,"")</f>
        <v/>
      </c>
      <c r="U424">
        <f>IF($T424=1,COUNTIF($T$9:$T424,1),"")</f>
        <v/>
      </c>
      <c r="V424">
        <f>IF(AND(ISTEXT($A424),LEFT($A425,3)="Pan"),1,"")</f>
        <v/>
      </c>
    </row>
    <row r="425">
      <c r="S425">
        <f>IF(AND(ISTEXT($A425),ISNUMBER(SEARCH(" - ",$A425)),ISERROR(SEARCH("Folio",$A425)),$D425=""),TRIM($A425),$S424)</f>
        <v/>
      </c>
      <c r="T425">
        <f>IF(AND(ISNUMBER(SEARCH("Folio",$A425)),$D425&lt;&gt;""),1,"")</f>
        <v/>
      </c>
      <c r="U425">
        <f>IF($T425=1,COUNTIF($T$9:$T425,1),"")</f>
        <v/>
      </c>
      <c r="V425">
        <f>IF(AND(ISTEXT($A425),LEFT($A426,3)="Pan"),1,"")</f>
        <v/>
      </c>
    </row>
    <row r="426">
      <c r="S426">
        <f>IF(AND(ISTEXT($A426),ISNUMBER(SEARCH(" - ",$A426)),ISERROR(SEARCH("Folio",$A426)),$D426=""),TRIM($A426),$S425)</f>
        <v/>
      </c>
      <c r="T426">
        <f>IF(AND(ISNUMBER(SEARCH("Folio",$A426)),$D426&lt;&gt;""),1,"")</f>
        <v/>
      </c>
      <c r="U426">
        <f>IF($T426=1,COUNTIF($T$9:$T426,1),"")</f>
        <v/>
      </c>
      <c r="V426">
        <f>IF(AND(ISTEXT($A426),LEFT($A427,3)="Pan"),1,"")</f>
        <v/>
      </c>
    </row>
    <row r="427">
      <c r="S427">
        <f>IF(AND(ISTEXT($A427),ISNUMBER(SEARCH(" - ",$A427)),ISERROR(SEARCH("Folio",$A427)),$D427=""),TRIM($A427),$S426)</f>
        <v/>
      </c>
      <c r="T427">
        <f>IF(AND(ISNUMBER(SEARCH("Folio",$A427)),$D427&lt;&gt;""),1,"")</f>
        <v/>
      </c>
      <c r="U427">
        <f>IF($T427=1,COUNTIF($T$9:$T427,1),"")</f>
        <v/>
      </c>
      <c r="V427">
        <f>IF(AND(ISTEXT($A427),LEFT($A428,3)="Pan"),1,"")</f>
        <v/>
      </c>
    </row>
    <row r="428">
      <c r="S428">
        <f>IF(AND(ISTEXT($A428),ISNUMBER(SEARCH(" - ",$A428)),ISERROR(SEARCH("Folio",$A428)),$D428=""),TRIM($A428),$S427)</f>
        <v/>
      </c>
      <c r="T428">
        <f>IF(AND(ISNUMBER(SEARCH("Folio",$A428)),$D428&lt;&gt;""),1,"")</f>
        <v/>
      </c>
      <c r="U428">
        <f>IF($T428=1,COUNTIF($T$9:$T428,1),"")</f>
        <v/>
      </c>
      <c r="V428">
        <f>IF(AND(ISTEXT($A428),LEFT($A429,3)="Pan"),1,"")</f>
        <v/>
      </c>
    </row>
    <row r="429">
      <c r="S429">
        <f>IF(AND(ISTEXT($A429),ISNUMBER(SEARCH(" - ",$A429)),ISERROR(SEARCH("Folio",$A429)),$D429=""),TRIM($A429),$S428)</f>
        <v/>
      </c>
      <c r="T429">
        <f>IF(AND(ISNUMBER(SEARCH("Folio",$A429)),$D429&lt;&gt;""),1,"")</f>
        <v/>
      </c>
      <c r="U429">
        <f>IF($T429=1,COUNTIF($T$9:$T429,1),"")</f>
        <v/>
      </c>
      <c r="V429">
        <f>IF(AND(ISTEXT($A429),LEFT($A430,3)="Pan"),1,"")</f>
        <v/>
      </c>
    </row>
    <row r="430">
      <c r="S430">
        <f>IF(AND(ISTEXT($A430),ISNUMBER(SEARCH(" - ",$A430)),ISERROR(SEARCH("Folio",$A430)),$D430=""),TRIM($A430),$S429)</f>
        <v/>
      </c>
      <c r="T430">
        <f>IF(AND(ISNUMBER(SEARCH("Folio",$A430)),$D430&lt;&gt;""),1,"")</f>
        <v/>
      </c>
      <c r="U430">
        <f>IF($T430=1,COUNTIF($T$9:$T430,1),"")</f>
        <v/>
      </c>
      <c r="V430">
        <f>IF(AND(ISTEXT($A430),LEFT($A431,3)="Pan"),1,"")</f>
        <v/>
      </c>
    </row>
    <row r="431">
      <c r="S431">
        <f>IF(AND(ISTEXT($A431),ISNUMBER(SEARCH(" - ",$A431)),ISERROR(SEARCH("Folio",$A431)),$D431=""),TRIM($A431),$S430)</f>
        <v/>
      </c>
      <c r="T431">
        <f>IF(AND(ISNUMBER(SEARCH("Folio",$A431)),$D431&lt;&gt;""),1,"")</f>
        <v/>
      </c>
      <c r="U431">
        <f>IF($T431=1,COUNTIF($T$9:$T431,1),"")</f>
        <v/>
      </c>
      <c r="V431">
        <f>IF(AND(ISTEXT($A431),LEFT($A432,3)="Pan"),1,"")</f>
        <v/>
      </c>
    </row>
    <row r="432">
      <c r="S432">
        <f>IF(AND(ISTEXT($A432),ISNUMBER(SEARCH(" - ",$A432)),ISERROR(SEARCH("Folio",$A432)),$D432=""),TRIM($A432),$S431)</f>
        <v/>
      </c>
      <c r="T432">
        <f>IF(AND(ISNUMBER(SEARCH("Folio",$A432)),$D432&lt;&gt;""),1,"")</f>
        <v/>
      </c>
      <c r="U432">
        <f>IF($T432=1,COUNTIF($T$9:$T432,1),"")</f>
        <v/>
      </c>
      <c r="V432">
        <f>IF(AND(ISTEXT($A432),LEFT($A433,3)="Pan"),1,"")</f>
        <v/>
      </c>
    </row>
    <row r="433">
      <c r="S433">
        <f>IF(AND(ISTEXT($A433),ISNUMBER(SEARCH(" - ",$A433)),ISERROR(SEARCH("Folio",$A433)),$D433=""),TRIM($A433),$S432)</f>
        <v/>
      </c>
      <c r="T433">
        <f>IF(AND(ISNUMBER(SEARCH("Folio",$A433)),$D433&lt;&gt;""),1,"")</f>
        <v/>
      </c>
      <c r="U433">
        <f>IF($T433=1,COUNTIF($T$9:$T433,1),"")</f>
        <v/>
      </c>
      <c r="V433">
        <f>IF(AND(ISTEXT($A433),LEFT($A434,3)="Pan"),1,"")</f>
        <v/>
      </c>
    </row>
    <row r="434">
      <c r="S434">
        <f>IF(AND(ISTEXT($A434),ISNUMBER(SEARCH(" - ",$A434)),ISERROR(SEARCH("Folio",$A434)),$D434=""),TRIM($A434),$S433)</f>
        <v/>
      </c>
      <c r="T434">
        <f>IF(AND(ISNUMBER(SEARCH("Folio",$A434)),$D434&lt;&gt;""),1,"")</f>
        <v/>
      </c>
      <c r="U434">
        <f>IF($T434=1,COUNTIF($T$9:$T434,1),"")</f>
        <v/>
      </c>
      <c r="V434">
        <f>IF(AND(ISTEXT($A434),LEFT($A435,3)="Pan"),1,"")</f>
        <v/>
      </c>
    </row>
    <row r="435">
      <c r="S435">
        <f>IF(AND(ISTEXT($A435),ISNUMBER(SEARCH(" - ",$A435)),ISERROR(SEARCH("Folio",$A435)),$D435=""),TRIM($A435),$S434)</f>
        <v/>
      </c>
      <c r="T435">
        <f>IF(AND(ISNUMBER(SEARCH("Folio",$A435)),$D435&lt;&gt;""),1,"")</f>
        <v/>
      </c>
      <c r="U435">
        <f>IF($T435=1,COUNTIF($T$9:$T435,1),"")</f>
        <v/>
      </c>
      <c r="V435">
        <f>IF(AND(ISTEXT($A435),LEFT($A436,3)="Pan"),1,"")</f>
        <v/>
      </c>
    </row>
    <row r="436">
      <c r="S436">
        <f>IF(AND(ISTEXT($A436),ISNUMBER(SEARCH(" - ",$A436)),ISERROR(SEARCH("Folio",$A436)),$D436=""),TRIM($A436),$S435)</f>
        <v/>
      </c>
      <c r="T436">
        <f>IF(AND(ISNUMBER(SEARCH("Folio",$A436)),$D436&lt;&gt;""),1,"")</f>
        <v/>
      </c>
      <c r="U436">
        <f>IF($T436=1,COUNTIF($T$9:$T436,1),"")</f>
        <v/>
      </c>
      <c r="V436">
        <f>IF(AND(ISTEXT($A436),LEFT($A437,3)="Pan"),1,"")</f>
        <v/>
      </c>
    </row>
    <row r="437">
      <c r="S437">
        <f>IF(AND(ISTEXT($A437),ISNUMBER(SEARCH(" - ",$A437)),ISERROR(SEARCH("Folio",$A437)),$D437=""),TRIM($A437),$S436)</f>
        <v/>
      </c>
      <c r="T437">
        <f>IF(AND(ISNUMBER(SEARCH("Folio",$A437)),$D437&lt;&gt;""),1,"")</f>
        <v/>
      </c>
      <c r="U437">
        <f>IF($T437=1,COUNTIF($T$9:$T437,1),"")</f>
        <v/>
      </c>
      <c r="V437">
        <f>IF(AND(ISTEXT($A437),LEFT($A438,3)="Pan"),1,"")</f>
        <v/>
      </c>
    </row>
    <row r="438">
      <c r="S438">
        <f>IF(AND(ISTEXT($A438),ISNUMBER(SEARCH(" - ",$A438)),ISERROR(SEARCH("Folio",$A438)),$D438=""),TRIM($A438),$S437)</f>
        <v/>
      </c>
      <c r="T438">
        <f>IF(AND(ISNUMBER(SEARCH("Folio",$A438)),$D438&lt;&gt;""),1,"")</f>
        <v/>
      </c>
      <c r="U438">
        <f>IF($T438=1,COUNTIF($T$9:$T438,1),"")</f>
        <v/>
      </c>
      <c r="V438">
        <f>IF(AND(ISTEXT($A438),LEFT($A439,3)="Pan"),1,"")</f>
        <v/>
      </c>
    </row>
    <row r="439">
      <c r="S439">
        <f>IF(AND(ISTEXT($A439),ISNUMBER(SEARCH(" - ",$A439)),ISERROR(SEARCH("Folio",$A439)),$D439=""),TRIM($A439),$S438)</f>
        <v/>
      </c>
      <c r="T439">
        <f>IF(AND(ISNUMBER(SEARCH("Folio",$A439)),$D439&lt;&gt;""),1,"")</f>
        <v/>
      </c>
      <c r="U439">
        <f>IF($T439=1,COUNTIF($T$9:$T439,1),"")</f>
        <v/>
      </c>
      <c r="V439">
        <f>IF(AND(ISTEXT($A439),LEFT($A440,3)="Pan"),1,"")</f>
        <v/>
      </c>
    </row>
    <row r="440">
      <c r="S440">
        <f>IF(AND(ISTEXT($A440),ISNUMBER(SEARCH(" - ",$A440)),ISERROR(SEARCH("Folio",$A440)),$D440=""),TRIM($A440),$S439)</f>
        <v/>
      </c>
      <c r="T440">
        <f>IF(AND(ISNUMBER(SEARCH("Folio",$A440)),$D440&lt;&gt;""),1,"")</f>
        <v/>
      </c>
      <c r="U440">
        <f>IF($T440=1,COUNTIF($T$9:$T440,1),"")</f>
        <v/>
      </c>
      <c r="V440">
        <f>IF(AND(ISTEXT($A440),LEFT($A441,3)="Pan"),1,"")</f>
        <v/>
      </c>
    </row>
    <row r="441">
      <c r="S441">
        <f>IF(AND(ISTEXT($A441),ISNUMBER(SEARCH(" - ",$A441)),ISERROR(SEARCH("Folio",$A441)),$D441=""),TRIM($A441),$S440)</f>
        <v/>
      </c>
      <c r="T441">
        <f>IF(AND(ISNUMBER(SEARCH("Folio",$A441)),$D441&lt;&gt;""),1,"")</f>
        <v/>
      </c>
      <c r="U441">
        <f>IF($T441=1,COUNTIF($T$9:$T441,1),"")</f>
        <v/>
      </c>
      <c r="V441">
        <f>IF(AND(ISTEXT($A441),LEFT($A442,3)="Pan"),1,"")</f>
        <v/>
      </c>
    </row>
    <row r="442">
      <c r="S442">
        <f>IF(AND(ISTEXT($A442),ISNUMBER(SEARCH(" - ",$A442)),ISERROR(SEARCH("Folio",$A442)),$D442=""),TRIM($A442),$S441)</f>
        <v/>
      </c>
      <c r="T442">
        <f>IF(AND(ISNUMBER(SEARCH("Folio",$A442)),$D442&lt;&gt;""),1,"")</f>
        <v/>
      </c>
      <c r="U442">
        <f>IF($T442=1,COUNTIF($T$9:$T442,1),"")</f>
        <v/>
      </c>
      <c r="V442">
        <f>IF(AND(ISTEXT($A442),LEFT($A443,3)="Pan"),1,"")</f>
        <v/>
      </c>
    </row>
    <row r="443">
      <c r="S443">
        <f>IF(AND(ISTEXT($A443),ISNUMBER(SEARCH(" - ",$A443)),ISERROR(SEARCH("Folio",$A443)),$D443=""),TRIM($A443),$S442)</f>
        <v/>
      </c>
      <c r="T443">
        <f>IF(AND(ISNUMBER(SEARCH("Folio",$A443)),$D443&lt;&gt;""),1,"")</f>
        <v/>
      </c>
      <c r="U443">
        <f>IF($T443=1,COUNTIF($T$9:$T443,1),"")</f>
        <v/>
      </c>
      <c r="V443">
        <f>IF(AND(ISTEXT($A443),LEFT($A444,3)="Pan"),1,"")</f>
        <v/>
      </c>
    </row>
    <row r="444">
      <c r="S444">
        <f>IF(AND(ISTEXT($A444),ISNUMBER(SEARCH(" - ",$A444)),ISERROR(SEARCH("Folio",$A444)),$D444=""),TRIM($A444),$S443)</f>
        <v/>
      </c>
      <c r="T444">
        <f>IF(AND(ISNUMBER(SEARCH("Folio",$A444)),$D444&lt;&gt;""),1,"")</f>
        <v/>
      </c>
      <c r="U444">
        <f>IF($T444=1,COUNTIF($T$9:$T444,1),"")</f>
        <v/>
      </c>
      <c r="V444">
        <f>IF(AND(ISTEXT($A444),LEFT($A445,3)="Pan"),1,"")</f>
        <v/>
      </c>
    </row>
    <row r="445">
      <c r="S445">
        <f>IF(AND(ISTEXT($A445),ISNUMBER(SEARCH(" - ",$A445)),ISERROR(SEARCH("Folio",$A445)),$D445=""),TRIM($A445),$S444)</f>
        <v/>
      </c>
      <c r="T445">
        <f>IF(AND(ISNUMBER(SEARCH("Folio",$A445)),$D445&lt;&gt;""),1,"")</f>
        <v/>
      </c>
      <c r="U445">
        <f>IF($T445=1,COUNTIF($T$9:$T445,1),"")</f>
        <v/>
      </c>
      <c r="V445">
        <f>IF(AND(ISTEXT($A445),LEFT($A446,3)="Pan"),1,"")</f>
        <v/>
      </c>
    </row>
    <row r="446">
      <c r="S446">
        <f>IF(AND(ISTEXT($A446),ISNUMBER(SEARCH(" - ",$A446)),ISERROR(SEARCH("Folio",$A446)),$D446=""),TRIM($A446),$S445)</f>
        <v/>
      </c>
      <c r="T446">
        <f>IF(AND(ISNUMBER(SEARCH("Folio",$A446)),$D446&lt;&gt;""),1,"")</f>
        <v/>
      </c>
      <c r="U446">
        <f>IF($T446=1,COUNTIF($T$9:$T446,1),"")</f>
        <v/>
      </c>
      <c r="V446">
        <f>IF(AND(ISTEXT($A446),LEFT($A447,3)="Pan"),1,"")</f>
        <v/>
      </c>
    </row>
    <row r="447">
      <c r="S447">
        <f>IF(AND(ISTEXT($A447),ISNUMBER(SEARCH(" - ",$A447)),ISERROR(SEARCH("Folio",$A447)),$D447=""),TRIM($A447),$S446)</f>
        <v/>
      </c>
      <c r="T447">
        <f>IF(AND(ISNUMBER(SEARCH("Folio",$A447)),$D447&lt;&gt;""),1,"")</f>
        <v/>
      </c>
      <c r="U447">
        <f>IF($T447=1,COUNTIF($T$9:$T447,1),"")</f>
        <v/>
      </c>
      <c r="V447">
        <f>IF(AND(ISTEXT($A447),LEFT($A448,3)="Pan"),1,"")</f>
        <v/>
      </c>
    </row>
    <row r="448">
      <c r="S448">
        <f>IF(AND(ISTEXT($A448),ISNUMBER(SEARCH(" - ",$A448)),ISERROR(SEARCH("Folio",$A448)),$D448=""),TRIM($A448),$S447)</f>
        <v/>
      </c>
      <c r="T448">
        <f>IF(AND(ISNUMBER(SEARCH("Folio",$A448)),$D448&lt;&gt;""),1,"")</f>
        <v/>
      </c>
      <c r="U448">
        <f>IF($T448=1,COUNTIF($T$9:$T448,1),"")</f>
        <v/>
      </c>
      <c r="V448">
        <f>IF(AND(ISTEXT($A448),LEFT($A449,3)="Pan"),1,"")</f>
        <v/>
      </c>
    </row>
    <row r="449">
      <c r="S449">
        <f>IF(AND(ISTEXT($A449),ISNUMBER(SEARCH(" - ",$A449)),ISERROR(SEARCH("Folio",$A449)),$D449=""),TRIM($A449),$S448)</f>
        <v/>
      </c>
      <c r="T449">
        <f>IF(AND(ISNUMBER(SEARCH("Folio",$A449)),$D449&lt;&gt;""),1,"")</f>
        <v/>
      </c>
      <c r="U449">
        <f>IF($T449=1,COUNTIF($T$9:$T449,1),"")</f>
        <v/>
      </c>
      <c r="V449">
        <f>IF(AND(ISTEXT($A449),LEFT($A450,3)="Pan"),1,"")</f>
        <v/>
      </c>
    </row>
    <row r="450">
      <c r="S450">
        <f>IF(AND(ISTEXT($A450),ISNUMBER(SEARCH(" - ",$A450)),ISERROR(SEARCH("Folio",$A450)),$D450=""),TRIM($A450),$S449)</f>
        <v/>
      </c>
      <c r="T450">
        <f>IF(AND(ISNUMBER(SEARCH("Folio",$A450)),$D450&lt;&gt;""),1,"")</f>
        <v/>
      </c>
      <c r="U450">
        <f>IF($T450=1,COUNTIF($T$9:$T450,1),"")</f>
        <v/>
      </c>
      <c r="V450">
        <f>IF(AND(ISTEXT($A450),LEFT($A451,3)="Pan"),1,"")</f>
        <v/>
      </c>
    </row>
    <row r="451">
      <c r="S451">
        <f>IF(AND(ISTEXT($A451),ISNUMBER(SEARCH(" - ",$A451)),ISERROR(SEARCH("Folio",$A451)),$D451=""),TRIM($A451),$S450)</f>
        <v/>
      </c>
      <c r="T451">
        <f>IF(AND(ISNUMBER(SEARCH("Folio",$A451)),$D451&lt;&gt;""),1,"")</f>
        <v/>
      </c>
      <c r="U451">
        <f>IF($T451=1,COUNTIF($T$9:$T451,1),"")</f>
        <v/>
      </c>
      <c r="V451">
        <f>IF(AND(ISTEXT($A451),LEFT($A452,3)="Pan"),1,"")</f>
        <v/>
      </c>
    </row>
    <row r="452">
      <c r="S452">
        <f>IF(AND(ISTEXT($A452),ISNUMBER(SEARCH(" - ",$A452)),ISERROR(SEARCH("Folio",$A452)),$D452=""),TRIM($A452),$S451)</f>
        <v/>
      </c>
      <c r="T452">
        <f>IF(AND(ISNUMBER(SEARCH("Folio",$A452)),$D452&lt;&gt;""),1,"")</f>
        <v/>
      </c>
      <c r="U452">
        <f>IF($T452=1,COUNTIF($T$9:$T452,1),"")</f>
        <v/>
      </c>
      <c r="V452">
        <f>IF(AND(ISTEXT($A452),LEFT($A453,3)="Pan"),1,"")</f>
        <v/>
      </c>
    </row>
    <row r="453">
      <c r="S453">
        <f>IF(AND(ISTEXT($A453),ISNUMBER(SEARCH(" - ",$A453)),ISERROR(SEARCH("Folio",$A453)),$D453=""),TRIM($A453),$S452)</f>
        <v/>
      </c>
      <c r="T453">
        <f>IF(AND(ISNUMBER(SEARCH("Folio",$A453)),$D453&lt;&gt;""),1,"")</f>
        <v/>
      </c>
      <c r="U453">
        <f>IF($T453=1,COUNTIF($T$9:$T453,1),"")</f>
        <v/>
      </c>
      <c r="V453">
        <f>IF(AND(ISTEXT($A453),LEFT($A454,3)="Pan"),1,"")</f>
        <v/>
      </c>
    </row>
    <row r="454">
      <c r="S454">
        <f>IF(AND(ISTEXT($A454),ISNUMBER(SEARCH(" - ",$A454)),ISERROR(SEARCH("Folio",$A454)),$D454=""),TRIM($A454),$S453)</f>
        <v/>
      </c>
      <c r="T454">
        <f>IF(AND(ISNUMBER(SEARCH("Folio",$A454)),$D454&lt;&gt;""),1,"")</f>
        <v/>
      </c>
      <c r="U454">
        <f>IF($T454=1,COUNTIF($T$9:$T454,1),"")</f>
        <v/>
      </c>
      <c r="V454">
        <f>IF(AND(ISTEXT($A454),LEFT($A455,3)="Pan"),1,"")</f>
        <v/>
      </c>
    </row>
    <row r="455">
      <c r="S455">
        <f>IF(AND(ISTEXT($A455),ISNUMBER(SEARCH(" - ",$A455)),ISERROR(SEARCH("Folio",$A455)),$D455=""),TRIM($A455),$S454)</f>
        <v/>
      </c>
      <c r="T455">
        <f>IF(AND(ISNUMBER(SEARCH("Folio",$A455)),$D455&lt;&gt;""),1,"")</f>
        <v/>
      </c>
      <c r="U455">
        <f>IF($T455=1,COUNTIF($T$9:$T455,1),"")</f>
        <v/>
      </c>
      <c r="V455">
        <f>IF(AND(ISTEXT($A455),LEFT($A456,3)="Pan"),1,"")</f>
        <v/>
      </c>
    </row>
    <row r="456">
      <c r="S456">
        <f>IF(AND(ISTEXT($A456),ISNUMBER(SEARCH(" - ",$A456)),ISERROR(SEARCH("Folio",$A456)),$D456=""),TRIM($A456),$S455)</f>
        <v/>
      </c>
      <c r="T456">
        <f>IF(AND(ISNUMBER(SEARCH("Folio",$A456)),$D456&lt;&gt;""),1,"")</f>
        <v/>
      </c>
      <c r="U456">
        <f>IF($T456=1,COUNTIF($T$9:$T456,1),"")</f>
        <v/>
      </c>
      <c r="V456">
        <f>IF(AND(ISTEXT($A456),LEFT($A457,3)="Pan"),1,"")</f>
        <v/>
      </c>
    </row>
    <row r="457">
      <c r="S457">
        <f>IF(AND(ISTEXT($A457),ISNUMBER(SEARCH(" - ",$A457)),ISERROR(SEARCH("Folio",$A457)),$D457=""),TRIM($A457),$S456)</f>
        <v/>
      </c>
      <c r="T457">
        <f>IF(AND(ISNUMBER(SEARCH("Folio",$A457)),$D457&lt;&gt;""),1,"")</f>
        <v/>
      </c>
      <c r="U457">
        <f>IF($T457=1,COUNTIF($T$9:$T457,1),"")</f>
        <v/>
      </c>
      <c r="V457">
        <f>IF(AND(ISTEXT($A457),LEFT($A458,3)="Pan"),1,"")</f>
        <v/>
      </c>
    </row>
    <row r="458">
      <c r="S458">
        <f>IF(AND(ISTEXT($A458),ISNUMBER(SEARCH(" - ",$A458)),ISERROR(SEARCH("Folio",$A458)),$D458=""),TRIM($A458),$S457)</f>
        <v/>
      </c>
      <c r="T458">
        <f>IF(AND(ISNUMBER(SEARCH("Folio",$A458)),$D458&lt;&gt;""),1,"")</f>
        <v/>
      </c>
      <c r="U458">
        <f>IF($T458=1,COUNTIF($T$9:$T458,1),"")</f>
        <v/>
      </c>
      <c r="V458">
        <f>IF(AND(ISTEXT($A458),LEFT($A459,3)="Pan"),1,"")</f>
        <v/>
      </c>
    </row>
    <row r="459">
      <c r="S459">
        <f>IF(AND(ISTEXT($A459),ISNUMBER(SEARCH(" - ",$A459)),ISERROR(SEARCH("Folio",$A459)),$D459=""),TRIM($A459),$S458)</f>
        <v/>
      </c>
      <c r="T459">
        <f>IF(AND(ISNUMBER(SEARCH("Folio",$A459)),$D459&lt;&gt;""),1,"")</f>
        <v/>
      </c>
      <c r="U459">
        <f>IF($T459=1,COUNTIF($T$9:$T459,1),"")</f>
        <v/>
      </c>
      <c r="V459">
        <f>IF(AND(ISTEXT($A459),LEFT($A460,3)="Pan"),1,"")</f>
        <v/>
      </c>
    </row>
    <row r="460">
      <c r="S460">
        <f>IF(AND(ISTEXT($A460),ISNUMBER(SEARCH(" - ",$A460)),ISERROR(SEARCH("Folio",$A460)),$D460=""),TRIM($A460),$S459)</f>
        <v/>
      </c>
      <c r="T460">
        <f>IF(AND(ISNUMBER(SEARCH("Folio",$A460)),$D460&lt;&gt;""),1,"")</f>
        <v/>
      </c>
      <c r="U460">
        <f>IF($T460=1,COUNTIF($T$9:$T460,1),"")</f>
        <v/>
      </c>
      <c r="V460">
        <f>IF(AND(ISTEXT($A460),LEFT($A461,3)="Pan"),1,"")</f>
        <v/>
      </c>
    </row>
    <row r="461">
      <c r="S461">
        <f>IF(AND(ISTEXT($A461),ISNUMBER(SEARCH(" - ",$A461)),ISERROR(SEARCH("Folio",$A461)),$D461=""),TRIM($A461),$S460)</f>
        <v/>
      </c>
      <c r="T461">
        <f>IF(AND(ISNUMBER(SEARCH("Folio",$A461)),$D461&lt;&gt;""),1,"")</f>
        <v/>
      </c>
      <c r="U461">
        <f>IF($T461=1,COUNTIF($T$9:$T461,1),"")</f>
        <v/>
      </c>
      <c r="V461">
        <f>IF(AND(ISTEXT($A461),LEFT($A462,3)="Pan"),1,"")</f>
        <v/>
      </c>
    </row>
    <row r="462">
      <c r="S462">
        <f>IF(AND(ISTEXT($A462),ISNUMBER(SEARCH(" - ",$A462)),ISERROR(SEARCH("Folio",$A462)),$D462=""),TRIM($A462),$S461)</f>
        <v/>
      </c>
      <c r="T462">
        <f>IF(AND(ISNUMBER(SEARCH("Folio",$A462)),$D462&lt;&gt;""),1,"")</f>
        <v/>
      </c>
      <c r="U462">
        <f>IF($T462=1,COUNTIF($T$9:$T462,1),"")</f>
        <v/>
      </c>
      <c r="V462">
        <f>IF(AND(ISTEXT($A462),LEFT($A463,3)="Pan"),1,"")</f>
        <v/>
      </c>
    </row>
    <row r="463">
      <c r="S463">
        <f>IF(AND(ISTEXT($A463),ISNUMBER(SEARCH(" - ",$A463)),ISERROR(SEARCH("Folio",$A463)),$D463=""),TRIM($A463),$S462)</f>
        <v/>
      </c>
      <c r="T463">
        <f>IF(AND(ISNUMBER(SEARCH("Folio",$A463)),$D463&lt;&gt;""),1,"")</f>
        <v/>
      </c>
      <c r="U463">
        <f>IF($T463=1,COUNTIF($T$9:$T463,1),"")</f>
        <v/>
      </c>
      <c r="V463">
        <f>IF(AND(ISTEXT($A463),LEFT($A464,3)="Pan"),1,"")</f>
        <v/>
      </c>
    </row>
    <row r="464">
      <c r="S464">
        <f>IF(AND(ISTEXT($A464),ISNUMBER(SEARCH(" - ",$A464)),ISERROR(SEARCH("Folio",$A464)),$D464=""),TRIM($A464),$S463)</f>
        <v/>
      </c>
      <c r="T464">
        <f>IF(AND(ISNUMBER(SEARCH("Folio",$A464)),$D464&lt;&gt;""),1,"")</f>
        <v/>
      </c>
      <c r="U464">
        <f>IF($T464=1,COUNTIF($T$9:$T464,1),"")</f>
        <v/>
      </c>
      <c r="V464">
        <f>IF(AND(ISTEXT($A464),LEFT($A465,3)="Pan"),1,"")</f>
        <v/>
      </c>
    </row>
    <row r="465">
      <c r="S465">
        <f>IF(AND(ISTEXT($A465),ISNUMBER(SEARCH(" - ",$A465)),ISERROR(SEARCH("Folio",$A465)),$D465=""),TRIM($A465),$S464)</f>
        <v/>
      </c>
      <c r="T465">
        <f>IF(AND(ISNUMBER(SEARCH("Folio",$A465)),$D465&lt;&gt;""),1,"")</f>
        <v/>
      </c>
      <c r="U465">
        <f>IF($T465=1,COUNTIF($T$9:$T465,1),"")</f>
        <v/>
      </c>
      <c r="V465">
        <f>IF(AND(ISTEXT($A465),LEFT($A466,3)="Pan"),1,"")</f>
        <v/>
      </c>
    </row>
    <row r="466">
      <c r="S466">
        <f>IF(AND(ISTEXT($A466),ISNUMBER(SEARCH(" - ",$A466)),ISERROR(SEARCH("Folio",$A466)),$D466=""),TRIM($A466),$S465)</f>
        <v/>
      </c>
      <c r="T466">
        <f>IF(AND(ISNUMBER(SEARCH("Folio",$A466)),$D466&lt;&gt;""),1,"")</f>
        <v/>
      </c>
      <c r="U466">
        <f>IF($T466=1,COUNTIF($T$9:$T466,1),"")</f>
        <v/>
      </c>
      <c r="V466">
        <f>IF(AND(ISTEXT($A466),LEFT($A467,3)="Pan"),1,"")</f>
        <v/>
      </c>
    </row>
    <row r="467">
      <c r="S467">
        <f>IF(AND(ISTEXT($A467),ISNUMBER(SEARCH(" - ",$A467)),ISERROR(SEARCH("Folio",$A467)),$D467=""),TRIM($A467),$S466)</f>
        <v/>
      </c>
      <c r="T467">
        <f>IF(AND(ISNUMBER(SEARCH("Folio",$A467)),$D467&lt;&gt;""),1,"")</f>
        <v/>
      </c>
      <c r="U467">
        <f>IF($T467=1,COUNTIF($T$9:$T467,1),"")</f>
        <v/>
      </c>
      <c r="V467">
        <f>IF(AND(ISTEXT($A467),LEFT($A468,3)="Pan"),1,"")</f>
        <v/>
      </c>
    </row>
    <row r="468">
      <c r="S468">
        <f>IF(AND(ISTEXT($A468),ISNUMBER(SEARCH(" - ",$A468)),ISERROR(SEARCH("Folio",$A468)),$D468=""),TRIM($A468),$S467)</f>
        <v/>
      </c>
      <c r="T468">
        <f>IF(AND(ISNUMBER(SEARCH("Folio",$A468)),$D468&lt;&gt;""),1,"")</f>
        <v/>
      </c>
      <c r="U468">
        <f>IF($T468=1,COUNTIF($T$9:$T468,1),"")</f>
        <v/>
      </c>
      <c r="V468">
        <f>IF(AND(ISTEXT($A468),LEFT($A469,3)="Pan"),1,"")</f>
        <v/>
      </c>
    </row>
    <row r="469">
      <c r="S469">
        <f>IF(AND(ISTEXT($A469),ISNUMBER(SEARCH(" - ",$A469)),ISERROR(SEARCH("Folio",$A469)),$D469=""),TRIM($A469),$S468)</f>
        <v/>
      </c>
      <c r="T469">
        <f>IF(AND(ISNUMBER(SEARCH("Folio",$A469)),$D469&lt;&gt;""),1,"")</f>
        <v/>
      </c>
      <c r="U469">
        <f>IF($T469=1,COUNTIF($T$9:$T469,1),"")</f>
        <v/>
      </c>
      <c r="V469">
        <f>IF(AND(ISTEXT($A469),LEFT($A470,3)="Pan"),1,"")</f>
        <v/>
      </c>
    </row>
    <row r="470">
      <c r="S470">
        <f>IF(AND(ISTEXT($A470),ISNUMBER(SEARCH(" - ",$A470)),ISERROR(SEARCH("Folio",$A470)),$D470=""),TRIM($A470),$S469)</f>
        <v/>
      </c>
      <c r="T470">
        <f>IF(AND(ISNUMBER(SEARCH("Folio",$A470)),$D470&lt;&gt;""),1,"")</f>
        <v/>
      </c>
      <c r="U470">
        <f>IF($T470=1,COUNTIF($T$9:$T470,1),"")</f>
        <v/>
      </c>
      <c r="V470">
        <f>IF(AND(ISTEXT($A470),LEFT($A471,3)="Pan"),1,"")</f>
        <v/>
      </c>
    </row>
    <row r="471">
      <c r="S471">
        <f>IF(AND(ISTEXT($A471),ISNUMBER(SEARCH(" - ",$A471)),ISERROR(SEARCH("Folio",$A471)),$D471=""),TRIM($A471),$S470)</f>
        <v/>
      </c>
      <c r="T471">
        <f>IF(AND(ISNUMBER(SEARCH("Folio",$A471)),$D471&lt;&gt;""),1,"")</f>
        <v/>
      </c>
      <c r="U471">
        <f>IF($T471=1,COUNTIF($T$9:$T471,1),"")</f>
        <v/>
      </c>
      <c r="V471">
        <f>IF(AND(ISTEXT($A471),LEFT($A472,3)="Pan"),1,"")</f>
        <v/>
      </c>
    </row>
    <row r="472">
      <c r="S472">
        <f>IF(AND(ISTEXT($A472),ISNUMBER(SEARCH(" - ",$A472)),ISERROR(SEARCH("Folio",$A472)),$D472=""),TRIM($A472),$S471)</f>
        <v/>
      </c>
      <c r="T472">
        <f>IF(AND(ISNUMBER(SEARCH("Folio",$A472)),$D472&lt;&gt;""),1,"")</f>
        <v/>
      </c>
      <c r="U472">
        <f>IF($T472=1,COUNTIF($T$9:$T472,1),"")</f>
        <v/>
      </c>
      <c r="V472">
        <f>IF(AND(ISTEXT($A472),LEFT($A473,3)="Pan"),1,"")</f>
        <v/>
      </c>
    </row>
    <row r="473">
      <c r="S473">
        <f>IF(AND(ISTEXT($A473),ISNUMBER(SEARCH(" - ",$A473)),ISERROR(SEARCH("Folio",$A473)),$D473=""),TRIM($A473),$S472)</f>
        <v/>
      </c>
      <c r="T473">
        <f>IF(AND(ISNUMBER(SEARCH("Folio",$A473)),$D473&lt;&gt;""),1,"")</f>
        <v/>
      </c>
      <c r="U473">
        <f>IF($T473=1,COUNTIF($T$9:$T473,1),"")</f>
        <v/>
      </c>
      <c r="V473">
        <f>IF(AND(ISTEXT($A473),LEFT($A474,3)="Pan"),1,"")</f>
        <v/>
      </c>
    </row>
    <row r="474">
      <c r="S474">
        <f>IF(AND(ISTEXT($A474),ISNUMBER(SEARCH(" - ",$A474)),ISERROR(SEARCH("Folio",$A474)),$D474=""),TRIM($A474),$S473)</f>
        <v/>
      </c>
      <c r="T474">
        <f>IF(AND(ISNUMBER(SEARCH("Folio",$A474)),$D474&lt;&gt;""),1,"")</f>
        <v/>
      </c>
      <c r="U474">
        <f>IF($T474=1,COUNTIF($T$9:$T474,1),"")</f>
        <v/>
      </c>
      <c r="V474">
        <f>IF(AND(ISTEXT($A474),LEFT($A475,3)="Pan"),1,"")</f>
        <v/>
      </c>
    </row>
    <row r="475">
      <c r="S475">
        <f>IF(AND(ISTEXT($A475),ISNUMBER(SEARCH(" - ",$A475)),ISERROR(SEARCH("Folio",$A475)),$D475=""),TRIM($A475),$S474)</f>
        <v/>
      </c>
      <c r="T475">
        <f>IF(AND(ISNUMBER(SEARCH("Folio",$A475)),$D475&lt;&gt;""),1,"")</f>
        <v/>
      </c>
      <c r="U475">
        <f>IF($T475=1,COUNTIF($T$9:$T475,1),"")</f>
        <v/>
      </c>
      <c r="V475">
        <f>IF(AND(ISTEXT($A475),LEFT($A476,3)="Pan"),1,"")</f>
        <v/>
      </c>
    </row>
    <row r="476">
      <c r="S476">
        <f>IF(AND(ISTEXT($A476),ISNUMBER(SEARCH(" - ",$A476)),ISERROR(SEARCH("Folio",$A476)),$D476=""),TRIM($A476),$S475)</f>
        <v/>
      </c>
      <c r="T476">
        <f>IF(AND(ISNUMBER(SEARCH("Folio",$A476)),$D476&lt;&gt;""),1,"")</f>
        <v/>
      </c>
      <c r="U476">
        <f>IF($T476=1,COUNTIF($T$9:$T476,1),"")</f>
        <v/>
      </c>
      <c r="V476">
        <f>IF(AND(ISTEXT($A476),LEFT($A477,3)="Pan"),1,"")</f>
        <v/>
      </c>
    </row>
    <row r="477">
      <c r="S477">
        <f>IF(AND(ISTEXT($A477),ISNUMBER(SEARCH(" - ",$A477)),ISERROR(SEARCH("Folio",$A477)),$D477=""),TRIM($A477),$S476)</f>
        <v/>
      </c>
      <c r="T477">
        <f>IF(AND(ISNUMBER(SEARCH("Folio",$A477)),$D477&lt;&gt;""),1,"")</f>
        <v/>
      </c>
      <c r="U477">
        <f>IF($T477=1,COUNTIF($T$9:$T477,1),"")</f>
        <v/>
      </c>
      <c r="V477">
        <f>IF(AND(ISTEXT($A477),LEFT($A478,3)="Pan"),1,"")</f>
        <v/>
      </c>
    </row>
    <row r="478">
      <c r="S478">
        <f>IF(AND(ISTEXT($A478),ISNUMBER(SEARCH(" - ",$A478)),ISERROR(SEARCH("Folio",$A478)),$D478=""),TRIM($A478),$S477)</f>
        <v/>
      </c>
      <c r="T478">
        <f>IF(AND(ISNUMBER(SEARCH("Folio",$A478)),$D478&lt;&gt;""),1,"")</f>
        <v/>
      </c>
      <c r="U478">
        <f>IF($T478=1,COUNTIF($T$9:$T478,1),"")</f>
        <v/>
      </c>
      <c r="V478">
        <f>IF(AND(ISTEXT($A478),LEFT($A479,3)="Pan"),1,"")</f>
        <v/>
      </c>
    </row>
    <row r="479">
      <c r="S479">
        <f>IF(AND(ISTEXT($A479),ISNUMBER(SEARCH(" - ",$A479)),ISERROR(SEARCH("Folio",$A479)),$D479=""),TRIM($A479),$S478)</f>
        <v/>
      </c>
      <c r="T479">
        <f>IF(AND(ISNUMBER(SEARCH("Folio",$A479)),$D479&lt;&gt;""),1,"")</f>
        <v/>
      </c>
      <c r="U479">
        <f>IF($T479=1,COUNTIF($T$9:$T479,1),"")</f>
        <v/>
      </c>
      <c r="V479">
        <f>IF(AND(ISTEXT($A479),LEFT($A480,3)="Pan"),1,"")</f>
        <v/>
      </c>
    </row>
    <row r="480">
      <c r="S480">
        <f>IF(AND(ISTEXT($A480),ISNUMBER(SEARCH(" - ",$A480)),ISERROR(SEARCH("Folio",$A480)),$D480=""),TRIM($A480),$S479)</f>
        <v/>
      </c>
      <c r="T480">
        <f>IF(AND(ISNUMBER(SEARCH("Folio",$A480)),$D480&lt;&gt;""),1,"")</f>
        <v/>
      </c>
      <c r="U480">
        <f>IF($T480=1,COUNTIF($T$9:$T480,1),"")</f>
        <v/>
      </c>
      <c r="V480">
        <f>IF(AND(ISTEXT($A480),LEFT($A481,3)="Pan"),1,"")</f>
        <v/>
      </c>
    </row>
    <row r="481">
      <c r="S481">
        <f>IF(AND(ISTEXT($A481),ISNUMBER(SEARCH(" - ",$A481)),ISERROR(SEARCH("Folio",$A481)),$D481=""),TRIM($A481),$S480)</f>
        <v/>
      </c>
      <c r="T481">
        <f>IF(AND(ISNUMBER(SEARCH("Folio",$A481)),$D481&lt;&gt;""),1,"")</f>
        <v/>
      </c>
      <c r="U481">
        <f>IF($T481=1,COUNTIF($T$9:$T481,1),"")</f>
        <v/>
      </c>
      <c r="V481">
        <f>IF(AND(ISTEXT($A481),LEFT($A482,3)="Pan"),1,"")</f>
        <v/>
      </c>
    </row>
    <row r="482">
      <c r="S482">
        <f>IF(AND(ISTEXT($A482),ISNUMBER(SEARCH(" - ",$A482)),ISERROR(SEARCH("Folio",$A482)),$D482=""),TRIM($A482),$S481)</f>
        <v/>
      </c>
      <c r="T482">
        <f>IF(AND(ISNUMBER(SEARCH("Folio",$A482)),$D482&lt;&gt;""),1,"")</f>
        <v/>
      </c>
      <c r="U482">
        <f>IF($T482=1,COUNTIF($T$9:$T482,1),"")</f>
        <v/>
      </c>
      <c r="V482">
        <f>IF(AND(ISTEXT($A482),LEFT($A483,3)="Pan"),1,"")</f>
        <v/>
      </c>
    </row>
    <row r="483">
      <c r="S483">
        <f>IF(AND(ISTEXT($A483),ISNUMBER(SEARCH(" - ",$A483)),ISERROR(SEARCH("Folio",$A483)),$D483=""),TRIM($A483),$S482)</f>
        <v/>
      </c>
      <c r="T483">
        <f>IF(AND(ISNUMBER(SEARCH("Folio",$A483)),$D483&lt;&gt;""),1,"")</f>
        <v/>
      </c>
      <c r="U483">
        <f>IF($T483=1,COUNTIF($T$9:$T483,1),"")</f>
        <v/>
      </c>
      <c r="V483">
        <f>IF(AND(ISTEXT($A483),LEFT($A484,3)="Pan"),1,"")</f>
        <v/>
      </c>
    </row>
    <row r="484">
      <c r="S484">
        <f>IF(AND(ISTEXT($A484),ISNUMBER(SEARCH(" - ",$A484)),ISERROR(SEARCH("Folio",$A484)),$D484=""),TRIM($A484),$S483)</f>
        <v/>
      </c>
      <c r="T484">
        <f>IF(AND(ISNUMBER(SEARCH("Folio",$A484)),$D484&lt;&gt;""),1,"")</f>
        <v/>
      </c>
      <c r="U484">
        <f>IF($T484=1,COUNTIF($T$9:$T484,1),"")</f>
        <v/>
      </c>
      <c r="V484">
        <f>IF(AND(ISTEXT($A484),LEFT($A485,3)="Pan"),1,"")</f>
        <v/>
      </c>
    </row>
    <row r="485">
      <c r="S485">
        <f>IF(AND(ISTEXT($A485),ISNUMBER(SEARCH(" - ",$A485)),ISERROR(SEARCH("Folio",$A485)),$D485=""),TRIM($A485),$S484)</f>
        <v/>
      </c>
      <c r="T485">
        <f>IF(AND(ISNUMBER(SEARCH("Folio",$A485)),$D485&lt;&gt;""),1,"")</f>
        <v/>
      </c>
      <c r="U485">
        <f>IF($T485=1,COUNTIF($T$9:$T485,1),"")</f>
        <v/>
      </c>
      <c r="V485">
        <f>IF(AND(ISTEXT($A485),LEFT($A486,3)="Pan"),1,"")</f>
        <v/>
      </c>
    </row>
    <row r="486">
      <c r="S486">
        <f>IF(AND(ISTEXT($A486),ISNUMBER(SEARCH(" - ",$A486)),ISERROR(SEARCH("Folio",$A486)),$D486=""),TRIM($A486),$S485)</f>
        <v/>
      </c>
      <c r="T486">
        <f>IF(AND(ISNUMBER(SEARCH("Folio",$A486)),$D486&lt;&gt;""),1,"")</f>
        <v/>
      </c>
      <c r="U486">
        <f>IF($T486=1,COUNTIF($T$9:$T486,1),"")</f>
        <v/>
      </c>
      <c r="V486">
        <f>IF(AND(ISTEXT($A486),LEFT($A487,3)="Pan"),1,"")</f>
        <v/>
      </c>
    </row>
    <row r="487">
      <c r="S487">
        <f>IF(AND(ISTEXT($A487),ISNUMBER(SEARCH(" - ",$A487)),ISERROR(SEARCH("Folio",$A487)),$D487=""),TRIM($A487),$S486)</f>
        <v/>
      </c>
      <c r="T487">
        <f>IF(AND(ISNUMBER(SEARCH("Folio",$A487)),$D487&lt;&gt;""),1,"")</f>
        <v/>
      </c>
      <c r="U487">
        <f>IF($T487=1,COUNTIF($T$9:$T487,1),"")</f>
        <v/>
      </c>
      <c r="V487">
        <f>IF(AND(ISTEXT($A487),LEFT($A488,3)="Pan"),1,"")</f>
        <v/>
      </c>
    </row>
    <row r="488">
      <c r="S488">
        <f>IF(AND(ISTEXT($A488),ISNUMBER(SEARCH(" - ",$A488)),ISERROR(SEARCH("Folio",$A488)),$D488=""),TRIM($A488),$S487)</f>
        <v/>
      </c>
      <c r="T488">
        <f>IF(AND(ISNUMBER(SEARCH("Folio",$A488)),$D488&lt;&gt;""),1,"")</f>
        <v/>
      </c>
      <c r="U488">
        <f>IF($T488=1,COUNTIF($T$9:$T488,1),"")</f>
        <v/>
      </c>
      <c r="V488">
        <f>IF(AND(ISTEXT($A488),LEFT($A489,3)="Pan"),1,"")</f>
        <v/>
      </c>
    </row>
    <row r="489">
      <c r="S489">
        <f>IF(AND(ISTEXT($A489),ISNUMBER(SEARCH(" - ",$A489)),ISERROR(SEARCH("Folio",$A489)),$D489=""),TRIM($A489),$S488)</f>
        <v/>
      </c>
      <c r="T489">
        <f>IF(AND(ISNUMBER(SEARCH("Folio",$A489)),$D489&lt;&gt;""),1,"")</f>
        <v/>
      </c>
      <c r="U489">
        <f>IF($T489=1,COUNTIF($T$9:$T489,1),"")</f>
        <v/>
      </c>
      <c r="V489">
        <f>IF(AND(ISTEXT($A489),LEFT($A490,3)="Pan"),1,"")</f>
        <v/>
      </c>
    </row>
    <row r="490">
      <c r="S490">
        <f>IF(AND(ISTEXT($A490),ISNUMBER(SEARCH(" - ",$A490)),ISERROR(SEARCH("Folio",$A490)),$D490=""),TRIM($A490),$S489)</f>
        <v/>
      </c>
      <c r="T490">
        <f>IF(AND(ISNUMBER(SEARCH("Folio",$A490)),$D490&lt;&gt;""),1,"")</f>
        <v/>
      </c>
      <c r="U490">
        <f>IF($T490=1,COUNTIF($T$9:$T490,1),"")</f>
        <v/>
      </c>
      <c r="V490">
        <f>IF(AND(ISTEXT($A490),LEFT($A491,3)="Pan"),1,"")</f>
        <v/>
      </c>
    </row>
    <row r="491">
      <c r="S491">
        <f>IF(AND(ISTEXT($A491),ISNUMBER(SEARCH(" - ",$A491)),ISERROR(SEARCH("Folio",$A491)),$D491=""),TRIM($A491),$S490)</f>
        <v/>
      </c>
      <c r="T491">
        <f>IF(AND(ISNUMBER(SEARCH("Folio",$A491)),$D491&lt;&gt;""),1,"")</f>
        <v/>
      </c>
      <c r="U491">
        <f>IF($T491=1,COUNTIF($T$9:$T491,1),"")</f>
        <v/>
      </c>
      <c r="V491">
        <f>IF(AND(ISTEXT($A491),LEFT($A492,3)="Pan"),1,"")</f>
        <v/>
      </c>
    </row>
    <row r="492">
      <c r="S492">
        <f>IF(AND(ISTEXT($A492),ISNUMBER(SEARCH(" - ",$A492)),ISERROR(SEARCH("Folio",$A492)),$D492=""),TRIM($A492),$S491)</f>
        <v/>
      </c>
      <c r="T492">
        <f>IF(AND(ISNUMBER(SEARCH("Folio",$A492)),$D492&lt;&gt;""),1,"")</f>
        <v/>
      </c>
      <c r="U492">
        <f>IF($T492=1,COUNTIF($T$9:$T492,1),"")</f>
        <v/>
      </c>
      <c r="V492">
        <f>IF(AND(ISTEXT($A492),LEFT($A493,3)="Pan"),1,"")</f>
        <v/>
      </c>
    </row>
    <row r="493">
      <c r="S493">
        <f>IF(AND(ISTEXT($A493),ISNUMBER(SEARCH(" - ",$A493)),ISERROR(SEARCH("Folio",$A493)),$D493=""),TRIM($A493),$S492)</f>
        <v/>
      </c>
      <c r="T493">
        <f>IF(AND(ISNUMBER(SEARCH("Folio",$A493)),$D493&lt;&gt;""),1,"")</f>
        <v/>
      </c>
      <c r="U493">
        <f>IF($T493=1,COUNTIF($T$9:$T493,1),"")</f>
        <v/>
      </c>
      <c r="V493">
        <f>IF(AND(ISTEXT($A493),LEFT($A494,3)="Pan"),1,"")</f>
        <v/>
      </c>
    </row>
    <row r="494">
      <c r="S494">
        <f>IF(AND(ISTEXT($A494),ISNUMBER(SEARCH(" - ",$A494)),ISERROR(SEARCH("Folio",$A494)),$D494=""),TRIM($A494),$S493)</f>
        <v/>
      </c>
      <c r="T494">
        <f>IF(AND(ISNUMBER(SEARCH("Folio",$A494)),$D494&lt;&gt;""),1,"")</f>
        <v/>
      </c>
      <c r="U494">
        <f>IF($T494=1,COUNTIF($T$9:$T494,1),"")</f>
        <v/>
      </c>
      <c r="V494">
        <f>IF(AND(ISTEXT($A494),LEFT($A495,3)="Pan"),1,"")</f>
        <v/>
      </c>
    </row>
    <row r="495">
      <c r="S495">
        <f>IF(AND(ISTEXT($A495),ISNUMBER(SEARCH(" - ",$A495)),ISERROR(SEARCH("Folio",$A495)),$D495=""),TRIM($A495),$S494)</f>
        <v/>
      </c>
      <c r="T495">
        <f>IF(AND(ISNUMBER(SEARCH("Folio",$A495)),$D495&lt;&gt;""),1,"")</f>
        <v/>
      </c>
      <c r="U495">
        <f>IF($T495=1,COUNTIF($T$9:$T495,1),"")</f>
        <v/>
      </c>
      <c r="V495">
        <f>IF(AND(ISTEXT($A495),LEFT($A496,3)="Pan"),1,"")</f>
        <v/>
      </c>
    </row>
    <row r="496">
      <c r="S496">
        <f>IF(AND(ISTEXT($A496),ISNUMBER(SEARCH(" - ",$A496)),ISERROR(SEARCH("Folio",$A496)),$D496=""),TRIM($A496),$S495)</f>
        <v/>
      </c>
      <c r="T496">
        <f>IF(AND(ISNUMBER(SEARCH("Folio",$A496)),$D496&lt;&gt;""),1,"")</f>
        <v/>
      </c>
      <c r="U496">
        <f>IF($T496=1,COUNTIF($T$9:$T496,1),"")</f>
        <v/>
      </c>
      <c r="V496">
        <f>IF(AND(ISTEXT($A496),LEFT($A497,3)="Pan"),1,"")</f>
        <v/>
      </c>
    </row>
    <row r="497">
      <c r="S497">
        <f>IF(AND(ISTEXT($A497),ISNUMBER(SEARCH(" - ",$A497)),ISERROR(SEARCH("Folio",$A497)),$D497=""),TRIM($A497),$S496)</f>
        <v/>
      </c>
      <c r="T497">
        <f>IF(AND(ISNUMBER(SEARCH("Folio",$A497)),$D497&lt;&gt;""),1,"")</f>
        <v/>
      </c>
      <c r="U497">
        <f>IF($T497=1,COUNTIF($T$9:$T497,1),"")</f>
        <v/>
      </c>
      <c r="V497">
        <f>IF(AND(ISTEXT($A497),LEFT($A498,3)="Pan"),1,"")</f>
        <v/>
      </c>
    </row>
    <row r="498">
      <c r="S498">
        <f>IF(AND(ISTEXT($A498),ISNUMBER(SEARCH(" - ",$A498)),ISERROR(SEARCH("Folio",$A498)),$D498=""),TRIM($A498),$S497)</f>
        <v/>
      </c>
      <c r="T498">
        <f>IF(AND(ISNUMBER(SEARCH("Folio",$A498)),$D498&lt;&gt;""),1,"")</f>
        <v/>
      </c>
      <c r="U498">
        <f>IF($T498=1,COUNTIF($T$9:$T498,1),"")</f>
        <v/>
      </c>
      <c r="V498">
        <f>IF(AND(ISTEXT($A498),LEFT($A499,3)="Pan"),1,"")</f>
        <v/>
      </c>
    </row>
    <row r="499">
      <c r="S499">
        <f>IF(AND(ISTEXT($A499),ISNUMBER(SEARCH(" - ",$A499)),ISERROR(SEARCH("Folio",$A499)),$D499=""),TRIM($A499),$S498)</f>
        <v/>
      </c>
      <c r="T499">
        <f>IF(AND(ISNUMBER(SEARCH("Folio",$A499)),$D499&lt;&gt;""),1,"")</f>
        <v/>
      </c>
      <c r="U499">
        <f>IF($T499=1,COUNTIF($T$9:$T499,1),"")</f>
        <v/>
      </c>
      <c r="V499">
        <f>IF(AND(ISTEXT($A499),LEFT($A500,3)="Pan"),1,"")</f>
        <v/>
      </c>
    </row>
    <row r="500">
      <c r="S500">
        <f>IF(AND(ISTEXT($A500),ISNUMBER(SEARCH(" - ",$A500)),ISERROR(SEARCH("Folio",$A500)),$D500=""),TRIM($A500),$S499)</f>
        <v/>
      </c>
      <c r="T500">
        <f>IF(AND(ISNUMBER(SEARCH("Folio",$A500)),$D500&lt;&gt;""),1,"")</f>
        <v/>
      </c>
      <c r="U500">
        <f>IF($T500=1,COUNTIF($T$9:$T500,1),"")</f>
        <v/>
      </c>
      <c r="V500">
        <f>IF(AND(ISTEXT($A500),LEFT($A501,3)="Pan"),1,"")</f>
        <v/>
      </c>
    </row>
    <row r="501">
      <c r="S501">
        <f>IF(AND(ISTEXT($A501),ISNUMBER(SEARCH(" - ",$A501)),ISERROR(SEARCH("Folio",$A501)),$D501=""),TRIM($A501),$S500)</f>
        <v/>
      </c>
      <c r="T501">
        <f>IF(AND(ISNUMBER(SEARCH("Folio",$A501)),$D501&lt;&gt;""),1,"")</f>
        <v/>
      </c>
      <c r="U501">
        <f>IF($T501=1,COUNTIF($T$9:$T501,1),"")</f>
        <v/>
      </c>
      <c r="V501">
        <f>IF(AND(ISTEXT($A501),LEFT($A502,3)="Pan"),1,"")</f>
        <v/>
      </c>
    </row>
    <row r="502">
      <c r="S502">
        <f>IF(AND(ISTEXT($A502),ISNUMBER(SEARCH(" - ",$A502)),ISERROR(SEARCH("Folio",$A502)),$D502=""),TRIM($A502),$S501)</f>
        <v/>
      </c>
      <c r="T502">
        <f>IF(AND(ISNUMBER(SEARCH("Folio",$A502)),$D502&lt;&gt;""),1,"")</f>
        <v/>
      </c>
      <c r="U502">
        <f>IF($T502=1,COUNTIF($T$9:$T502,1),"")</f>
        <v/>
      </c>
      <c r="V502">
        <f>IF(AND(ISTEXT($A502),LEFT($A503,3)="Pan"),1,"")</f>
        <v/>
      </c>
    </row>
    <row r="503">
      <c r="S503">
        <f>IF(AND(ISTEXT($A503),ISNUMBER(SEARCH(" - ",$A503)),ISERROR(SEARCH("Folio",$A503)),$D503=""),TRIM($A503),$S502)</f>
        <v/>
      </c>
      <c r="T503">
        <f>IF(AND(ISNUMBER(SEARCH("Folio",$A503)),$D503&lt;&gt;""),1,"")</f>
        <v/>
      </c>
      <c r="U503">
        <f>IF($T503=1,COUNTIF($T$9:$T503,1),"")</f>
        <v/>
      </c>
      <c r="V503">
        <f>IF(AND(ISTEXT($A503),LEFT($A504,3)="Pan"),1,"")</f>
        <v/>
      </c>
    </row>
    <row r="504">
      <c r="S504">
        <f>IF(AND(ISTEXT($A504),ISNUMBER(SEARCH(" - ",$A504)),ISERROR(SEARCH("Folio",$A504)),$D504=""),TRIM($A504),$S503)</f>
        <v/>
      </c>
      <c r="T504">
        <f>IF(AND(ISNUMBER(SEARCH("Folio",$A504)),$D504&lt;&gt;""),1,"")</f>
        <v/>
      </c>
      <c r="U504">
        <f>IF($T504=1,COUNTIF($T$9:$T504,1),"")</f>
        <v/>
      </c>
      <c r="V504">
        <f>IF(AND(ISTEXT($A504),LEFT($A505,3)="Pan"),1,"")</f>
        <v/>
      </c>
    </row>
    <row r="505">
      <c r="S505">
        <f>IF(AND(ISTEXT($A505),ISNUMBER(SEARCH(" - ",$A505)),ISERROR(SEARCH("Folio",$A505)),$D505=""),TRIM($A505),$S504)</f>
        <v/>
      </c>
      <c r="T505">
        <f>IF(AND(ISNUMBER(SEARCH("Folio",$A505)),$D505&lt;&gt;""),1,"")</f>
        <v/>
      </c>
      <c r="U505">
        <f>IF($T505=1,COUNTIF($T$9:$T505,1),"")</f>
        <v/>
      </c>
      <c r="V505">
        <f>IF(AND(ISTEXT($A505),LEFT($A506,3)="Pan"),1,"")</f>
        <v/>
      </c>
    </row>
    <row r="506">
      <c r="S506">
        <f>IF(AND(ISTEXT($A506),ISNUMBER(SEARCH(" - ",$A506)),ISERROR(SEARCH("Folio",$A506)),$D506=""),TRIM($A506),$S505)</f>
        <v/>
      </c>
      <c r="T506">
        <f>IF(AND(ISNUMBER(SEARCH("Folio",$A506)),$D506&lt;&gt;""),1,"")</f>
        <v/>
      </c>
      <c r="U506">
        <f>IF($T506=1,COUNTIF($T$9:$T506,1),"")</f>
        <v/>
      </c>
      <c r="V506">
        <f>IF(AND(ISTEXT($A506),LEFT($A507,3)="Pan"),1,"")</f>
        <v/>
      </c>
    </row>
    <row r="507">
      <c r="S507">
        <f>IF(AND(ISTEXT($A507),ISNUMBER(SEARCH(" - ",$A507)),ISERROR(SEARCH("Folio",$A507)),$D507=""),TRIM($A507),$S506)</f>
        <v/>
      </c>
      <c r="T507">
        <f>IF(AND(ISNUMBER(SEARCH("Folio",$A507)),$D507&lt;&gt;""),1,"")</f>
        <v/>
      </c>
      <c r="U507">
        <f>IF($T507=1,COUNTIF($T$9:$T507,1),"")</f>
        <v/>
      </c>
      <c r="V507">
        <f>IF(AND(ISTEXT($A507),LEFT($A508,3)="Pan"),1,"")</f>
        <v/>
      </c>
    </row>
    <row r="508">
      <c r="S508">
        <f>IF(AND(ISTEXT($A508),ISNUMBER(SEARCH(" - ",$A508)),ISERROR(SEARCH("Folio",$A508)),$D508=""),TRIM($A508),$S507)</f>
        <v/>
      </c>
      <c r="T508">
        <f>IF(AND(ISNUMBER(SEARCH("Folio",$A508)),$D508&lt;&gt;""),1,"")</f>
        <v/>
      </c>
      <c r="U508">
        <f>IF($T508=1,COUNTIF($T$9:$T508,1),"")</f>
        <v/>
      </c>
      <c r="V508">
        <f>IF(AND(ISTEXT($A508),LEFT($A509,3)="Pan"),1,"")</f>
        <v/>
      </c>
    </row>
    <row r="509">
      <c r="S509">
        <f>IF(AND(ISTEXT($A509),ISNUMBER(SEARCH(" - ",$A509)),ISERROR(SEARCH("Folio",$A509)),$D509=""),TRIM($A509),$S508)</f>
        <v/>
      </c>
      <c r="T509">
        <f>IF(AND(ISNUMBER(SEARCH("Folio",$A509)),$D509&lt;&gt;""),1,"")</f>
        <v/>
      </c>
      <c r="U509">
        <f>IF($T509=1,COUNTIF($T$9:$T509,1),"")</f>
        <v/>
      </c>
      <c r="V509">
        <f>IF(AND(ISTEXT($A509),LEFT($A510,3)="Pan"),1,"")</f>
        <v/>
      </c>
    </row>
    <row r="510">
      <c r="S510">
        <f>IF(AND(ISTEXT($A510),ISNUMBER(SEARCH(" - ",$A510)),ISERROR(SEARCH("Folio",$A510)),$D510=""),TRIM($A510),$S509)</f>
        <v/>
      </c>
      <c r="T510">
        <f>IF(AND(ISNUMBER(SEARCH("Folio",$A510)),$D510&lt;&gt;""),1,"")</f>
        <v/>
      </c>
      <c r="U510">
        <f>IF($T510=1,COUNTIF($T$9:$T510,1),"")</f>
        <v/>
      </c>
      <c r="V510">
        <f>IF(AND(ISTEXT($A510),LEFT($A511,3)="Pan"),1,"")</f>
        <v/>
      </c>
    </row>
    <row r="511">
      <c r="S511">
        <f>IF(AND(ISTEXT($A511),ISNUMBER(SEARCH(" - ",$A511)),ISERROR(SEARCH("Folio",$A511)),$D511=""),TRIM($A511),$S510)</f>
        <v/>
      </c>
      <c r="T511">
        <f>IF(AND(ISNUMBER(SEARCH("Folio",$A511)),$D511&lt;&gt;""),1,"")</f>
        <v/>
      </c>
      <c r="U511">
        <f>IF($T511=1,COUNTIF($T$9:$T511,1),"")</f>
        <v/>
      </c>
      <c r="V511">
        <f>IF(AND(ISTEXT($A511),LEFT($A512,3)="Pan"),1,"")</f>
        <v/>
      </c>
    </row>
    <row r="512">
      <c r="S512">
        <f>IF(AND(ISTEXT($A512),ISNUMBER(SEARCH(" - ",$A512)),ISERROR(SEARCH("Folio",$A512)),$D512=""),TRIM($A512),$S511)</f>
        <v/>
      </c>
      <c r="T512">
        <f>IF(AND(ISNUMBER(SEARCH("Folio",$A512)),$D512&lt;&gt;""),1,"")</f>
        <v/>
      </c>
      <c r="U512">
        <f>IF($T512=1,COUNTIF($T$9:$T512,1),"")</f>
        <v/>
      </c>
      <c r="V512">
        <f>IF(AND(ISTEXT($A512),LEFT($A513,3)="Pan"),1,"")</f>
        <v/>
      </c>
    </row>
    <row r="513">
      <c r="S513">
        <f>IF(AND(ISTEXT($A513),ISNUMBER(SEARCH(" - ",$A513)),ISERROR(SEARCH("Folio",$A513)),$D513=""),TRIM($A513),$S512)</f>
        <v/>
      </c>
      <c r="T513">
        <f>IF(AND(ISNUMBER(SEARCH("Folio",$A513)),$D513&lt;&gt;""),1,"")</f>
        <v/>
      </c>
      <c r="U513">
        <f>IF($T513=1,COUNTIF($T$9:$T513,1),"")</f>
        <v/>
      </c>
      <c r="V513">
        <f>IF(AND(ISTEXT($A513),LEFT($A514,3)="Pan"),1,"")</f>
        <v/>
      </c>
    </row>
    <row r="514">
      <c r="S514">
        <f>IF(AND(ISTEXT($A514),ISNUMBER(SEARCH(" - ",$A514)),ISERROR(SEARCH("Folio",$A514)),$D514=""),TRIM($A514),$S513)</f>
        <v/>
      </c>
      <c r="T514">
        <f>IF(AND(ISNUMBER(SEARCH("Folio",$A514)),$D514&lt;&gt;""),1,"")</f>
        <v/>
      </c>
      <c r="U514">
        <f>IF($T514=1,COUNTIF($T$9:$T514,1),"")</f>
        <v/>
      </c>
      <c r="V514">
        <f>IF(AND(ISTEXT($A514),LEFT($A515,3)="Pan"),1,"")</f>
        <v/>
      </c>
    </row>
    <row r="515">
      <c r="S515">
        <f>IF(AND(ISTEXT($A515),ISNUMBER(SEARCH(" - ",$A515)),ISERROR(SEARCH("Folio",$A515)),$D515=""),TRIM($A515),$S514)</f>
        <v/>
      </c>
      <c r="T515">
        <f>IF(AND(ISNUMBER(SEARCH("Folio",$A515)),$D515&lt;&gt;""),1,"")</f>
        <v/>
      </c>
      <c r="U515">
        <f>IF($T515=1,COUNTIF($T$9:$T515,1),"")</f>
        <v/>
      </c>
      <c r="V515">
        <f>IF(AND(ISTEXT($A515),LEFT($A516,3)="Pan"),1,"")</f>
        <v/>
      </c>
    </row>
    <row r="516">
      <c r="S516">
        <f>IF(AND(ISTEXT($A516),ISNUMBER(SEARCH(" - ",$A516)),ISERROR(SEARCH("Folio",$A516)),$D516=""),TRIM($A516),$S515)</f>
        <v/>
      </c>
      <c r="T516">
        <f>IF(AND(ISNUMBER(SEARCH("Folio",$A516)),$D516&lt;&gt;""),1,"")</f>
        <v/>
      </c>
      <c r="U516">
        <f>IF($T516=1,COUNTIF($T$9:$T516,1),"")</f>
        <v/>
      </c>
      <c r="V516">
        <f>IF(AND(ISTEXT($A516),LEFT($A517,3)="Pan"),1,"")</f>
        <v/>
      </c>
    </row>
    <row r="517">
      <c r="S517">
        <f>IF(AND(ISTEXT($A517),ISNUMBER(SEARCH(" - ",$A517)),ISERROR(SEARCH("Folio",$A517)),$D517=""),TRIM($A517),$S516)</f>
        <v/>
      </c>
      <c r="T517">
        <f>IF(AND(ISNUMBER(SEARCH("Folio",$A517)),$D517&lt;&gt;""),1,"")</f>
        <v/>
      </c>
      <c r="U517">
        <f>IF($T517=1,COUNTIF($T$9:$T517,1),"")</f>
        <v/>
      </c>
      <c r="V517">
        <f>IF(AND(ISTEXT($A517),LEFT($A518,3)="Pan"),1,"")</f>
        <v/>
      </c>
    </row>
    <row r="518">
      <c r="S518">
        <f>IF(AND(ISTEXT($A518),ISNUMBER(SEARCH(" - ",$A518)),ISERROR(SEARCH("Folio",$A518)),$D518=""),TRIM($A518),$S517)</f>
        <v/>
      </c>
      <c r="T518">
        <f>IF(AND(ISNUMBER(SEARCH("Folio",$A518)),$D518&lt;&gt;""),1,"")</f>
        <v/>
      </c>
      <c r="U518">
        <f>IF($T518=1,COUNTIF($T$9:$T518,1),"")</f>
        <v/>
      </c>
      <c r="V518">
        <f>IF(AND(ISTEXT($A518),LEFT($A519,3)="Pan"),1,"")</f>
        <v/>
      </c>
    </row>
    <row r="519">
      <c r="S519">
        <f>IF(AND(ISTEXT($A519),ISNUMBER(SEARCH(" - ",$A519)),ISERROR(SEARCH("Folio",$A519)),$D519=""),TRIM($A519),$S518)</f>
        <v/>
      </c>
      <c r="T519">
        <f>IF(AND(ISNUMBER(SEARCH("Folio",$A519)),$D519&lt;&gt;""),1,"")</f>
        <v/>
      </c>
      <c r="U519">
        <f>IF($T519=1,COUNTIF($T$9:$T519,1),"")</f>
        <v/>
      </c>
      <c r="V519">
        <f>IF(AND(ISTEXT($A519),LEFT($A520,3)="Pan"),1,"")</f>
        <v/>
      </c>
    </row>
    <row r="520">
      <c r="S520">
        <f>IF(AND(ISTEXT($A520),ISNUMBER(SEARCH(" - ",$A520)),ISERROR(SEARCH("Folio",$A520)),$D520=""),TRIM($A520),$S519)</f>
        <v/>
      </c>
      <c r="T520">
        <f>IF(AND(ISNUMBER(SEARCH("Folio",$A520)),$D520&lt;&gt;""),1,"")</f>
        <v/>
      </c>
      <c r="U520">
        <f>IF($T520=1,COUNTIF($T$9:$T520,1),"")</f>
        <v/>
      </c>
      <c r="V520">
        <f>IF(AND(ISTEXT($A520),LEFT($A521,3)="Pan"),1,"")</f>
        <v/>
      </c>
    </row>
    <row r="521">
      <c r="S521">
        <f>IF(AND(ISTEXT($A521),ISNUMBER(SEARCH(" - ",$A521)),ISERROR(SEARCH("Folio",$A521)),$D521=""),TRIM($A521),$S520)</f>
        <v/>
      </c>
      <c r="T521">
        <f>IF(AND(ISNUMBER(SEARCH("Folio",$A521)),$D521&lt;&gt;""),1,"")</f>
        <v/>
      </c>
      <c r="U521">
        <f>IF($T521=1,COUNTIF($T$9:$T521,1),"")</f>
        <v/>
      </c>
      <c r="V521">
        <f>IF(AND(ISTEXT($A521),LEFT($A522,3)="Pan"),1,"")</f>
        <v/>
      </c>
    </row>
    <row r="522">
      <c r="S522">
        <f>IF(AND(ISTEXT($A522),ISNUMBER(SEARCH(" - ",$A522)),ISERROR(SEARCH("Folio",$A522)),$D522=""),TRIM($A522),$S521)</f>
        <v/>
      </c>
      <c r="T522">
        <f>IF(AND(ISNUMBER(SEARCH("Folio",$A522)),$D522&lt;&gt;""),1,"")</f>
        <v/>
      </c>
      <c r="U522">
        <f>IF($T522=1,COUNTIF($T$9:$T522,1),"")</f>
        <v/>
      </c>
      <c r="V522">
        <f>IF(AND(ISTEXT($A522),LEFT($A523,3)="Pan"),1,"")</f>
        <v/>
      </c>
    </row>
    <row r="523">
      <c r="S523">
        <f>IF(AND(ISTEXT($A523),ISNUMBER(SEARCH(" - ",$A523)),ISERROR(SEARCH("Folio",$A523)),$D523=""),TRIM($A523),$S522)</f>
        <v/>
      </c>
      <c r="T523">
        <f>IF(AND(ISNUMBER(SEARCH("Folio",$A523)),$D523&lt;&gt;""),1,"")</f>
        <v/>
      </c>
      <c r="U523">
        <f>IF($T523=1,COUNTIF($T$9:$T523,1),"")</f>
        <v/>
      </c>
      <c r="V523">
        <f>IF(AND(ISTEXT($A523),LEFT($A524,3)="Pan"),1,"")</f>
        <v/>
      </c>
    </row>
    <row r="524">
      <c r="S524">
        <f>IF(AND(ISTEXT($A524),ISNUMBER(SEARCH(" - ",$A524)),ISERROR(SEARCH("Folio",$A524)),$D524=""),TRIM($A524),$S523)</f>
        <v/>
      </c>
      <c r="T524">
        <f>IF(AND(ISNUMBER(SEARCH("Folio",$A524)),$D524&lt;&gt;""),1,"")</f>
        <v/>
      </c>
      <c r="U524">
        <f>IF($T524=1,COUNTIF($T$9:$T524,1),"")</f>
        <v/>
      </c>
      <c r="V524">
        <f>IF(AND(ISTEXT($A524),LEFT($A525,3)="Pan"),1,"")</f>
        <v/>
      </c>
    </row>
    <row r="525">
      <c r="S525">
        <f>IF(AND(ISTEXT($A525),ISNUMBER(SEARCH(" - ",$A525)),ISERROR(SEARCH("Folio",$A525)),$D525=""),TRIM($A525),$S524)</f>
        <v/>
      </c>
      <c r="T525">
        <f>IF(AND(ISNUMBER(SEARCH("Folio",$A525)),$D525&lt;&gt;""),1,"")</f>
        <v/>
      </c>
      <c r="U525">
        <f>IF($T525=1,COUNTIF($T$9:$T525,1),"")</f>
        <v/>
      </c>
      <c r="V525">
        <f>IF(AND(ISTEXT($A525),LEFT($A526,3)="Pan"),1,"")</f>
        <v/>
      </c>
    </row>
    <row r="526">
      <c r="S526">
        <f>IF(AND(ISTEXT($A526),ISNUMBER(SEARCH(" - ",$A526)),ISERROR(SEARCH("Folio",$A526)),$D526=""),TRIM($A526),$S525)</f>
        <v/>
      </c>
      <c r="T526">
        <f>IF(AND(ISNUMBER(SEARCH("Folio",$A526)),$D526&lt;&gt;""),1,"")</f>
        <v/>
      </c>
      <c r="U526">
        <f>IF($T526=1,COUNTIF($T$9:$T526,1),"")</f>
        <v/>
      </c>
      <c r="V526">
        <f>IF(AND(ISTEXT($A526),LEFT($A527,3)="Pan"),1,"")</f>
        <v/>
      </c>
    </row>
    <row r="527">
      <c r="S527">
        <f>IF(AND(ISTEXT($A527),ISNUMBER(SEARCH(" - ",$A527)),ISERROR(SEARCH("Folio",$A527)),$D527=""),TRIM($A527),$S526)</f>
        <v/>
      </c>
      <c r="T527">
        <f>IF(AND(ISNUMBER(SEARCH("Folio",$A527)),$D527&lt;&gt;""),1,"")</f>
        <v/>
      </c>
      <c r="U527">
        <f>IF($T527=1,COUNTIF($T$9:$T527,1),"")</f>
        <v/>
      </c>
      <c r="V527">
        <f>IF(AND(ISTEXT($A527),LEFT($A528,3)="Pan"),1,"")</f>
        <v/>
      </c>
    </row>
    <row r="528">
      <c r="S528">
        <f>IF(AND(ISTEXT($A528),ISNUMBER(SEARCH(" - ",$A528)),ISERROR(SEARCH("Folio",$A528)),$D528=""),TRIM($A528),$S527)</f>
        <v/>
      </c>
      <c r="T528">
        <f>IF(AND(ISNUMBER(SEARCH("Folio",$A528)),$D528&lt;&gt;""),1,"")</f>
        <v/>
      </c>
      <c r="U528">
        <f>IF($T528=1,COUNTIF($T$9:$T528,1),"")</f>
        <v/>
      </c>
      <c r="V528">
        <f>IF(AND(ISTEXT($A528),LEFT($A529,3)="Pan"),1,"")</f>
        <v/>
      </c>
    </row>
    <row r="529">
      <c r="S529">
        <f>IF(AND(ISTEXT($A529),ISNUMBER(SEARCH(" - ",$A529)),ISERROR(SEARCH("Folio",$A529)),$D529=""),TRIM($A529),$S528)</f>
        <v/>
      </c>
      <c r="T529">
        <f>IF(AND(ISNUMBER(SEARCH("Folio",$A529)),$D529&lt;&gt;""),1,"")</f>
        <v/>
      </c>
      <c r="U529">
        <f>IF($T529=1,COUNTIF($T$9:$T529,1),"")</f>
        <v/>
      </c>
      <c r="V529">
        <f>IF(AND(ISTEXT($A529),LEFT($A530,3)="Pan"),1,"")</f>
        <v/>
      </c>
    </row>
    <row r="530">
      <c r="S530">
        <f>IF(AND(ISTEXT($A530),ISNUMBER(SEARCH(" - ",$A530)),ISERROR(SEARCH("Folio",$A530)),$D530=""),TRIM($A530),$S529)</f>
        <v/>
      </c>
      <c r="T530">
        <f>IF(AND(ISNUMBER(SEARCH("Folio",$A530)),$D530&lt;&gt;""),1,"")</f>
        <v/>
      </c>
      <c r="U530">
        <f>IF($T530=1,COUNTIF($T$9:$T530,1),"")</f>
        <v/>
      </c>
      <c r="V530">
        <f>IF(AND(ISTEXT($A530),LEFT($A531,3)="Pan"),1,"")</f>
        <v/>
      </c>
    </row>
    <row r="531">
      <c r="S531">
        <f>IF(AND(ISTEXT($A531),ISNUMBER(SEARCH(" - ",$A531)),ISERROR(SEARCH("Folio",$A531)),$D531=""),TRIM($A531),$S530)</f>
        <v/>
      </c>
      <c r="T531">
        <f>IF(AND(ISNUMBER(SEARCH("Folio",$A531)),$D531&lt;&gt;""),1,"")</f>
        <v/>
      </c>
      <c r="U531">
        <f>IF($T531=1,COUNTIF($T$9:$T531,1),"")</f>
        <v/>
      </c>
      <c r="V531">
        <f>IF(AND(ISTEXT($A531),LEFT($A532,3)="Pan"),1,"")</f>
        <v/>
      </c>
    </row>
    <row r="532">
      <c r="S532">
        <f>IF(AND(ISTEXT($A532),ISNUMBER(SEARCH(" - ",$A532)),ISERROR(SEARCH("Folio",$A532)),$D532=""),TRIM($A532),$S531)</f>
        <v/>
      </c>
      <c r="T532">
        <f>IF(AND(ISNUMBER(SEARCH("Folio",$A532)),$D532&lt;&gt;""),1,"")</f>
        <v/>
      </c>
      <c r="U532">
        <f>IF($T532=1,COUNTIF($T$9:$T532,1),"")</f>
        <v/>
      </c>
      <c r="V532">
        <f>IF(AND(ISTEXT($A532),LEFT($A533,3)="Pan"),1,"")</f>
        <v/>
      </c>
    </row>
    <row r="533">
      <c r="S533">
        <f>IF(AND(ISTEXT($A533),ISNUMBER(SEARCH(" - ",$A533)),ISERROR(SEARCH("Folio",$A533)),$D533=""),TRIM($A533),$S532)</f>
        <v/>
      </c>
      <c r="T533">
        <f>IF(AND(ISNUMBER(SEARCH("Folio",$A533)),$D533&lt;&gt;""),1,"")</f>
        <v/>
      </c>
      <c r="U533">
        <f>IF($T533=1,COUNTIF($T$9:$T533,1),"")</f>
        <v/>
      </c>
      <c r="V533">
        <f>IF(AND(ISTEXT($A533),LEFT($A534,3)="Pan"),1,"")</f>
        <v/>
      </c>
    </row>
    <row r="534">
      <c r="S534">
        <f>IF(AND(ISTEXT($A534),ISNUMBER(SEARCH(" - ",$A534)),ISERROR(SEARCH("Folio",$A534)),$D534=""),TRIM($A534),$S533)</f>
        <v/>
      </c>
      <c r="T534">
        <f>IF(AND(ISNUMBER(SEARCH("Folio",$A534)),$D534&lt;&gt;""),1,"")</f>
        <v/>
      </c>
      <c r="U534">
        <f>IF($T534=1,COUNTIF($T$9:$T534,1),"")</f>
        <v/>
      </c>
      <c r="V534">
        <f>IF(AND(ISTEXT($A534),LEFT($A535,3)="Pan"),1,"")</f>
        <v/>
      </c>
    </row>
    <row r="535">
      <c r="S535">
        <f>IF(AND(ISTEXT($A535),ISNUMBER(SEARCH(" - ",$A535)),ISERROR(SEARCH("Folio",$A535)),$D535=""),TRIM($A535),$S534)</f>
        <v/>
      </c>
      <c r="T535">
        <f>IF(AND(ISNUMBER(SEARCH("Folio",$A535)),$D535&lt;&gt;""),1,"")</f>
        <v/>
      </c>
      <c r="U535">
        <f>IF($T535=1,COUNTIF($T$9:$T535,1),"")</f>
        <v/>
      </c>
      <c r="V535">
        <f>IF(AND(ISTEXT($A535),LEFT($A536,3)="Pan"),1,"")</f>
        <v/>
      </c>
    </row>
    <row r="536">
      <c r="S536">
        <f>IF(AND(ISTEXT($A536),ISNUMBER(SEARCH(" - ",$A536)),ISERROR(SEARCH("Folio",$A536)),$D536=""),TRIM($A536),$S535)</f>
        <v/>
      </c>
      <c r="T536">
        <f>IF(AND(ISNUMBER(SEARCH("Folio",$A536)),$D536&lt;&gt;""),1,"")</f>
        <v/>
      </c>
      <c r="U536">
        <f>IF($T536=1,COUNTIF($T$9:$T536,1),"")</f>
        <v/>
      </c>
      <c r="V536">
        <f>IF(AND(ISTEXT($A536),LEFT($A537,3)="Pan"),1,"")</f>
        <v/>
      </c>
    </row>
    <row r="537">
      <c r="S537">
        <f>IF(AND(ISTEXT($A537),ISNUMBER(SEARCH(" - ",$A537)),ISERROR(SEARCH("Folio",$A537)),$D537=""),TRIM($A537),$S536)</f>
        <v/>
      </c>
      <c r="T537">
        <f>IF(AND(ISNUMBER(SEARCH("Folio",$A537)),$D537&lt;&gt;""),1,"")</f>
        <v/>
      </c>
      <c r="U537">
        <f>IF($T537=1,COUNTIF($T$9:$T537,1),"")</f>
        <v/>
      </c>
      <c r="V537">
        <f>IF(AND(ISTEXT($A537),LEFT($A538,3)="Pan"),1,"")</f>
        <v/>
      </c>
    </row>
    <row r="538">
      <c r="S538">
        <f>IF(AND(ISTEXT($A538),ISNUMBER(SEARCH(" - ",$A538)),ISERROR(SEARCH("Folio",$A538)),$D538=""),TRIM($A538),$S537)</f>
        <v/>
      </c>
      <c r="T538">
        <f>IF(AND(ISNUMBER(SEARCH("Folio",$A538)),$D538&lt;&gt;""),1,"")</f>
        <v/>
      </c>
      <c r="U538">
        <f>IF($T538=1,COUNTIF($T$9:$T538,1),"")</f>
        <v/>
      </c>
      <c r="V538">
        <f>IF(AND(ISTEXT($A538),LEFT($A539,3)="Pan"),1,"")</f>
        <v/>
      </c>
    </row>
    <row r="539">
      <c r="S539">
        <f>IF(AND(ISTEXT($A539),ISNUMBER(SEARCH(" - ",$A539)),ISERROR(SEARCH("Folio",$A539)),$D539=""),TRIM($A539),$S538)</f>
        <v/>
      </c>
      <c r="T539">
        <f>IF(AND(ISNUMBER(SEARCH("Folio",$A539)),$D539&lt;&gt;""),1,"")</f>
        <v/>
      </c>
      <c r="U539">
        <f>IF($T539=1,COUNTIF($T$9:$T539,1),"")</f>
        <v/>
      </c>
      <c r="V539">
        <f>IF(AND(ISTEXT($A539),LEFT($A540,3)="Pan"),1,"")</f>
        <v/>
      </c>
    </row>
    <row r="540">
      <c r="S540">
        <f>IF(AND(ISTEXT($A540),ISNUMBER(SEARCH(" - ",$A540)),ISERROR(SEARCH("Folio",$A540)),$D540=""),TRIM($A540),$S539)</f>
        <v/>
      </c>
      <c r="T540">
        <f>IF(AND(ISNUMBER(SEARCH("Folio",$A540)),$D540&lt;&gt;""),1,"")</f>
        <v/>
      </c>
      <c r="U540">
        <f>IF($T540=1,COUNTIF($T$9:$T540,1),"")</f>
        <v/>
      </c>
      <c r="V540">
        <f>IF(AND(ISTEXT($A540),LEFT($A541,3)="Pan"),1,"")</f>
        <v/>
      </c>
    </row>
    <row r="541">
      <c r="S541">
        <f>IF(AND(ISTEXT($A541),ISNUMBER(SEARCH(" - ",$A541)),ISERROR(SEARCH("Folio",$A541)),$D541=""),TRIM($A541),$S540)</f>
        <v/>
      </c>
      <c r="T541">
        <f>IF(AND(ISNUMBER(SEARCH("Folio",$A541)),$D541&lt;&gt;""),1,"")</f>
        <v/>
      </c>
      <c r="U541">
        <f>IF($T541=1,COUNTIF($T$9:$T541,1),"")</f>
        <v/>
      </c>
      <c r="V541">
        <f>IF(AND(ISTEXT($A541),LEFT($A542,3)="Pan"),1,"")</f>
        <v/>
      </c>
    </row>
    <row r="542">
      <c r="S542">
        <f>IF(AND(ISTEXT($A542),ISNUMBER(SEARCH(" - ",$A542)),ISERROR(SEARCH("Folio",$A542)),$D542=""),TRIM($A542),$S541)</f>
        <v/>
      </c>
      <c r="T542">
        <f>IF(AND(ISNUMBER(SEARCH("Folio",$A542)),$D542&lt;&gt;""),1,"")</f>
        <v/>
      </c>
      <c r="U542">
        <f>IF($T542=1,COUNTIF($T$9:$T542,1),"")</f>
        <v/>
      </c>
      <c r="V542">
        <f>IF(AND(ISTEXT($A542),LEFT($A543,3)="Pan"),1,"")</f>
        <v/>
      </c>
    </row>
    <row r="543">
      <c r="S543">
        <f>IF(AND(ISTEXT($A543),ISNUMBER(SEARCH(" - ",$A543)),ISERROR(SEARCH("Folio",$A543)),$D543=""),TRIM($A543),$S542)</f>
        <v/>
      </c>
      <c r="T543">
        <f>IF(AND(ISNUMBER(SEARCH("Folio",$A543)),$D543&lt;&gt;""),1,"")</f>
        <v/>
      </c>
      <c r="U543">
        <f>IF($T543=1,COUNTIF($T$9:$T543,1),"")</f>
        <v/>
      </c>
      <c r="V543">
        <f>IF(AND(ISTEXT($A543),LEFT($A544,3)="Pan"),1,"")</f>
        <v/>
      </c>
    </row>
    <row r="544">
      <c r="S544">
        <f>IF(AND(ISTEXT($A544),ISNUMBER(SEARCH(" - ",$A544)),ISERROR(SEARCH("Folio",$A544)),$D544=""),TRIM($A544),$S543)</f>
        <v/>
      </c>
      <c r="T544">
        <f>IF(AND(ISNUMBER(SEARCH("Folio",$A544)),$D544&lt;&gt;""),1,"")</f>
        <v/>
      </c>
      <c r="U544">
        <f>IF($T544=1,COUNTIF($T$9:$T544,1),"")</f>
        <v/>
      </c>
      <c r="V544">
        <f>IF(AND(ISTEXT($A544),LEFT($A545,3)="Pan"),1,"")</f>
        <v/>
      </c>
    </row>
    <row r="545">
      <c r="S545">
        <f>IF(AND(ISTEXT($A545),ISNUMBER(SEARCH(" - ",$A545)),ISERROR(SEARCH("Folio",$A545)),$D545=""),TRIM($A545),$S544)</f>
        <v/>
      </c>
      <c r="T545">
        <f>IF(AND(ISNUMBER(SEARCH("Folio",$A545)),$D545&lt;&gt;""),1,"")</f>
        <v/>
      </c>
      <c r="U545">
        <f>IF($T545=1,COUNTIF($T$9:$T545,1),"")</f>
        <v/>
      </c>
      <c r="V545">
        <f>IF(AND(ISTEXT($A545),LEFT($A546,3)="Pan"),1,"")</f>
        <v/>
      </c>
    </row>
    <row r="546">
      <c r="S546">
        <f>IF(AND(ISTEXT($A546),ISNUMBER(SEARCH(" - ",$A546)),ISERROR(SEARCH("Folio",$A546)),$D546=""),TRIM($A546),$S545)</f>
        <v/>
      </c>
      <c r="T546">
        <f>IF(AND(ISNUMBER(SEARCH("Folio",$A546)),$D546&lt;&gt;""),1,"")</f>
        <v/>
      </c>
      <c r="U546">
        <f>IF($T546=1,COUNTIF($T$9:$T546,1),"")</f>
        <v/>
      </c>
      <c r="V546">
        <f>IF(AND(ISTEXT($A546),LEFT($A547,3)="Pan"),1,"")</f>
        <v/>
      </c>
    </row>
    <row r="547">
      <c r="S547">
        <f>IF(AND(ISTEXT($A547),ISNUMBER(SEARCH(" - ",$A547)),ISERROR(SEARCH("Folio",$A547)),$D547=""),TRIM($A547),$S546)</f>
        <v/>
      </c>
      <c r="T547">
        <f>IF(AND(ISNUMBER(SEARCH("Folio",$A547)),$D547&lt;&gt;""),1,"")</f>
        <v/>
      </c>
      <c r="U547">
        <f>IF($T547=1,COUNTIF($T$9:$T547,1),"")</f>
        <v/>
      </c>
      <c r="V547">
        <f>IF(AND(ISTEXT($A547),LEFT($A548,3)="Pan"),1,"")</f>
        <v/>
      </c>
    </row>
    <row r="548">
      <c r="S548">
        <f>IF(AND(ISTEXT($A548),ISNUMBER(SEARCH(" - ",$A548)),ISERROR(SEARCH("Folio",$A548)),$D548=""),TRIM($A548),$S547)</f>
        <v/>
      </c>
      <c r="T548">
        <f>IF(AND(ISNUMBER(SEARCH("Folio",$A548)),$D548&lt;&gt;""),1,"")</f>
        <v/>
      </c>
      <c r="U548">
        <f>IF($T548=1,COUNTIF($T$9:$T548,1),"")</f>
        <v/>
      </c>
      <c r="V548">
        <f>IF(AND(ISTEXT($A548),LEFT($A549,3)="Pan"),1,"")</f>
        <v/>
      </c>
    </row>
    <row r="549">
      <c r="S549">
        <f>IF(AND(ISTEXT($A549),ISNUMBER(SEARCH(" - ",$A549)),ISERROR(SEARCH("Folio",$A549)),$D549=""),TRIM($A549),$S548)</f>
        <v/>
      </c>
      <c r="T549">
        <f>IF(AND(ISNUMBER(SEARCH("Folio",$A549)),$D549&lt;&gt;""),1,"")</f>
        <v/>
      </c>
      <c r="U549">
        <f>IF($T549=1,COUNTIF($T$9:$T549,1),"")</f>
        <v/>
      </c>
      <c r="V549">
        <f>IF(AND(ISTEXT($A549),LEFT($A550,3)="Pan"),1,"")</f>
        <v/>
      </c>
    </row>
    <row r="550">
      <c r="S550">
        <f>IF(AND(ISTEXT($A550),ISNUMBER(SEARCH(" - ",$A550)),ISERROR(SEARCH("Folio",$A550)),$D550=""),TRIM($A550),$S549)</f>
        <v/>
      </c>
      <c r="T550">
        <f>IF(AND(ISNUMBER(SEARCH("Folio",$A550)),$D550&lt;&gt;""),1,"")</f>
        <v/>
      </c>
      <c r="U550">
        <f>IF($T550=1,COUNTIF($T$9:$T550,1),"")</f>
        <v/>
      </c>
      <c r="V550">
        <f>IF(AND(ISTEXT($A550),LEFT($A551,3)="Pan"),1,"")</f>
        <v/>
      </c>
    </row>
    <row r="551">
      <c r="S551">
        <f>IF(AND(ISTEXT($A551),ISNUMBER(SEARCH(" - ",$A551)),ISERROR(SEARCH("Folio",$A551)),$D551=""),TRIM($A551),$S550)</f>
        <v/>
      </c>
      <c r="T551">
        <f>IF(AND(ISNUMBER(SEARCH("Folio",$A551)),$D551&lt;&gt;""),1,"")</f>
        <v/>
      </c>
      <c r="U551">
        <f>IF($T551=1,COUNTIF($T$9:$T551,1),"")</f>
        <v/>
      </c>
      <c r="V551">
        <f>IF(AND(ISTEXT($A551),LEFT($A552,3)="Pan"),1,"")</f>
        <v/>
      </c>
    </row>
    <row r="552">
      <c r="S552">
        <f>IF(AND(ISTEXT($A552),ISNUMBER(SEARCH(" - ",$A552)),ISERROR(SEARCH("Folio",$A552)),$D552=""),TRIM($A552),$S551)</f>
        <v/>
      </c>
      <c r="T552">
        <f>IF(AND(ISNUMBER(SEARCH("Folio",$A552)),$D552&lt;&gt;""),1,"")</f>
        <v/>
      </c>
      <c r="U552">
        <f>IF($T552=1,COUNTIF($T$9:$T552,1),"")</f>
        <v/>
      </c>
      <c r="V552">
        <f>IF(AND(ISTEXT($A552),LEFT($A553,3)="Pan"),1,"")</f>
        <v/>
      </c>
    </row>
    <row r="553">
      <c r="S553">
        <f>IF(AND(ISTEXT($A553),ISNUMBER(SEARCH(" - ",$A553)),ISERROR(SEARCH("Folio",$A553)),$D553=""),TRIM($A553),$S552)</f>
        <v/>
      </c>
      <c r="T553">
        <f>IF(AND(ISNUMBER(SEARCH("Folio",$A553)),$D553&lt;&gt;""),1,"")</f>
        <v/>
      </c>
      <c r="U553">
        <f>IF($T553=1,COUNTIF($T$9:$T553,1),"")</f>
        <v/>
      </c>
      <c r="V553">
        <f>IF(AND(ISTEXT($A553),LEFT($A554,3)="Pan"),1,"")</f>
        <v/>
      </c>
    </row>
    <row r="554">
      <c r="S554">
        <f>IF(AND(ISTEXT($A554),ISNUMBER(SEARCH(" - ",$A554)),ISERROR(SEARCH("Folio",$A554)),$D554=""),TRIM($A554),$S553)</f>
        <v/>
      </c>
      <c r="T554">
        <f>IF(AND(ISNUMBER(SEARCH("Folio",$A554)),$D554&lt;&gt;""),1,"")</f>
        <v/>
      </c>
      <c r="U554">
        <f>IF($T554=1,COUNTIF($T$9:$T554,1),"")</f>
        <v/>
      </c>
      <c r="V554">
        <f>IF(AND(ISTEXT($A554),LEFT($A555,3)="Pan"),1,"")</f>
        <v/>
      </c>
    </row>
    <row r="555">
      <c r="S555">
        <f>IF(AND(ISTEXT($A555),ISNUMBER(SEARCH(" - ",$A555)),ISERROR(SEARCH("Folio",$A555)),$D555=""),TRIM($A555),$S554)</f>
        <v/>
      </c>
      <c r="T555">
        <f>IF(AND(ISNUMBER(SEARCH("Folio",$A555)),$D555&lt;&gt;""),1,"")</f>
        <v/>
      </c>
      <c r="U555">
        <f>IF($T555=1,COUNTIF($T$9:$T555,1),"")</f>
        <v/>
      </c>
      <c r="V555">
        <f>IF(AND(ISTEXT($A555),LEFT($A556,3)="Pan"),1,"")</f>
        <v/>
      </c>
    </row>
    <row r="556">
      <c r="S556">
        <f>IF(AND(ISTEXT($A556),ISNUMBER(SEARCH(" - ",$A556)),ISERROR(SEARCH("Folio",$A556)),$D556=""),TRIM($A556),$S555)</f>
        <v/>
      </c>
      <c r="T556">
        <f>IF(AND(ISNUMBER(SEARCH("Folio",$A556)),$D556&lt;&gt;""),1,"")</f>
        <v/>
      </c>
      <c r="U556">
        <f>IF($T556=1,COUNTIF($T$9:$T556,1),"")</f>
        <v/>
      </c>
      <c r="V556">
        <f>IF(AND(ISTEXT($A556),LEFT($A557,3)="Pan"),1,"")</f>
        <v/>
      </c>
    </row>
    <row r="557">
      <c r="S557">
        <f>IF(AND(ISTEXT($A557),ISNUMBER(SEARCH(" - ",$A557)),ISERROR(SEARCH("Folio",$A557)),$D557=""),TRIM($A557),$S556)</f>
        <v/>
      </c>
      <c r="T557">
        <f>IF(AND(ISNUMBER(SEARCH("Folio",$A557)),$D557&lt;&gt;""),1,"")</f>
        <v/>
      </c>
      <c r="U557">
        <f>IF($T557=1,COUNTIF($T$9:$T557,1),"")</f>
        <v/>
      </c>
      <c r="V557">
        <f>IF(AND(ISTEXT($A557),LEFT($A558,3)="Pan"),1,"")</f>
        <v/>
      </c>
    </row>
    <row r="558">
      <c r="S558">
        <f>IF(AND(ISTEXT($A558),ISNUMBER(SEARCH(" - ",$A558)),ISERROR(SEARCH("Folio",$A558)),$D558=""),TRIM($A558),$S557)</f>
        <v/>
      </c>
      <c r="T558">
        <f>IF(AND(ISNUMBER(SEARCH("Folio",$A558)),$D558&lt;&gt;""),1,"")</f>
        <v/>
      </c>
      <c r="U558">
        <f>IF($T558=1,COUNTIF($T$9:$T558,1),"")</f>
        <v/>
      </c>
      <c r="V558">
        <f>IF(AND(ISTEXT($A558),LEFT($A559,3)="Pan"),1,"")</f>
        <v/>
      </c>
    </row>
    <row r="559">
      <c r="S559">
        <f>IF(AND(ISTEXT($A559),ISNUMBER(SEARCH(" - ",$A559)),ISERROR(SEARCH("Folio",$A559)),$D559=""),TRIM($A559),$S558)</f>
        <v/>
      </c>
      <c r="T559">
        <f>IF(AND(ISNUMBER(SEARCH("Folio",$A559)),$D559&lt;&gt;""),1,"")</f>
        <v/>
      </c>
      <c r="U559">
        <f>IF($T559=1,COUNTIF($T$9:$T559,1),"")</f>
        <v/>
      </c>
      <c r="V559">
        <f>IF(AND(ISTEXT($A559),LEFT($A560,3)="Pan"),1,"")</f>
        <v/>
      </c>
    </row>
    <row r="560">
      <c r="S560">
        <f>IF(AND(ISTEXT($A560),ISNUMBER(SEARCH(" - ",$A560)),ISERROR(SEARCH("Folio",$A560)),$D560=""),TRIM($A560),$S559)</f>
        <v/>
      </c>
      <c r="T560">
        <f>IF(AND(ISNUMBER(SEARCH("Folio",$A560)),$D560&lt;&gt;""),1,"")</f>
        <v/>
      </c>
      <c r="U560">
        <f>IF($T560=1,COUNTIF($T$9:$T560,1),"")</f>
        <v/>
      </c>
      <c r="V560">
        <f>IF(AND(ISTEXT($A560),LEFT($A561,3)="Pan"),1,"")</f>
        <v/>
      </c>
    </row>
    <row r="561">
      <c r="S561">
        <f>IF(AND(ISTEXT($A561),ISNUMBER(SEARCH(" - ",$A561)),ISERROR(SEARCH("Folio",$A561)),$D561=""),TRIM($A561),$S560)</f>
        <v/>
      </c>
      <c r="T561">
        <f>IF(AND(ISNUMBER(SEARCH("Folio",$A561)),$D561&lt;&gt;""),1,"")</f>
        <v/>
      </c>
      <c r="U561">
        <f>IF($T561=1,COUNTIF($T$9:$T561,1),"")</f>
        <v/>
      </c>
      <c r="V561">
        <f>IF(AND(ISTEXT($A561),LEFT($A562,3)="Pan"),1,"")</f>
        <v/>
      </c>
    </row>
    <row r="562">
      <c r="S562">
        <f>IF(AND(ISTEXT($A562),ISNUMBER(SEARCH(" - ",$A562)),ISERROR(SEARCH("Folio",$A562)),$D562=""),TRIM($A562),$S561)</f>
        <v/>
      </c>
      <c r="T562">
        <f>IF(AND(ISNUMBER(SEARCH("Folio",$A562)),$D562&lt;&gt;""),1,"")</f>
        <v/>
      </c>
      <c r="U562">
        <f>IF($T562=1,COUNTIF($T$9:$T562,1),"")</f>
        <v/>
      </c>
      <c r="V562">
        <f>IF(AND(ISTEXT($A562),LEFT($A563,3)="Pan"),1,"")</f>
        <v/>
      </c>
    </row>
    <row r="563">
      <c r="S563">
        <f>IF(AND(ISTEXT($A563),ISNUMBER(SEARCH(" - ",$A563)),ISERROR(SEARCH("Folio",$A563)),$D563=""),TRIM($A563),$S562)</f>
        <v/>
      </c>
      <c r="T563">
        <f>IF(AND(ISNUMBER(SEARCH("Folio",$A563)),$D563&lt;&gt;""),1,"")</f>
        <v/>
      </c>
      <c r="U563">
        <f>IF($T563=1,COUNTIF($T$9:$T563,1),"")</f>
        <v/>
      </c>
      <c r="V563">
        <f>IF(AND(ISTEXT($A563),LEFT($A564,3)="Pan"),1,"")</f>
        <v/>
      </c>
    </row>
    <row r="564">
      <c r="S564">
        <f>IF(AND(ISTEXT($A564),ISNUMBER(SEARCH(" - ",$A564)),ISERROR(SEARCH("Folio",$A564)),$D564=""),TRIM($A564),$S563)</f>
        <v/>
      </c>
      <c r="T564">
        <f>IF(AND(ISNUMBER(SEARCH("Folio",$A564)),$D564&lt;&gt;""),1,"")</f>
        <v/>
      </c>
      <c r="U564">
        <f>IF($T564=1,COUNTIF($T$9:$T564,1),"")</f>
        <v/>
      </c>
      <c r="V564">
        <f>IF(AND(ISTEXT($A564),LEFT($A565,3)="Pan"),1,"")</f>
        <v/>
      </c>
    </row>
    <row r="565">
      <c r="S565">
        <f>IF(AND(ISTEXT($A565),ISNUMBER(SEARCH(" - ",$A565)),ISERROR(SEARCH("Folio",$A565)),$D565=""),TRIM($A565),$S564)</f>
        <v/>
      </c>
      <c r="T565">
        <f>IF(AND(ISNUMBER(SEARCH("Folio",$A565)),$D565&lt;&gt;""),1,"")</f>
        <v/>
      </c>
      <c r="U565">
        <f>IF($T565=1,COUNTIF($T$9:$T565,1),"")</f>
        <v/>
      </c>
      <c r="V565">
        <f>IF(AND(ISTEXT($A565),LEFT($A566,3)="Pan"),1,"")</f>
        <v/>
      </c>
    </row>
    <row r="566">
      <c r="S566">
        <f>IF(AND(ISTEXT($A566),ISNUMBER(SEARCH(" - ",$A566)),ISERROR(SEARCH("Folio",$A566)),$D566=""),TRIM($A566),$S565)</f>
        <v/>
      </c>
      <c r="T566">
        <f>IF(AND(ISNUMBER(SEARCH("Folio",$A566)),$D566&lt;&gt;""),1,"")</f>
        <v/>
      </c>
      <c r="U566">
        <f>IF($T566=1,COUNTIF($T$9:$T566,1),"")</f>
        <v/>
      </c>
      <c r="V566">
        <f>IF(AND(ISTEXT($A566),LEFT($A567,3)="Pan"),1,"")</f>
        <v/>
      </c>
    </row>
    <row r="567">
      <c r="S567">
        <f>IF(AND(ISTEXT($A567),ISNUMBER(SEARCH(" - ",$A567)),ISERROR(SEARCH("Folio",$A567)),$D567=""),TRIM($A567),$S566)</f>
        <v/>
      </c>
      <c r="T567">
        <f>IF(AND(ISNUMBER(SEARCH("Folio",$A567)),$D567&lt;&gt;""),1,"")</f>
        <v/>
      </c>
      <c r="U567">
        <f>IF($T567=1,COUNTIF($T$9:$T567,1),"")</f>
        <v/>
      </c>
      <c r="V567">
        <f>IF(AND(ISTEXT($A567),LEFT($A568,3)="Pan"),1,"")</f>
        <v/>
      </c>
    </row>
    <row r="568">
      <c r="S568">
        <f>IF(AND(ISTEXT($A568),ISNUMBER(SEARCH(" - ",$A568)),ISERROR(SEARCH("Folio",$A568)),$D568=""),TRIM($A568),$S567)</f>
        <v/>
      </c>
      <c r="T568">
        <f>IF(AND(ISNUMBER(SEARCH("Folio",$A568)),$D568&lt;&gt;""),1,"")</f>
        <v/>
      </c>
      <c r="U568">
        <f>IF($T568=1,COUNTIF($T$9:$T568,1),"")</f>
        <v/>
      </c>
      <c r="V568">
        <f>IF(AND(ISTEXT($A568),LEFT($A569,3)="Pan"),1,"")</f>
        <v/>
      </c>
    </row>
    <row r="569">
      <c r="S569">
        <f>IF(AND(ISTEXT($A569),ISNUMBER(SEARCH(" - ",$A569)),ISERROR(SEARCH("Folio",$A569)),$D569=""),TRIM($A569),$S568)</f>
        <v/>
      </c>
      <c r="T569">
        <f>IF(AND(ISNUMBER(SEARCH("Folio",$A569)),$D569&lt;&gt;""),1,"")</f>
        <v/>
      </c>
      <c r="U569">
        <f>IF($T569=1,COUNTIF($T$9:$T569,1),"")</f>
        <v/>
      </c>
      <c r="V569">
        <f>IF(AND(ISTEXT($A569),LEFT($A570,3)="Pan"),1,"")</f>
        <v/>
      </c>
    </row>
    <row r="570">
      <c r="S570">
        <f>IF(AND(ISTEXT($A570),ISNUMBER(SEARCH(" - ",$A570)),ISERROR(SEARCH("Folio",$A570)),$D570=""),TRIM($A570),$S569)</f>
        <v/>
      </c>
      <c r="T570">
        <f>IF(AND(ISNUMBER(SEARCH("Folio",$A570)),$D570&lt;&gt;""),1,"")</f>
        <v/>
      </c>
      <c r="U570">
        <f>IF($T570=1,COUNTIF($T$9:$T570,1),"")</f>
        <v/>
      </c>
      <c r="V570">
        <f>IF(AND(ISTEXT($A570),LEFT($A571,3)="Pan"),1,"")</f>
        <v/>
      </c>
    </row>
    <row r="571">
      <c r="S571">
        <f>IF(AND(ISTEXT($A571),ISNUMBER(SEARCH(" - ",$A571)),ISERROR(SEARCH("Folio",$A571)),$D571=""),TRIM($A571),$S570)</f>
        <v/>
      </c>
      <c r="T571">
        <f>IF(AND(ISNUMBER(SEARCH("Folio",$A571)),$D571&lt;&gt;""),1,"")</f>
        <v/>
      </c>
      <c r="U571">
        <f>IF($T571=1,COUNTIF($T$9:$T571,1),"")</f>
        <v/>
      </c>
      <c r="V571">
        <f>IF(AND(ISTEXT($A571),LEFT($A572,3)="Pan"),1,"")</f>
        <v/>
      </c>
    </row>
    <row r="572">
      <c r="S572">
        <f>IF(AND(ISTEXT($A572),ISNUMBER(SEARCH(" - ",$A572)),ISERROR(SEARCH("Folio",$A572)),$D572=""),TRIM($A572),$S571)</f>
        <v/>
      </c>
      <c r="T572">
        <f>IF(AND(ISNUMBER(SEARCH("Folio",$A572)),$D572&lt;&gt;""),1,"")</f>
        <v/>
      </c>
      <c r="U572">
        <f>IF($T572=1,COUNTIF($T$9:$T572,1),"")</f>
        <v/>
      </c>
      <c r="V572">
        <f>IF(AND(ISTEXT($A572),LEFT($A573,3)="Pan"),1,"")</f>
        <v/>
      </c>
    </row>
    <row r="573">
      <c r="S573">
        <f>IF(AND(ISTEXT($A573),ISNUMBER(SEARCH(" - ",$A573)),ISERROR(SEARCH("Folio",$A573)),$D573=""),TRIM($A573),$S572)</f>
        <v/>
      </c>
      <c r="T573">
        <f>IF(AND(ISNUMBER(SEARCH("Folio",$A573)),$D573&lt;&gt;""),1,"")</f>
        <v/>
      </c>
      <c r="U573">
        <f>IF($T573=1,COUNTIF($T$9:$T573,1),"")</f>
        <v/>
      </c>
      <c r="V573">
        <f>IF(AND(ISTEXT($A573),LEFT($A574,3)="Pan"),1,"")</f>
        <v/>
      </c>
    </row>
    <row r="574">
      <c r="S574">
        <f>IF(AND(ISTEXT($A574),ISNUMBER(SEARCH(" - ",$A574)),ISERROR(SEARCH("Folio",$A574)),$D574=""),TRIM($A574),$S573)</f>
        <v/>
      </c>
      <c r="T574">
        <f>IF(AND(ISNUMBER(SEARCH("Folio",$A574)),$D574&lt;&gt;""),1,"")</f>
        <v/>
      </c>
      <c r="U574">
        <f>IF($T574=1,COUNTIF($T$9:$T574,1),"")</f>
        <v/>
      </c>
      <c r="V574">
        <f>IF(AND(ISTEXT($A574),LEFT($A575,3)="Pan"),1,"")</f>
        <v/>
      </c>
    </row>
    <row r="575">
      <c r="S575">
        <f>IF(AND(ISTEXT($A575),ISNUMBER(SEARCH(" - ",$A575)),ISERROR(SEARCH("Folio",$A575)),$D575=""),TRIM($A575),$S574)</f>
        <v/>
      </c>
      <c r="T575">
        <f>IF(AND(ISNUMBER(SEARCH("Folio",$A575)),$D575&lt;&gt;""),1,"")</f>
        <v/>
      </c>
      <c r="U575">
        <f>IF($T575=1,COUNTIF($T$9:$T575,1),"")</f>
        <v/>
      </c>
      <c r="V575">
        <f>IF(AND(ISTEXT($A575),LEFT($A576,3)="Pan"),1,"")</f>
        <v/>
      </c>
    </row>
    <row r="576">
      <c r="S576">
        <f>IF(AND(ISTEXT($A576),ISNUMBER(SEARCH(" - ",$A576)),ISERROR(SEARCH("Folio",$A576)),$D576=""),TRIM($A576),$S575)</f>
        <v/>
      </c>
      <c r="T576">
        <f>IF(AND(ISNUMBER(SEARCH("Folio",$A576)),$D576&lt;&gt;""),1,"")</f>
        <v/>
      </c>
      <c r="U576">
        <f>IF($T576=1,COUNTIF($T$9:$T576,1),"")</f>
        <v/>
      </c>
      <c r="V576">
        <f>IF(AND(ISTEXT($A576),LEFT($A577,3)="Pan"),1,"")</f>
        <v/>
      </c>
    </row>
    <row r="577">
      <c r="S577">
        <f>IF(AND(ISTEXT($A577),ISNUMBER(SEARCH(" - ",$A577)),ISERROR(SEARCH("Folio",$A577)),$D577=""),TRIM($A577),$S576)</f>
        <v/>
      </c>
      <c r="T577">
        <f>IF(AND(ISNUMBER(SEARCH("Folio",$A577)),$D577&lt;&gt;""),1,"")</f>
        <v/>
      </c>
      <c r="U577">
        <f>IF($T577=1,COUNTIF($T$9:$T577,1),"")</f>
        <v/>
      </c>
      <c r="V577">
        <f>IF(AND(ISTEXT($A577),LEFT($A578,3)="Pan"),1,"")</f>
        <v/>
      </c>
    </row>
    <row r="578">
      <c r="S578">
        <f>IF(AND(ISTEXT($A578),ISNUMBER(SEARCH(" - ",$A578)),ISERROR(SEARCH("Folio",$A578)),$D578=""),TRIM($A578),$S577)</f>
        <v/>
      </c>
      <c r="T578">
        <f>IF(AND(ISNUMBER(SEARCH("Folio",$A578)),$D578&lt;&gt;""),1,"")</f>
        <v/>
      </c>
      <c r="U578">
        <f>IF($T578=1,COUNTIF($T$9:$T578,1),"")</f>
        <v/>
      </c>
      <c r="V578">
        <f>IF(AND(ISTEXT($A578),LEFT($A579,3)="Pan"),1,"")</f>
        <v/>
      </c>
    </row>
    <row r="579">
      <c r="S579">
        <f>IF(AND(ISTEXT($A579),ISNUMBER(SEARCH(" - ",$A579)),ISERROR(SEARCH("Folio",$A579)),$D579=""),TRIM($A579),$S578)</f>
        <v/>
      </c>
      <c r="T579">
        <f>IF(AND(ISNUMBER(SEARCH("Folio",$A579)),$D579&lt;&gt;""),1,"")</f>
        <v/>
      </c>
      <c r="U579">
        <f>IF($T579=1,COUNTIF($T$9:$T579,1),"")</f>
        <v/>
      </c>
      <c r="V579">
        <f>IF(AND(ISTEXT($A579),LEFT($A580,3)="Pan"),1,"")</f>
        <v/>
      </c>
    </row>
    <row r="580">
      <c r="S580">
        <f>IF(AND(ISTEXT($A580),ISNUMBER(SEARCH(" - ",$A580)),ISERROR(SEARCH("Folio",$A580)),$D580=""),TRIM($A580),$S579)</f>
        <v/>
      </c>
      <c r="T580">
        <f>IF(AND(ISNUMBER(SEARCH("Folio",$A580)),$D580&lt;&gt;""),1,"")</f>
        <v/>
      </c>
      <c r="U580">
        <f>IF($T580=1,COUNTIF($T$9:$T580,1),"")</f>
        <v/>
      </c>
      <c r="V580">
        <f>IF(AND(ISTEXT($A580),LEFT($A581,3)="Pan"),1,"")</f>
        <v/>
      </c>
    </row>
    <row r="581">
      <c r="S581">
        <f>IF(AND(ISTEXT($A581),ISNUMBER(SEARCH(" - ",$A581)),ISERROR(SEARCH("Folio",$A581)),$D581=""),TRIM($A581),$S580)</f>
        <v/>
      </c>
      <c r="T581">
        <f>IF(AND(ISNUMBER(SEARCH("Folio",$A581)),$D581&lt;&gt;""),1,"")</f>
        <v/>
      </c>
      <c r="U581">
        <f>IF($T581=1,COUNTIF($T$9:$T581,1),"")</f>
        <v/>
      </c>
      <c r="V581">
        <f>IF(AND(ISTEXT($A581),LEFT($A582,3)="Pan"),1,"")</f>
        <v/>
      </c>
    </row>
    <row r="582">
      <c r="S582">
        <f>IF(AND(ISTEXT($A582),ISNUMBER(SEARCH(" - ",$A582)),ISERROR(SEARCH("Folio",$A582)),$D582=""),TRIM($A582),$S581)</f>
        <v/>
      </c>
      <c r="T582">
        <f>IF(AND(ISNUMBER(SEARCH("Folio",$A582)),$D582&lt;&gt;""),1,"")</f>
        <v/>
      </c>
      <c r="U582">
        <f>IF($T582=1,COUNTIF($T$9:$T582,1),"")</f>
        <v/>
      </c>
      <c r="V582">
        <f>IF(AND(ISTEXT($A582),LEFT($A583,3)="Pan"),1,"")</f>
        <v/>
      </c>
    </row>
    <row r="583">
      <c r="S583">
        <f>IF(AND(ISTEXT($A583),ISNUMBER(SEARCH(" - ",$A583)),ISERROR(SEARCH("Folio",$A583)),$D583=""),TRIM($A583),$S582)</f>
        <v/>
      </c>
      <c r="T583">
        <f>IF(AND(ISNUMBER(SEARCH("Folio",$A583)),$D583&lt;&gt;""),1,"")</f>
        <v/>
      </c>
      <c r="U583">
        <f>IF($T583=1,COUNTIF($T$9:$T583,1),"")</f>
        <v/>
      </c>
      <c r="V583">
        <f>IF(AND(ISTEXT($A583),LEFT($A584,3)="Pan"),1,"")</f>
        <v/>
      </c>
    </row>
    <row r="584">
      <c r="S584">
        <f>IF(AND(ISTEXT($A584),ISNUMBER(SEARCH(" - ",$A584)),ISERROR(SEARCH("Folio",$A584)),$D584=""),TRIM($A584),$S583)</f>
        <v/>
      </c>
      <c r="T584">
        <f>IF(AND(ISNUMBER(SEARCH("Folio",$A584)),$D584&lt;&gt;""),1,"")</f>
        <v/>
      </c>
      <c r="U584">
        <f>IF($T584=1,COUNTIF($T$9:$T584,1),"")</f>
        <v/>
      </c>
      <c r="V584">
        <f>IF(AND(ISTEXT($A584),LEFT($A585,3)="Pan"),1,"")</f>
        <v/>
      </c>
    </row>
    <row r="585">
      <c r="S585">
        <f>IF(AND(ISTEXT($A585),ISNUMBER(SEARCH(" - ",$A585)),ISERROR(SEARCH("Folio",$A585)),$D585=""),TRIM($A585),$S584)</f>
        <v/>
      </c>
      <c r="T585">
        <f>IF(AND(ISNUMBER(SEARCH("Folio",$A585)),$D585&lt;&gt;""),1,"")</f>
        <v/>
      </c>
      <c r="U585">
        <f>IF($T585=1,COUNTIF($T$9:$T585,1),"")</f>
        <v/>
      </c>
      <c r="V585">
        <f>IF(AND(ISTEXT($A585),LEFT($A586,3)="Pan"),1,"")</f>
        <v/>
      </c>
    </row>
    <row r="586">
      <c r="S586">
        <f>IF(AND(ISTEXT($A586),ISNUMBER(SEARCH(" - ",$A586)),ISERROR(SEARCH("Folio",$A586)),$D586=""),TRIM($A586),$S585)</f>
        <v/>
      </c>
      <c r="T586">
        <f>IF(AND(ISNUMBER(SEARCH("Folio",$A586)),$D586&lt;&gt;""),1,"")</f>
        <v/>
      </c>
      <c r="U586">
        <f>IF($T586=1,COUNTIF($T$9:$T586,1),"")</f>
        <v/>
      </c>
      <c r="V586">
        <f>IF(AND(ISTEXT($A586),LEFT($A587,3)="Pan"),1,"")</f>
        <v/>
      </c>
    </row>
    <row r="587">
      <c r="S587">
        <f>IF(AND(ISTEXT($A587),ISNUMBER(SEARCH(" - ",$A587)),ISERROR(SEARCH("Folio",$A587)),$D587=""),TRIM($A587),$S586)</f>
        <v/>
      </c>
      <c r="T587">
        <f>IF(AND(ISNUMBER(SEARCH("Folio",$A587)),$D587&lt;&gt;""),1,"")</f>
        <v/>
      </c>
      <c r="U587">
        <f>IF($T587=1,COUNTIF($T$9:$T587,1),"")</f>
        <v/>
      </c>
      <c r="V587">
        <f>IF(AND(ISTEXT($A587),LEFT($A588,3)="Pan"),1,"")</f>
        <v/>
      </c>
    </row>
    <row r="588">
      <c r="S588">
        <f>IF(AND(ISTEXT($A588),ISNUMBER(SEARCH(" - ",$A588)),ISERROR(SEARCH("Folio",$A588)),$D588=""),TRIM($A588),$S587)</f>
        <v/>
      </c>
      <c r="T588">
        <f>IF(AND(ISNUMBER(SEARCH("Folio",$A588)),$D588&lt;&gt;""),1,"")</f>
        <v/>
      </c>
      <c r="U588">
        <f>IF($T588=1,COUNTIF($T$9:$T588,1),"")</f>
        <v/>
      </c>
      <c r="V588">
        <f>IF(AND(ISTEXT($A588),LEFT($A589,3)="Pan"),1,"")</f>
        <v/>
      </c>
    </row>
    <row r="589">
      <c r="S589">
        <f>IF(AND(ISTEXT($A589),ISNUMBER(SEARCH(" - ",$A589)),ISERROR(SEARCH("Folio",$A589)),$D589=""),TRIM($A589),$S588)</f>
        <v/>
      </c>
      <c r="T589">
        <f>IF(AND(ISNUMBER(SEARCH("Folio",$A589)),$D589&lt;&gt;""),1,"")</f>
        <v/>
      </c>
      <c r="U589">
        <f>IF($T589=1,COUNTIF($T$9:$T589,1),"")</f>
        <v/>
      </c>
      <c r="V589">
        <f>IF(AND(ISTEXT($A589),LEFT($A590,3)="Pan"),1,"")</f>
        <v/>
      </c>
    </row>
    <row r="590">
      <c r="S590">
        <f>IF(AND(ISTEXT($A590),ISNUMBER(SEARCH(" - ",$A590)),ISERROR(SEARCH("Folio",$A590)),$D590=""),TRIM($A590),$S589)</f>
        <v/>
      </c>
      <c r="T590">
        <f>IF(AND(ISNUMBER(SEARCH("Folio",$A590)),$D590&lt;&gt;""),1,"")</f>
        <v/>
      </c>
      <c r="U590">
        <f>IF($T590=1,COUNTIF($T$9:$T590,1),"")</f>
        <v/>
      </c>
      <c r="V590">
        <f>IF(AND(ISTEXT($A590),LEFT($A591,3)="Pan"),1,"")</f>
        <v/>
      </c>
    </row>
    <row r="591">
      <c r="S591">
        <f>IF(AND(ISTEXT($A591),ISNUMBER(SEARCH(" - ",$A591)),ISERROR(SEARCH("Folio",$A591)),$D591=""),TRIM($A591),$S590)</f>
        <v/>
      </c>
      <c r="T591">
        <f>IF(AND(ISNUMBER(SEARCH("Folio",$A591)),$D591&lt;&gt;""),1,"")</f>
        <v/>
      </c>
      <c r="U591">
        <f>IF($T591=1,COUNTIF($T$9:$T591,1),"")</f>
        <v/>
      </c>
      <c r="V591">
        <f>IF(AND(ISTEXT($A591),LEFT($A592,3)="Pan"),1,"")</f>
        <v/>
      </c>
    </row>
    <row r="592">
      <c r="S592">
        <f>IF(AND(ISTEXT($A592),ISNUMBER(SEARCH(" - ",$A592)),ISERROR(SEARCH("Folio",$A592)),$D592=""),TRIM($A592),$S591)</f>
        <v/>
      </c>
      <c r="T592">
        <f>IF(AND(ISNUMBER(SEARCH("Folio",$A592)),$D592&lt;&gt;""),1,"")</f>
        <v/>
      </c>
      <c r="U592">
        <f>IF($T592=1,COUNTIF($T$9:$T592,1),"")</f>
        <v/>
      </c>
      <c r="V592">
        <f>IF(AND(ISTEXT($A592),LEFT($A593,3)="Pan"),1,"")</f>
        <v/>
      </c>
    </row>
    <row r="593">
      <c r="S593">
        <f>IF(AND(ISTEXT($A593),ISNUMBER(SEARCH(" - ",$A593)),ISERROR(SEARCH("Folio",$A593)),$D593=""),TRIM($A593),$S592)</f>
        <v/>
      </c>
      <c r="T593">
        <f>IF(AND(ISNUMBER(SEARCH("Folio",$A593)),$D593&lt;&gt;""),1,"")</f>
        <v/>
      </c>
      <c r="U593">
        <f>IF($T593=1,COUNTIF($T$9:$T593,1),"")</f>
        <v/>
      </c>
      <c r="V593">
        <f>IF(AND(ISTEXT($A593),LEFT($A594,3)="Pan"),1,"")</f>
        <v/>
      </c>
    </row>
    <row r="594">
      <c r="S594">
        <f>IF(AND(ISTEXT($A594),ISNUMBER(SEARCH(" - ",$A594)),ISERROR(SEARCH("Folio",$A594)),$D594=""),TRIM($A594),$S593)</f>
        <v/>
      </c>
      <c r="T594">
        <f>IF(AND(ISNUMBER(SEARCH("Folio",$A594)),$D594&lt;&gt;""),1,"")</f>
        <v/>
      </c>
      <c r="U594">
        <f>IF($T594=1,COUNTIF($T$9:$T594,1),"")</f>
        <v/>
      </c>
      <c r="V594">
        <f>IF(AND(ISTEXT($A594),LEFT($A595,3)="Pan"),1,"")</f>
        <v/>
      </c>
    </row>
    <row r="595">
      <c r="S595">
        <f>IF(AND(ISTEXT($A595),ISNUMBER(SEARCH(" - ",$A595)),ISERROR(SEARCH("Folio",$A595)),$D595=""),TRIM($A595),$S594)</f>
        <v/>
      </c>
      <c r="T595">
        <f>IF(AND(ISNUMBER(SEARCH("Folio",$A595)),$D595&lt;&gt;""),1,"")</f>
        <v/>
      </c>
      <c r="U595">
        <f>IF($T595=1,COUNTIF($T$9:$T595,1),"")</f>
        <v/>
      </c>
      <c r="V595">
        <f>IF(AND(ISTEXT($A595),LEFT($A596,3)="Pan"),1,"")</f>
        <v/>
      </c>
    </row>
    <row r="596">
      <c r="S596">
        <f>IF(AND(ISTEXT($A596),ISNUMBER(SEARCH(" - ",$A596)),ISERROR(SEARCH("Folio",$A596)),$D596=""),TRIM($A596),$S595)</f>
        <v/>
      </c>
      <c r="T596">
        <f>IF(AND(ISNUMBER(SEARCH("Folio",$A596)),$D596&lt;&gt;""),1,"")</f>
        <v/>
      </c>
      <c r="U596">
        <f>IF($T596=1,COUNTIF($T$9:$T596,1),"")</f>
        <v/>
      </c>
      <c r="V596">
        <f>IF(AND(ISTEXT($A596),LEFT($A597,3)="Pan"),1,"")</f>
        <v/>
      </c>
    </row>
    <row r="597">
      <c r="S597">
        <f>IF(AND(ISTEXT($A597),ISNUMBER(SEARCH(" - ",$A597)),ISERROR(SEARCH("Folio",$A597)),$D597=""),TRIM($A597),$S596)</f>
        <v/>
      </c>
      <c r="T597">
        <f>IF(AND(ISNUMBER(SEARCH("Folio",$A597)),$D597&lt;&gt;""),1,"")</f>
        <v/>
      </c>
      <c r="U597">
        <f>IF($T597=1,COUNTIF($T$9:$T597,1),"")</f>
        <v/>
      </c>
      <c r="V597">
        <f>IF(AND(ISTEXT($A597),LEFT($A598,3)="Pan"),1,"")</f>
        <v/>
      </c>
    </row>
    <row r="598">
      <c r="S598">
        <f>IF(AND(ISTEXT($A598),ISNUMBER(SEARCH(" - ",$A598)),ISERROR(SEARCH("Folio",$A598)),$D598=""),TRIM($A598),$S597)</f>
        <v/>
      </c>
      <c r="T598">
        <f>IF(AND(ISNUMBER(SEARCH("Folio",$A598)),$D598&lt;&gt;""),1,"")</f>
        <v/>
      </c>
      <c r="U598">
        <f>IF($T598=1,COUNTIF($T$9:$T598,1),"")</f>
        <v/>
      </c>
      <c r="V598">
        <f>IF(AND(ISTEXT($A598),LEFT($A599,3)="Pan"),1,"")</f>
        <v/>
      </c>
    </row>
    <row r="599">
      <c r="S599">
        <f>IF(AND(ISTEXT($A599),ISNUMBER(SEARCH(" - ",$A599)),ISERROR(SEARCH("Folio",$A599)),$D599=""),TRIM($A599),$S598)</f>
        <v/>
      </c>
      <c r="T599">
        <f>IF(AND(ISNUMBER(SEARCH("Folio",$A599)),$D599&lt;&gt;""),1,"")</f>
        <v/>
      </c>
      <c r="U599">
        <f>IF($T599=1,COUNTIF($T$9:$T599,1),"")</f>
        <v/>
      </c>
      <c r="V599">
        <f>IF(AND(ISTEXT($A599),LEFT($A600,3)="Pan"),1,"")</f>
        <v/>
      </c>
    </row>
    <row r="600">
      <c r="S600">
        <f>IF(AND(ISTEXT($A600),ISNUMBER(SEARCH(" - ",$A600)),ISERROR(SEARCH("Folio",$A600)),$D600=""),TRIM($A600),$S599)</f>
        <v/>
      </c>
      <c r="T600">
        <f>IF(AND(ISNUMBER(SEARCH("Folio",$A600)),$D600&lt;&gt;""),1,"")</f>
        <v/>
      </c>
      <c r="U600">
        <f>IF($T600=1,COUNTIF($T$9:$T600,1),"")</f>
        <v/>
      </c>
      <c r="V600">
        <f>IF(AND(ISTEXT($A600),LEFT($A601,3)="Pan"),1,"")</f>
        <v/>
      </c>
    </row>
    <row r="601">
      <c r="S601">
        <f>IF(AND(ISTEXT($A601),ISNUMBER(SEARCH(" - ",$A601)),ISERROR(SEARCH("Folio",$A601)),$D601=""),TRIM($A601),$S600)</f>
        <v/>
      </c>
      <c r="T601">
        <f>IF(AND(ISNUMBER(SEARCH("Folio",$A601)),$D601&lt;&gt;""),1,"")</f>
        <v/>
      </c>
      <c r="U601">
        <f>IF($T601=1,COUNTIF($T$9:$T601,1),"")</f>
        <v/>
      </c>
      <c r="V601">
        <f>IF(AND(ISTEXT($A601),LEFT($A602,3)="Pan"),1,"")</f>
        <v/>
      </c>
    </row>
    <row r="602">
      <c r="S602">
        <f>IF(AND(ISTEXT($A602),ISNUMBER(SEARCH(" - ",$A602)),ISERROR(SEARCH("Folio",$A602)),$D602=""),TRIM($A602),$S601)</f>
        <v/>
      </c>
      <c r="T602">
        <f>IF(AND(ISNUMBER(SEARCH("Folio",$A602)),$D602&lt;&gt;""),1,"")</f>
        <v/>
      </c>
      <c r="U602">
        <f>IF($T602=1,COUNTIF($T$9:$T602,1),"")</f>
        <v/>
      </c>
      <c r="V602">
        <f>IF(AND(ISTEXT($A602),LEFT($A603,3)="Pan"),1,"")</f>
        <v/>
      </c>
    </row>
    <row r="603">
      <c r="S603">
        <f>IF(AND(ISTEXT($A603),ISNUMBER(SEARCH(" - ",$A603)),ISERROR(SEARCH("Folio",$A603)),$D603=""),TRIM($A603),$S602)</f>
        <v/>
      </c>
      <c r="T603">
        <f>IF(AND(ISNUMBER(SEARCH("Folio",$A603)),$D603&lt;&gt;""),1,"")</f>
        <v/>
      </c>
      <c r="U603">
        <f>IF($T603=1,COUNTIF($T$9:$T603,1),"")</f>
        <v/>
      </c>
      <c r="V603">
        <f>IF(AND(ISTEXT($A603),LEFT($A604,3)="Pan"),1,"")</f>
        <v/>
      </c>
    </row>
    <row r="604">
      <c r="S604">
        <f>IF(AND(ISTEXT($A604),ISNUMBER(SEARCH(" - ",$A604)),ISERROR(SEARCH("Folio",$A604)),$D604=""),TRIM($A604),$S603)</f>
        <v/>
      </c>
      <c r="T604">
        <f>IF(AND(ISNUMBER(SEARCH("Folio",$A604)),$D604&lt;&gt;""),1,"")</f>
        <v/>
      </c>
      <c r="U604">
        <f>IF($T604=1,COUNTIF($T$9:$T604,1),"")</f>
        <v/>
      </c>
      <c r="V604">
        <f>IF(AND(ISTEXT($A604),LEFT($A605,3)="Pan"),1,"")</f>
        <v/>
      </c>
    </row>
    <row r="605">
      <c r="S605">
        <f>IF(AND(ISTEXT($A605),ISNUMBER(SEARCH(" - ",$A605)),ISERROR(SEARCH("Folio",$A605)),$D605=""),TRIM($A605),$S604)</f>
        <v/>
      </c>
      <c r="T605">
        <f>IF(AND(ISNUMBER(SEARCH("Folio",$A605)),$D605&lt;&gt;""),1,"")</f>
        <v/>
      </c>
      <c r="U605">
        <f>IF($T605=1,COUNTIF($T$9:$T605,1),"")</f>
        <v/>
      </c>
      <c r="V605">
        <f>IF(AND(ISTEXT($A605),LEFT($A606,3)="Pan"),1,"")</f>
        <v/>
      </c>
    </row>
    <row r="606">
      <c r="S606">
        <f>IF(AND(ISTEXT($A606),ISNUMBER(SEARCH(" - ",$A606)),ISERROR(SEARCH("Folio",$A606)),$D606=""),TRIM($A606),$S605)</f>
        <v/>
      </c>
      <c r="T606">
        <f>IF(AND(ISNUMBER(SEARCH("Folio",$A606)),$D606&lt;&gt;""),1,"")</f>
        <v/>
      </c>
      <c r="U606">
        <f>IF($T606=1,COUNTIF($T$9:$T606,1),"")</f>
        <v/>
      </c>
      <c r="V606">
        <f>IF(AND(ISTEXT($A606),LEFT($A607,3)="Pan"),1,"")</f>
        <v/>
      </c>
    </row>
    <row r="607">
      <c r="S607">
        <f>IF(AND(ISTEXT($A607),ISNUMBER(SEARCH(" - ",$A607)),ISERROR(SEARCH("Folio",$A607)),$D607=""),TRIM($A607),$S606)</f>
        <v/>
      </c>
      <c r="T607">
        <f>IF(AND(ISNUMBER(SEARCH("Folio",$A607)),$D607&lt;&gt;""),1,"")</f>
        <v/>
      </c>
      <c r="U607">
        <f>IF($T607=1,COUNTIF($T$9:$T607,1),"")</f>
        <v/>
      </c>
      <c r="V607">
        <f>IF(AND(ISTEXT($A607),LEFT($A608,3)="Pan"),1,"")</f>
        <v/>
      </c>
    </row>
    <row r="608">
      <c r="S608">
        <f>IF(AND(ISTEXT($A608),ISNUMBER(SEARCH(" - ",$A608)),ISERROR(SEARCH("Folio",$A608)),$D608=""),TRIM($A608),$S607)</f>
        <v/>
      </c>
      <c r="T608">
        <f>IF(AND(ISNUMBER(SEARCH("Folio",$A608)),$D608&lt;&gt;""),1,"")</f>
        <v/>
      </c>
      <c r="U608">
        <f>IF($T608=1,COUNTIF($T$9:$T608,1),"")</f>
        <v/>
      </c>
      <c r="V608">
        <f>IF(AND(ISTEXT($A608),LEFT($A609,3)="Pan"),1,"")</f>
        <v/>
      </c>
    </row>
    <row r="609">
      <c r="S609">
        <f>IF(AND(ISTEXT($A609),ISNUMBER(SEARCH(" - ",$A609)),ISERROR(SEARCH("Folio",$A609)),$D609=""),TRIM($A609),$S608)</f>
        <v/>
      </c>
      <c r="T609">
        <f>IF(AND(ISNUMBER(SEARCH("Folio",$A609)),$D609&lt;&gt;""),1,"")</f>
        <v/>
      </c>
      <c r="U609">
        <f>IF($T609=1,COUNTIF($T$9:$T609,1),"")</f>
        <v/>
      </c>
      <c r="V609">
        <f>IF(AND(ISTEXT($A609),LEFT($A610,3)="Pan"),1,"")</f>
        <v/>
      </c>
    </row>
    <row r="610">
      <c r="S610">
        <f>IF(AND(ISTEXT($A610),ISNUMBER(SEARCH(" - ",$A610)),ISERROR(SEARCH("Folio",$A610)),$D610=""),TRIM($A610),$S609)</f>
        <v/>
      </c>
      <c r="T610">
        <f>IF(AND(ISNUMBER(SEARCH("Folio",$A610)),$D610&lt;&gt;""),1,"")</f>
        <v/>
      </c>
      <c r="U610">
        <f>IF($T610=1,COUNTIF($T$9:$T610,1),"")</f>
        <v/>
      </c>
      <c r="V610">
        <f>IF(AND(ISTEXT($A610),LEFT($A611,3)="Pan"),1,"")</f>
        <v/>
      </c>
    </row>
    <row r="611">
      <c r="S611">
        <f>IF(AND(ISTEXT($A611),ISNUMBER(SEARCH(" - ",$A611)),ISERROR(SEARCH("Folio",$A611)),$D611=""),TRIM($A611),$S610)</f>
        <v/>
      </c>
      <c r="T611">
        <f>IF(AND(ISNUMBER(SEARCH("Folio",$A611)),$D611&lt;&gt;""),1,"")</f>
        <v/>
      </c>
      <c r="U611">
        <f>IF($T611=1,COUNTIF($T$9:$T611,1),"")</f>
        <v/>
      </c>
      <c r="V611">
        <f>IF(AND(ISTEXT($A611),LEFT($A612,3)="Pan"),1,"")</f>
        <v/>
      </c>
    </row>
    <row r="612">
      <c r="S612">
        <f>IF(AND(ISTEXT($A612),ISNUMBER(SEARCH(" - ",$A612)),ISERROR(SEARCH("Folio",$A612)),$D612=""),TRIM($A612),$S611)</f>
        <v/>
      </c>
      <c r="T612">
        <f>IF(AND(ISNUMBER(SEARCH("Folio",$A612)),$D612&lt;&gt;""),1,"")</f>
        <v/>
      </c>
      <c r="U612">
        <f>IF($T612=1,COUNTIF($T$9:$T612,1),"")</f>
        <v/>
      </c>
      <c r="V612">
        <f>IF(AND(ISTEXT($A612),LEFT($A613,3)="Pan"),1,"")</f>
        <v/>
      </c>
    </row>
    <row r="613">
      <c r="S613">
        <f>IF(AND(ISTEXT($A613),ISNUMBER(SEARCH(" - ",$A613)),ISERROR(SEARCH("Folio",$A613)),$D613=""),TRIM($A613),$S612)</f>
        <v/>
      </c>
      <c r="T613">
        <f>IF(AND(ISNUMBER(SEARCH("Folio",$A613)),$D613&lt;&gt;""),1,"")</f>
        <v/>
      </c>
      <c r="U613">
        <f>IF($T613=1,COUNTIF($T$9:$T613,1),"")</f>
        <v/>
      </c>
      <c r="V613">
        <f>IF(AND(ISTEXT($A613),LEFT($A614,3)="Pan"),1,"")</f>
        <v/>
      </c>
    </row>
    <row r="614">
      <c r="S614">
        <f>IF(AND(ISTEXT($A614),ISNUMBER(SEARCH(" - ",$A614)),ISERROR(SEARCH("Folio",$A614)),$D614=""),TRIM($A614),$S613)</f>
        <v/>
      </c>
      <c r="T614">
        <f>IF(AND(ISNUMBER(SEARCH("Folio",$A614)),$D614&lt;&gt;""),1,"")</f>
        <v/>
      </c>
      <c r="U614">
        <f>IF($T614=1,COUNTIF($T$9:$T614,1),"")</f>
        <v/>
      </c>
      <c r="V614">
        <f>IF(AND(ISTEXT($A614),LEFT($A615,3)="Pan"),1,"")</f>
        <v/>
      </c>
    </row>
    <row r="615">
      <c r="S615">
        <f>IF(AND(ISTEXT($A615),ISNUMBER(SEARCH(" - ",$A615)),ISERROR(SEARCH("Folio",$A615)),$D615=""),TRIM($A615),$S614)</f>
        <v/>
      </c>
      <c r="T615">
        <f>IF(AND(ISNUMBER(SEARCH("Folio",$A615)),$D615&lt;&gt;""),1,"")</f>
        <v/>
      </c>
      <c r="U615">
        <f>IF($T615=1,COUNTIF($T$9:$T615,1),"")</f>
        <v/>
      </c>
      <c r="V615">
        <f>IF(AND(ISTEXT($A615),LEFT($A616,3)="Pan"),1,"")</f>
        <v/>
      </c>
    </row>
    <row r="616">
      <c r="S616">
        <f>IF(AND(ISTEXT($A616),ISNUMBER(SEARCH(" - ",$A616)),ISERROR(SEARCH("Folio",$A616)),$D616=""),TRIM($A616),$S615)</f>
        <v/>
      </c>
      <c r="T616">
        <f>IF(AND(ISNUMBER(SEARCH("Folio",$A616)),$D616&lt;&gt;""),1,"")</f>
        <v/>
      </c>
      <c r="U616">
        <f>IF($T616=1,COUNTIF($T$9:$T616,1),"")</f>
        <v/>
      </c>
      <c r="V616">
        <f>IF(AND(ISTEXT($A616),LEFT($A617,3)="Pan"),1,"")</f>
        <v/>
      </c>
    </row>
    <row r="617">
      <c r="S617">
        <f>IF(AND(ISTEXT($A617),ISNUMBER(SEARCH(" - ",$A617)),ISERROR(SEARCH("Folio",$A617)),$D617=""),TRIM($A617),$S616)</f>
        <v/>
      </c>
      <c r="T617">
        <f>IF(AND(ISNUMBER(SEARCH("Folio",$A617)),$D617&lt;&gt;""),1,"")</f>
        <v/>
      </c>
      <c r="U617">
        <f>IF($T617=1,COUNTIF($T$9:$T617,1),"")</f>
        <v/>
      </c>
      <c r="V617">
        <f>IF(AND(ISTEXT($A617),LEFT($A618,3)="Pan"),1,"")</f>
        <v/>
      </c>
    </row>
    <row r="618">
      <c r="S618">
        <f>IF(AND(ISTEXT($A618),ISNUMBER(SEARCH(" - ",$A618)),ISERROR(SEARCH("Folio",$A618)),$D618=""),TRIM($A618),$S617)</f>
        <v/>
      </c>
      <c r="T618">
        <f>IF(AND(ISNUMBER(SEARCH("Folio",$A618)),$D618&lt;&gt;""),1,"")</f>
        <v/>
      </c>
      <c r="U618">
        <f>IF($T618=1,COUNTIF($T$9:$T618,1),"")</f>
        <v/>
      </c>
      <c r="V618">
        <f>IF(AND(ISTEXT($A618),LEFT($A619,3)="Pan"),1,"")</f>
        <v/>
      </c>
    </row>
    <row r="619">
      <c r="S619">
        <f>IF(AND(ISTEXT($A619),ISNUMBER(SEARCH(" - ",$A619)),ISERROR(SEARCH("Folio",$A619)),$D619=""),TRIM($A619),$S618)</f>
        <v/>
      </c>
      <c r="T619">
        <f>IF(AND(ISNUMBER(SEARCH("Folio",$A619)),$D619&lt;&gt;""),1,"")</f>
        <v/>
      </c>
      <c r="U619">
        <f>IF($T619=1,COUNTIF($T$9:$T619,1),"")</f>
        <v/>
      </c>
      <c r="V619">
        <f>IF(AND(ISTEXT($A619),LEFT($A620,3)="Pan"),1,"")</f>
        <v/>
      </c>
    </row>
    <row r="620">
      <c r="S620">
        <f>IF(AND(ISTEXT($A620),ISNUMBER(SEARCH(" - ",$A620)),ISERROR(SEARCH("Folio",$A620)),$D620=""),TRIM($A620),$S619)</f>
        <v/>
      </c>
      <c r="T620">
        <f>IF(AND(ISNUMBER(SEARCH("Folio",$A620)),$D620&lt;&gt;""),1,"")</f>
        <v/>
      </c>
      <c r="U620">
        <f>IF($T620=1,COUNTIF($T$9:$T620,1),"")</f>
        <v/>
      </c>
      <c r="V620">
        <f>IF(AND(ISTEXT($A620),LEFT($A621,3)="Pan"),1,"")</f>
        <v/>
      </c>
    </row>
    <row r="621">
      <c r="S621">
        <f>IF(AND(ISTEXT($A621),ISNUMBER(SEARCH(" - ",$A621)),ISERROR(SEARCH("Folio",$A621)),$D621=""),TRIM($A621),$S620)</f>
        <v/>
      </c>
      <c r="T621">
        <f>IF(AND(ISNUMBER(SEARCH("Folio",$A621)),$D621&lt;&gt;""),1,"")</f>
        <v/>
      </c>
      <c r="U621">
        <f>IF($T621=1,COUNTIF($T$9:$T621,1),"")</f>
        <v/>
      </c>
      <c r="V621">
        <f>IF(AND(ISTEXT($A621),LEFT($A622,3)="Pan"),1,"")</f>
        <v/>
      </c>
    </row>
    <row r="622">
      <c r="S622">
        <f>IF(AND(ISTEXT($A622),ISNUMBER(SEARCH(" - ",$A622)),ISERROR(SEARCH("Folio",$A622)),$D622=""),TRIM($A622),$S621)</f>
        <v/>
      </c>
      <c r="T622">
        <f>IF(AND(ISNUMBER(SEARCH("Folio",$A622)),$D622&lt;&gt;""),1,"")</f>
        <v/>
      </c>
      <c r="U622">
        <f>IF($T622=1,COUNTIF($T$9:$T622,1),"")</f>
        <v/>
      </c>
      <c r="V622">
        <f>IF(AND(ISTEXT($A622),LEFT($A623,3)="Pan"),1,"")</f>
        <v/>
      </c>
    </row>
    <row r="623">
      <c r="S623">
        <f>IF(AND(ISTEXT($A623),ISNUMBER(SEARCH(" - ",$A623)),ISERROR(SEARCH("Folio",$A623)),$D623=""),TRIM($A623),$S622)</f>
        <v/>
      </c>
      <c r="T623">
        <f>IF(AND(ISNUMBER(SEARCH("Folio",$A623)),$D623&lt;&gt;""),1,"")</f>
        <v/>
      </c>
      <c r="U623">
        <f>IF($T623=1,COUNTIF($T$9:$T623,1),"")</f>
        <v/>
      </c>
      <c r="V623">
        <f>IF(AND(ISTEXT($A623),LEFT($A624,3)="Pan"),1,"")</f>
        <v/>
      </c>
    </row>
    <row r="624">
      <c r="S624">
        <f>IF(AND(ISTEXT($A624),ISNUMBER(SEARCH(" - ",$A624)),ISERROR(SEARCH("Folio",$A624)),$D624=""),TRIM($A624),$S623)</f>
        <v/>
      </c>
      <c r="T624">
        <f>IF(AND(ISNUMBER(SEARCH("Folio",$A624)),$D624&lt;&gt;""),1,"")</f>
        <v/>
      </c>
      <c r="U624">
        <f>IF($T624=1,COUNTIF($T$9:$T624,1),"")</f>
        <v/>
      </c>
      <c r="V624">
        <f>IF(AND(ISTEXT($A624),LEFT($A625,3)="Pan"),1,"")</f>
        <v/>
      </c>
    </row>
    <row r="625">
      <c r="S625">
        <f>IF(AND(ISTEXT($A625),ISNUMBER(SEARCH(" - ",$A625)),ISERROR(SEARCH("Folio",$A625)),$D625=""),TRIM($A625),$S624)</f>
        <v/>
      </c>
      <c r="T625">
        <f>IF(AND(ISNUMBER(SEARCH("Folio",$A625)),$D625&lt;&gt;""),1,"")</f>
        <v/>
      </c>
      <c r="U625">
        <f>IF($T625=1,COUNTIF($T$9:$T625,1),"")</f>
        <v/>
      </c>
      <c r="V625">
        <f>IF(AND(ISTEXT($A625),LEFT($A626,3)="Pan"),1,"")</f>
        <v/>
      </c>
    </row>
    <row r="626">
      <c r="S626">
        <f>IF(AND(ISTEXT($A626),ISNUMBER(SEARCH(" - ",$A626)),ISERROR(SEARCH("Folio",$A626)),$D626=""),TRIM($A626),$S625)</f>
        <v/>
      </c>
      <c r="T626">
        <f>IF(AND(ISNUMBER(SEARCH("Folio",$A626)),$D626&lt;&gt;""),1,"")</f>
        <v/>
      </c>
      <c r="U626">
        <f>IF($T626=1,COUNTIF($T$9:$T626,1),"")</f>
        <v/>
      </c>
      <c r="V626">
        <f>IF(AND(ISTEXT($A626),LEFT($A627,3)="Pan"),1,"")</f>
        <v/>
      </c>
    </row>
    <row r="627">
      <c r="S627">
        <f>IF(AND(ISTEXT($A627),ISNUMBER(SEARCH(" - ",$A627)),ISERROR(SEARCH("Folio",$A627)),$D627=""),TRIM($A627),$S626)</f>
        <v/>
      </c>
      <c r="T627">
        <f>IF(AND(ISNUMBER(SEARCH("Folio",$A627)),$D627&lt;&gt;""),1,"")</f>
        <v/>
      </c>
      <c r="U627">
        <f>IF($T627=1,COUNTIF($T$9:$T627,1),"")</f>
        <v/>
      </c>
      <c r="V627">
        <f>IF(AND(ISTEXT($A627),LEFT($A628,3)="Pan"),1,"")</f>
        <v/>
      </c>
    </row>
    <row r="628">
      <c r="S628">
        <f>IF(AND(ISTEXT($A628),ISNUMBER(SEARCH(" - ",$A628)),ISERROR(SEARCH("Folio",$A628)),$D628=""),TRIM($A628),$S627)</f>
        <v/>
      </c>
      <c r="T628">
        <f>IF(AND(ISNUMBER(SEARCH("Folio",$A628)),$D628&lt;&gt;""),1,"")</f>
        <v/>
      </c>
      <c r="U628">
        <f>IF($T628=1,COUNTIF($T$9:$T628,1),"")</f>
        <v/>
      </c>
      <c r="V628">
        <f>IF(AND(ISTEXT($A628),LEFT($A629,3)="Pan"),1,"")</f>
        <v/>
      </c>
    </row>
    <row r="629">
      <c r="S629">
        <f>IF(AND(ISTEXT($A629),ISNUMBER(SEARCH(" - ",$A629)),ISERROR(SEARCH("Folio",$A629)),$D629=""),TRIM($A629),$S628)</f>
        <v/>
      </c>
      <c r="T629">
        <f>IF(AND(ISNUMBER(SEARCH("Folio",$A629)),$D629&lt;&gt;""),1,"")</f>
        <v/>
      </c>
      <c r="U629">
        <f>IF($T629=1,COUNTIF($T$9:$T629,1),"")</f>
        <v/>
      </c>
      <c r="V629">
        <f>IF(AND(ISTEXT($A629),LEFT($A630,3)="Pan"),1,"")</f>
        <v/>
      </c>
    </row>
    <row r="630">
      <c r="S630">
        <f>IF(AND(ISTEXT($A630),ISNUMBER(SEARCH(" - ",$A630)),ISERROR(SEARCH("Folio",$A630)),$D630=""),TRIM($A630),$S629)</f>
        <v/>
      </c>
      <c r="T630">
        <f>IF(AND(ISNUMBER(SEARCH("Folio",$A630)),$D630&lt;&gt;""),1,"")</f>
        <v/>
      </c>
      <c r="U630">
        <f>IF($T630=1,COUNTIF($T$9:$T630,1),"")</f>
        <v/>
      </c>
      <c r="V630">
        <f>IF(AND(ISTEXT($A630),LEFT($A631,3)="Pan"),1,"")</f>
        <v/>
      </c>
    </row>
    <row r="631">
      <c r="S631">
        <f>IF(AND(ISTEXT($A631),ISNUMBER(SEARCH(" - ",$A631)),ISERROR(SEARCH("Folio",$A631)),$D631=""),TRIM($A631),$S630)</f>
        <v/>
      </c>
      <c r="T631">
        <f>IF(AND(ISNUMBER(SEARCH("Folio",$A631)),$D631&lt;&gt;""),1,"")</f>
        <v/>
      </c>
      <c r="U631">
        <f>IF($T631=1,COUNTIF($T$9:$T631,1),"")</f>
        <v/>
      </c>
      <c r="V631">
        <f>IF(AND(ISTEXT($A631),LEFT($A632,3)="Pan"),1,"")</f>
        <v/>
      </c>
    </row>
    <row r="632">
      <c r="S632">
        <f>IF(AND(ISTEXT($A632),ISNUMBER(SEARCH(" - ",$A632)),ISERROR(SEARCH("Folio",$A632)),$D632=""),TRIM($A632),$S631)</f>
        <v/>
      </c>
      <c r="T632">
        <f>IF(AND(ISNUMBER(SEARCH("Folio",$A632)),$D632&lt;&gt;""),1,"")</f>
        <v/>
      </c>
      <c r="U632">
        <f>IF($T632=1,COUNTIF($T$9:$T632,1),"")</f>
        <v/>
      </c>
      <c r="V632">
        <f>IF(AND(ISTEXT($A632),LEFT($A633,3)="Pan"),1,"")</f>
        <v/>
      </c>
    </row>
    <row r="633">
      <c r="S633">
        <f>IF(AND(ISTEXT($A633),ISNUMBER(SEARCH(" - ",$A633)),ISERROR(SEARCH("Folio",$A633)),$D633=""),TRIM($A633),$S632)</f>
        <v/>
      </c>
      <c r="T633">
        <f>IF(AND(ISNUMBER(SEARCH("Folio",$A633)),$D633&lt;&gt;""),1,"")</f>
        <v/>
      </c>
      <c r="U633">
        <f>IF($T633=1,COUNTIF($T$9:$T633,1),"")</f>
        <v/>
      </c>
      <c r="V633">
        <f>IF(AND(ISTEXT($A633),LEFT($A634,3)="Pan"),1,"")</f>
        <v/>
      </c>
    </row>
    <row r="634">
      <c r="S634">
        <f>IF(AND(ISTEXT($A634),ISNUMBER(SEARCH(" - ",$A634)),ISERROR(SEARCH("Folio",$A634)),$D634=""),TRIM($A634),$S633)</f>
        <v/>
      </c>
      <c r="T634">
        <f>IF(AND(ISNUMBER(SEARCH("Folio",$A634)),$D634&lt;&gt;""),1,"")</f>
        <v/>
      </c>
      <c r="U634">
        <f>IF($T634=1,COUNTIF($T$9:$T634,1),"")</f>
        <v/>
      </c>
      <c r="V634">
        <f>IF(AND(ISTEXT($A634),LEFT($A635,3)="Pan"),1,"")</f>
        <v/>
      </c>
    </row>
    <row r="635">
      <c r="S635">
        <f>IF(AND(ISTEXT($A635),ISNUMBER(SEARCH(" - ",$A635)),ISERROR(SEARCH("Folio",$A635)),$D635=""),TRIM($A635),$S634)</f>
        <v/>
      </c>
      <c r="T635">
        <f>IF(AND(ISNUMBER(SEARCH("Folio",$A635)),$D635&lt;&gt;""),1,"")</f>
        <v/>
      </c>
      <c r="U635">
        <f>IF($T635=1,COUNTIF($T$9:$T635,1),"")</f>
        <v/>
      </c>
      <c r="V635">
        <f>IF(AND(ISTEXT($A635),LEFT($A636,3)="Pan"),1,"")</f>
        <v/>
      </c>
    </row>
    <row r="636">
      <c r="S636">
        <f>IF(AND(ISTEXT($A636),ISNUMBER(SEARCH(" - ",$A636)),ISERROR(SEARCH("Folio",$A636)),$D636=""),TRIM($A636),$S635)</f>
        <v/>
      </c>
      <c r="T636">
        <f>IF(AND(ISNUMBER(SEARCH("Folio",$A636)),$D636&lt;&gt;""),1,"")</f>
        <v/>
      </c>
      <c r="U636">
        <f>IF($T636=1,COUNTIF($T$9:$T636,1),"")</f>
        <v/>
      </c>
      <c r="V636">
        <f>IF(AND(ISTEXT($A636),LEFT($A637,3)="Pan"),1,"")</f>
        <v/>
      </c>
    </row>
    <row r="637">
      <c r="S637">
        <f>IF(AND(ISTEXT($A637),ISNUMBER(SEARCH(" - ",$A637)),ISERROR(SEARCH("Folio",$A637)),$D637=""),TRIM($A637),$S636)</f>
        <v/>
      </c>
      <c r="T637">
        <f>IF(AND(ISNUMBER(SEARCH("Folio",$A637)),$D637&lt;&gt;""),1,"")</f>
        <v/>
      </c>
      <c r="U637">
        <f>IF($T637=1,COUNTIF($T$9:$T637,1),"")</f>
        <v/>
      </c>
      <c r="V637">
        <f>IF(AND(ISTEXT($A637),LEFT($A638,3)="Pan"),1,"")</f>
        <v/>
      </c>
    </row>
    <row r="638">
      <c r="S638">
        <f>IF(AND(ISTEXT($A638),ISNUMBER(SEARCH(" - ",$A638)),ISERROR(SEARCH("Folio",$A638)),$D638=""),TRIM($A638),$S637)</f>
        <v/>
      </c>
      <c r="T638">
        <f>IF(AND(ISNUMBER(SEARCH("Folio",$A638)),$D638&lt;&gt;""),1,"")</f>
        <v/>
      </c>
      <c r="U638">
        <f>IF($T638=1,COUNTIF($T$9:$T638,1),"")</f>
        <v/>
      </c>
      <c r="V638">
        <f>IF(AND(ISTEXT($A638),LEFT($A639,3)="Pan"),1,"")</f>
        <v/>
      </c>
    </row>
    <row r="639">
      <c r="S639">
        <f>IF(AND(ISTEXT($A639),ISNUMBER(SEARCH(" - ",$A639)),ISERROR(SEARCH("Folio",$A639)),$D639=""),TRIM($A639),$S638)</f>
        <v/>
      </c>
      <c r="T639">
        <f>IF(AND(ISNUMBER(SEARCH("Folio",$A639)),$D639&lt;&gt;""),1,"")</f>
        <v/>
      </c>
      <c r="U639">
        <f>IF($T639=1,COUNTIF($T$9:$T639,1),"")</f>
        <v/>
      </c>
      <c r="V639">
        <f>IF(AND(ISTEXT($A639),LEFT($A640,3)="Pan"),1,"")</f>
        <v/>
      </c>
    </row>
    <row r="640">
      <c r="S640">
        <f>IF(AND(ISTEXT($A640),ISNUMBER(SEARCH(" - ",$A640)),ISERROR(SEARCH("Folio",$A640)),$D640=""),TRIM($A640),$S639)</f>
        <v/>
      </c>
      <c r="T640">
        <f>IF(AND(ISNUMBER(SEARCH("Folio",$A640)),$D640&lt;&gt;""),1,"")</f>
        <v/>
      </c>
      <c r="U640">
        <f>IF($T640=1,COUNTIF($T$9:$T640,1),"")</f>
        <v/>
      </c>
      <c r="V640">
        <f>IF(AND(ISTEXT($A640),LEFT($A641,3)="Pan"),1,"")</f>
        <v/>
      </c>
    </row>
    <row r="641">
      <c r="S641">
        <f>IF(AND(ISTEXT($A641),ISNUMBER(SEARCH(" - ",$A641)),ISERROR(SEARCH("Folio",$A641)),$D641=""),TRIM($A641),$S640)</f>
        <v/>
      </c>
      <c r="T641">
        <f>IF(AND(ISNUMBER(SEARCH("Folio",$A641)),$D641&lt;&gt;""),1,"")</f>
        <v/>
      </c>
      <c r="U641">
        <f>IF($T641=1,COUNTIF($T$9:$T641,1),"")</f>
        <v/>
      </c>
      <c r="V641">
        <f>IF(AND(ISTEXT($A641),LEFT($A642,3)="Pan"),1,"")</f>
        <v/>
      </c>
    </row>
    <row r="642">
      <c r="S642">
        <f>IF(AND(ISTEXT($A642),ISNUMBER(SEARCH(" - ",$A642)),ISERROR(SEARCH("Folio",$A642)),$D642=""),TRIM($A642),$S641)</f>
        <v/>
      </c>
      <c r="T642">
        <f>IF(AND(ISNUMBER(SEARCH("Folio",$A642)),$D642&lt;&gt;""),1,"")</f>
        <v/>
      </c>
      <c r="U642">
        <f>IF($T642=1,COUNTIF($T$9:$T642,1),"")</f>
        <v/>
      </c>
      <c r="V642">
        <f>IF(AND(ISTEXT($A642),LEFT($A643,3)="Pan"),1,"")</f>
        <v/>
      </c>
    </row>
    <row r="643">
      <c r="S643">
        <f>IF(AND(ISTEXT($A643),ISNUMBER(SEARCH(" - ",$A643)),ISERROR(SEARCH("Folio",$A643)),$D643=""),TRIM($A643),$S642)</f>
        <v/>
      </c>
      <c r="T643">
        <f>IF(AND(ISNUMBER(SEARCH("Folio",$A643)),$D643&lt;&gt;""),1,"")</f>
        <v/>
      </c>
      <c r="U643">
        <f>IF($T643=1,COUNTIF($T$9:$T643,1),"")</f>
        <v/>
      </c>
      <c r="V643">
        <f>IF(AND(ISTEXT($A643),LEFT($A644,3)="Pan"),1,"")</f>
        <v/>
      </c>
    </row>
    <row r="644">
      <c r="S644">
        <f>IF(AND(ISTEXT($A644),ISNUMBER(SEARCH(" - ",$A644)),ISERROR(SEARCH("Folio",$A644)),$D644=""),TRIM($A644),$S643)</f>
        <v/>
      </c>
      <c r="T644">
        <f>IF(AND(ISNUMBER(SEARCH("Folio",$A644)),$D644&lt;&gt;""),1,"")</f>
        <v/>
      </c>
      <c r="U644">
        <f>IF($T644=1,COUNTIF($T$9:$T644,1),"")</f>
        <v/>
      </c>
      <c r="V644">
        <f>IF(AND(ISTEXT($A644),LEFT($A645,3)="Pan"),1,"")</f>
        <v/>
      </c>
    </row>
    <row r="645">
      <c r="S645">
        <f>IF(AND(ISTEXT($A645),ISNUMBER(SEARCH(" - ",$A645)),ISERROR(SEARCH("Folio",$A645)),$D645=""),TRIM($A645),$S644)</f>
        <v/>
      </c>
      <c r="T645">
        <f>IF(AND(ISNUMBER(SEARCH("Folio",$A645)),$D645&lt;&gt;""),1,"")</f>
        <v/>
      </c>
      <c r="U645">
        <f>IF($T645=1,COUNTIF($T$9:$T645,1),"")</f>
        <v/>
      </c>
      <c r="V645">
        <f>IF(AND(ISTEXT($A645),LEFT($A646,3)="Pan"),1,"")</f>
        <v/>
      </c>
    </row>
    <row r="646">
      <c r="S646">
        <f>IF(AND(ISTEXT($A646),ISNUMBER(SEARCH(" - ",$A646)),ISERROR(SEARCH("Folio",$A646)),$D646=""),TRIM($A646),$S645)</f>
        <v/>
      </c>
      <c r="T646">
        <f>IF(AND(ISNUMBER(SEARCH("Folio",$A646)),$D646&lt;&gt;""),1,"")</f>
        <v/>
      </c>
      <c r="U646">
        <f>IF($T646=1,COUNTIF($T$9:$T646,1),"")</f>
        <v/>
      </c>
      <c r="V646">
        <f>IF(AND(ISTEXT($A646),LEFT($A647,3)="Pan"),1,"")</f>
        <v/>
      </c>
    </row>
    <row r="647">
      <c r="S647">
        <f>IF(AND(ISTEXT($A647),ISNUMBER(SEARCH(" - ",$A647)),ISERROR(SEARCH("Folio",$A647)),$D647=""),TRIM($A647),$S646)</f>
        <v/>
      </c>
      <c r="T647">
        <f>IF(AND(ISNUMBER(SEARCH("Folio",$A647)),$D647&lt;&gt;""),1,"")</f>
        <v/>
      </c>
      <c r="U647">
        <f>IF($T647=1,COUNTIF($T$9:$T647,1),"")</f>
        <v/>
      </c>
      <c r="V647">
        <f>IF(AND(ISTEXT($A647),LEFT($A648,3)="Pan"),1,"")</f>
        <v/>
      </c>
    </row>
    <row r="648">
      <c r="S648">
        <f>IF(AND(ISTEXT($A648),ISNUMBER(SEARCH(" - ",$A648)),ISERROR(SEARCH("Folio",$A648)),$D648=""),TRIM($A648),$S647)</f>
        <v/>
      </c>
      <c r="T648">
        <f>IF(AND(ISNUMBER(SEARCH("Folio",$A648)),$D648&lt;&gt;""),1,"")</f>
        <v/>
      </c>
      <c r="U648">
        <f>IF($T648=1,COUNTIF($T$9:$T648,1),"")</f>
        <v/>
      </c>
      <c r="V648">
        <f>IF(AND(ISTEXT($A648),LEFT($A649,3)="Pan"),1,"")</f>
        <v/>
      </c>
    </row>
    <row r="649">
      <c r="S649">
        <f>IF(AND(ISTEXT($A649),ISNUMBER(SEARCH(" - ",$A649)),ISERROR(SEARCH("Folio",$A649)),$D649=""),TRIM($A649),$S648)</f>
        <v/>
      </c>
      <c r="T649">
        <f>IF(AND(ISNUMBER(SEARCH("Folio",$A649)),$D649&lt;&gt;""),1,"")</f>
        <v/>
      </c>
      <c r="U649">
        <f>IF($T649=1,COUNTIF($T$9:$T649,1),"")</f>
        <v/>
      </c>
      <c r="V649">
        <f>IF(AND(ISTEXT($A649),LEFT($A650,3)="Pan"),1,"")</f>
        <v/>
      </c>
    </row>
    <row r="650">
      <c r="S650">
        <f>IF(AND(ISTEXT($A650),ISNUMBER(SEARCH(" - ",$A650)),ISERROR(SEARCH("Folio",$A650)),$D650=""),TRIM($A650),$S649)</f>
        <v/>
      </c>
      <c r="T650">
        <f>IF(AND(ISNUMBER(SEARCH("Folio",$A650)),$D650&lt;&gt;""),1,"")</f>
        <v/>
      </c>
      <c r="U650">
        <f>IF($T650=1,COUNTIF($T$9:$T650,1),"")</f>
        <v/>
      </c>
      <c r="V650">
        <f>IF(AND(ISTEXT($A650),LEFT($A651,3)="Pan"),1,"")</f>
        <v/>
      </c>
    </row>
    <row r="651">
      <c r="S651">
        <f>IF(AND(ISTEXT($A651),ISNUMBER(SEARCH(" - ",$A651)),ISERROR(SEARCH("Folio",$A651)),$D651=""),TRIM($A651),$S650)</f>
        <v/>
      </c>
      <c r="T651">
        <f>IF(AND(ISNUMBER(SEARCH("Folio",$A651)),$D651&lt;&gt;""),1,"")</f>
        <v/>
      </c>
      <c r="U651">
        <f>IF($T651=1,COUNTIF($T$9:$T651,1),"")</f>
        <v/>
      </c>
      <c r="V651">
        <f>IF(AND(ISTEXT($A651),LEFT($A652,3)="Pan"),1,"")</f>
        <v/>
      </c>
    </row>
    <row r="652">
      <c r="S652">
        <f>IF(AND(ISTEXT($A652),ISNUMBER(SEARCH(" - ",$A652)),ISERROR(SEARCH("Folio",$A652)),$D652=""),TRIM($A652),$S651)</f>
        <v/>
      </c>
      <c r="T652">
        <f>IF(AND(ISNUMBER(SEARCH("Folio",$A652)),$D652&lt;&gt;""),1,"")</f>
        <v/>
      </c>
      <c r="U652">
        <f>IF($T652=1,COUNTIF($T$9:$T652,1),"")</f>
        <v/>
      </c>
      <c r="V652">
        <f>IF(AND(ISTEXT($A652),LEFT($A653,3)="Pan"),1,"")</f>
        <v/>
      </c>
    </row>
    <row r="653">
      <c r="S653">
        <f>IF(AND(ISTEXT($A653),ISNUMBER(SEARCH(" - ",$A653)),ISERROR(SEARCH("Folio",$A653)),$D653=""),TRIM($A653),$S652)</f>
        <v/>
      </c>
      <c r="T653">
        <f>IF(AND(ISNUMBER(SEARCH("Folio",$A653)),$D653&lt;&gt;""),1,"")</f>
        <v/>
      </c>
      <c r="U653">
        <f>IF($T653=1,COUNTIF($T$9:$T653,1),"")</f>
        <v/>
      </c>
      <c r="V653">
        <f>IF(AND(ISTEXT($A653),LEFT($A654,3)="Pan"),1,"")</f>
        <v/>
      </c>
    </row>
    <row r="654">
      <c r="S654">
        <f>IF(AND(ISTEXT($A654),ISNUMBER(SEARCH(" - ",$A654)),ISERROR(SEARCH("Folio",$A654)),$D654=""),TRIM($A654),$S653)</f>
        <v/>
      </c>
      <c r="T654">
        <f>IF(AND(ISNUMBER(SEARCH("Folio",$A654)),$D654&lt;&gt;""),1,"")</f>
        <v/>
      </c>
      <c r="U654">
        <f>IF($T654=1,COUNTIF($T$9:$T654,1),"")</f>
        <v/>
      </c>
      <c r="V654">
        <f>IF(AND(ISTEXT($A654),LEFT($A655,3)="Pan"),1,"")</f>
        <v/>
      </c>
    </row>
    <row r="655">
      <c r="S655">
        <f>IF(AND(ISTEXT($A655),ISNUMBER(SEARCH(" - ",$A655)),ISERROR(SEARCH("Folio",$A655)),$D655=""),TRIM($A655),$S654)</f>
        <v/>
      </c>
      <c r="T655">
        <f>IF(AND(ISNUMBER(SEARCH("Folio",$A655)),$D655&lt;&gt;""),1,"")</f>
        <v/>
      </c>
      <c r="U655">
        <f>IF($T655=1,COUNTIF($T$9:$T655,1),"")</f>
        <v/>
      </c>
      <c r="V655">
        <f>IF(AND(ISTEXT($A655),LEFT($A656,3)="Pan"),1,"")</f>
        <v/>
      </c>
    </row>
    <row r="656">
      <c r="S656">
        <f>IF(AND(ISTEXT($A656),ISNUMBER(SEARCH(" - ",$A656)),ISERROR(SEARCH("Folio",$A656)),$D656=""),TRIM($A656),$S655)</f>
        <v/>
      </c>
      <c r="T656">
        <f>IF(AND(ISNUMBER(SEARCH("Folio",$A656)),$D656&lt;&gt;""),1,"")</f>
        <v/>
      </c>
      <c r="U656">
        <f>IF($T656=1,COUNTIF($T$9:$T656,1),"")</f>
        <v/>
      </c>
      <c r="V656">
        <f>IF(AND(ISTEXT($A656),LEFT($A657,3)="Pan"),1,"")</f>
        <v/>
      </c>
    </row>
    <row r="657">
      <c r="S657">
        <f>IF(AND(ISTEXT($A657),ISNUMBER(SEARCH(" - ",$A657)),ISERROR(SEARCH("Folio",$A657)),$D657=""),TRIM($A657),$S656)</f>
        <v/>
      </c>
      <c r="T657">
        <f>IF(AND(ISNUMBER(SEARCH("Folio",$A657)),$D657&lt;&gt;""),1,"")</f>
        <v/>
      </c>
      <c r="U657">
        <f>IF($T657=1,COUNTIF($T$9:$T657,1),"")</f>
        <v/>
      </c>
      <c r="V657">
        <f>IF(AND(ISTEXT($A657),LEFT($A658,3)="Pan"),1,"")</f>
        <v/>
      </c>
    </row>
    <row r="658">
      <c r="S658">
        <f>IF(AND(ISTEXT($A658),ISNUMBER(SEARCH(" - ",$A658)),ISERROR(SEARCH("Folio",$A658)),$D658=""),TRIM($A658),$S657)</f>
        <v/>
      </c>
      <c r="T658">
        <f>IF(AND(ISNUMBER(SEARCH("Folio",$A658)),$D658&lt;&gt;""),1,"")</f>
        <v/>
      </c>
      <c r="U658">
        <f>IF($T658=1,COUNTIF($T$9:$T658,1),"")</f>
        <v/>
      </c>
      <c r="V658">
        <f>IF(AND(ISTEXT($A658),LEFT($A659,3)="Pan"),1,"")</f>
        <v/>
      </c>
    </row>
    <row r="659">
      <c r="S659">
        <f>IF(AND(ISTEXT($A659),ISNUMBER(SEARCH(" - ",$A659)),ISERROR(SEARCH("Folio",$A659)),$D659=""),TRIM($A659),$S658)</f>
        <v/>
      </c>
      <c r="T659">
        <f>IF(AND(ISNUMBER(SEARCH("Folio",$A659)),$D659&lt;&gt;""),1,"")</f>
        <v/>
      </c>
      <c r="U659">
        <f>IF($T659=1,COUNTIF($T$9:$T659,1),"")</f>
        <v/>
      </c>
      <c r="V659">
        <f>IF(AND(ISTEXT($A659),LEFT($A660,3)="Pan"),1,"")</f>
        <v/>
      </c>
    </row>
    <row r="660">
      <c r="S660">
        <f>IF(AND(ISTEXT($A660),ISNUMBER(SEARCH(" - ",$A660)),ISERROR(SEARCH("Folio",$A660)),$D660=""),TRIM($A660),$S659)</f>
        <v/>
      </c>
      <c r="T660">
        <f>IF(AND(ISNUMBER(SEARCH("Folio",$A660)),$D660&lt;&gt;""),1,"")</f>
        <v/>
      </c>
      <c r="U660">
        <f>IF($T660=1,COUNTIF($T$9:$T660,1),"")</f>
        <v/>
      </c>
      <c r="V660">
        <f>IF(AND(ISTEXT($A660),LEFT($A661,3)="Pan"),1,"")</f>
        <v/>
      </c>
    </row>
    <row r="661">
      <c r="S661">
        <f>IF(AND(ISTEXT($A661),ISNUMBER(SEARCH(" - ",$A661)),ISERROR(SEARCH("Folio",$A661)),$D661=""),TRIM($A661),$S660)</f>
        <v/>
      </c>
      <c r="T661">
        <f>IF(AND(ISNUMBER(SEARCH("Folio",$A661)),$D661&lt;&gt;""),1,"")</f>
        <v/>
      </c>
      <c r="U661">
        <f>IF($T661=1,COUNTIF($T$9:$T661,1),"")</f>
        <v/>
      </c>
      <c r="V661">
        <f>IF(AND(ISTEXT($A661),LEFT($A662,3)="Pan"),1,"")</f>
        <v/>
      </c>
    </row>
    <row r="662">
      <c r="S662">
        <f>IF(AND(ISTEXT($A662),ISNUMBER(SEARCH(" - ",$A662)),ISERROR(SEARCH("Folio",$A662)),$D662=""),TRIM($A662),$S661)</f>
        <v/>
      </c>
      <c r="T662">
        <f>IF(AND(ISNUMBER(SEARCH("Folio",$A662)),$D662&lt;&gt;""),1,"")</f>
        <v/>
      </c>
      <c r="U662">
        <f>IF($T662=1,COUNTIF($T$9:$T662,1),"")</f>
        <v/>
      </c>
      <c r="V662">
        <f>IF(AND(ISTEXT($A662),LEFT($A663,3)="Pan"),1,"")</f>
        <v/>
      </c>
    </row>
    <row r="663">
      <c r="S663">
        <f>IF(AND(ISTEXT($A663),ISNUMBER(SEARCH(" - ",$A663)),ISERROR(SEARCH("Folio",$A663)),$D663=""),TRIM($A663),$S662)</f>
        <v/>
      </c>
      <c r="T663">
        <f>IF(AND(ISNUMBER(SEARCH("Folio",$A663)),$D663&lt;&gt;""),1,"")</f>
        <v/>
      </c>
      <c r="U663">
        <f>IF($T663=1,COUNTIF($T$9:$T663,1),"")</f>
        <v/>
      </c>
      <c r="V663">
        <f>IF(AND(ISTEXT($A663),LEFT($A664,3)="Pan"),1,"")</f>
        <v/>
      </c>
    </row>
    <row r="664">
      <c r="S664">
        <f>IF(AND(ISTEXT($A664),ISNUMBER(SEARCH(" - ",$A664)),ISERROR(SEARCH("Folio",$A664)),$D664=""),TRIM($A664),$S663)</f>
        <v/>
      </c>
      <c r="T664">
        <f>IF(AND(ISNUMBER(SEARCH("Folio",$A664)),$D664&lt;&gt;""),1,"")</f>
        <v/>
      </c>
      <c r="U664">
        <f>IF($T664=1,COUNTIF($T$9:$T664,1),"")</f>
        <v/>
      </c>
      <c r="V664">
        <f>IF(AND(ISTEXT($A664),LEFT($A665,3)="Pan"),1,"")</f>
        <v/>
      </c>
    </row>
    <row r="665">
      <c r="S665">
        <f>IF(AND(ISTEXT($A665),ISNUMBER(SEARCH(" - ",$A665)),ISERROR(SEARCH("Folio",$A665)),$D665=""),TRIM($A665),$S664)</f>
        <v/>
      </c>
      <c r="T665">
        <f>IF(AND(ISNUMBER(SEARCH("Folio",$A665)),$D665&lt;&gt;""),1,"")</f>
        <v/>
      </c>
      <c r="U665">
        <f>IF($T665=1,COUNTIF($T$9:$T665,1),"")</f>
        <v/>
      </c>
      <c r="V665">
        <f>IF(AND(ISTEXT($A665),LEFT($A666,3)="Pan"),1,"")</f>
        <v/>
      </c>
    </row>
    <row r="666">
      <c r="S666">
        <f>IF(AND(ISTEXT($A666),ISNUMBER(SEARCH(" - ",$A666)),ISERROR(SEARCH("Folio",$A666)),$D666=""),TRIM($A666),$S665)</f>
        <v/>
      </c>
      <c r="T666">
        <f>IF(AND(ISNUMBER(SEARCH("Folio",$A666)),$D666&lt;&gt;""),1,"")</f>
        <v/>
      </c>
      <c r="U666">
        <f>IF($T666=1,COUNTIF($T$9:$T666,1),"")</f>
        <v/>
      </c>
      <c r="V666">
        <f>IF(AND(ISTEXT($A666),LEFT($A667,3)="Pan"),1,"")</f>
        <v/>
      </c>
    </row>
    <row r="667">
      <c r="S667">
        <f>IF(AND(ISTEXT($A667),ISNUMBER(SEARCH(" - ",$A667)),ISERROR(SEARCH("Folio",$A667)),$D667=""),TRIM($A667),$S666)</f>
        <v/>
      </c>
      <c r="T667">
        <f>IF(AND(ISNUMBER(SEARCH("Folio",$A667)),$D667&lt;&gt;""),1,"")</f>
        <v/>
      </c>
      <c r="U667">
        <f>IF($T667=1,COUNTIF($T$9:$T667,1),"")</f>
        <v/>
      </c>
      <c r="V667">
        <f>IF(AND(ISTEXT($A667),LEFT($A668,3)="Pan"),1,"")</f>
        <v/>
      </c>
    </row>
    <row r="668">
      <c r="S668">
        <f>IF(AND(ISTEXT($A668),ISNUMBER(SEARCH(" - ",$A668)),ISERROR(SEARCH("Folio",$A668)),$D668=""),TRIM($A668),$S667)</f>
        <v/>
      </c>
      <c r="T668">
        <f>IF(AND(ISNUMBER(SEARCH("Folio",$A668)),$D668&lt;&gt;""),1,"")</f>
        <v/>
      </c>
      <c r="U668">
        <f>IF($T668=1,COUNTIF($T$9:$T668,1),"")</f>
        <v/>
      </c>
      <c r="V668">
        <f>IF(AND(ISTEXT($A668),LEFT($A669,3)="Pan"),1,"")</f>
        <v/>
      </c>
    </row>
    <row r="669">
      <c r="S669">
        <f>IF(AND(ISTEXT($A669),ISNUMBER(SEARCH(" - ",$A669)),ISERROR(SEARCH("Folio",$A669)),$D669=""),TRIM($A669),$S668)</f>
        <v/>
      </c>
      <c r="T669">
        <f>IF(AND(ISNUMBER(SEARCH("Folio",$A669)),$D669&lt;&gt;""),1,"")</f>
        <v/>
      </c>
      <c r="U669">
        <f>IF($T669=1,COUNTIF($T$9:$T669,1),"")</f>
        <v/>
      </c>
      <c r="V669">
        <f>IF(AND(ISTEXT($A669),LEFT($A670,3)="Pan"),1,"")</f>
        <v/>
      </c>
    </row>
    <row r="670">
      <c r="S670">
        <f>IF(AND(ISTEXT($A670),ISNUMBER(SEARCH(" - ",$A670)),ISERROR(SEARCH("Folio",$A670)),$D670=""),TRIM($A670),$S669)</f>
        <v/>
      </c>
      <c r="T670">
        <f>IF(AND(ISNUMBER(SEARCH("Folio",$A670)),$D670&lt;&gt;""),1,"")</f>
        <v/>
      </c>
      <c r="U670">
        <f>IF($T670=1,COUNTIF($T$9:$T670,1),"")</f>
        <v/>
      </c>
      <c r="V670">
        <f>IF(AND(ISTEXT($A670),LEFT($A671,3)="Pan"),1,"")</f>
        <v/>
      </c>
    </row>
    <row r="671">
      <c r="S671">
        <f>IF(AND(ISTEXT($A671),ISNUMBER(SEARCH(" - ",$A671)),ISERROR(SEARCH("Folio",$A671)),$D671=""),TRIM($A671),$S670)</f>
        <v/>
      </c>
      <c r="T671">
        <f>IF(AND(ISNUMBER(SEARCH("Folio",$A671)),$D671&lt;&gt;""),1,"")</f>
        <v/>
      </c>
      <c r="U671">
        <f>IF($T671=1,COUNTIF($T$9:$T671,1),"")</f>
        <v/>
      </c>
      <c r="V671">
        <f>IF(AND(ISTEXT($A671),LEFT($A672,3)="Pan"),1,"")</f>
        <v/>
      </c>
    </row>
    <row r="672">
      <c r="S672">
        <f>IF(AND(ISTEXT($A672),ISNUMBER(SEARCH(" - ",$A672)),ISERROR(SEARCH("Folio",$A672)),$D672=""),TRIM($A672),$S671)</f>
        <v/>
      </c>
      <c r="T672">
        <f>IF(AND(ISNUMBER(SEARCH("Folio",$A672)),$D672&lt;&gt;""),1,"")</f>
        <v/>
      </c>
      <c r="U672">
        <f>IF($T672=1,COUNTIF($T$9:$T672,1),"")</f>
        <v/>
      </c>
      <c r="V672">
        <f>IF(AND(ISTEXT($A672),LEFT($A673,3)="Pan"),1,"")</f>
        <v/>
      </c>
    </row>
    <row r="673">
      <c r="S673">
        <f>IF(AND(ISTEXT($A673),ISNUMBER(SEARCH(" - ",$A673)),ISERROR(SEARCH("Folio",$A673)),$D673=""),TRIM($A673),$S672)</f>
        <v/>
      </c>
      <c r="T673">
        <f>IF(AND(ISNUMBER(SEARCH("Folio",$A673)),$D673&lt;&gt;""),1,"")</f>
        <v/>
      </c>
      <c r="U673">
        <f>IF($T673=1,COUNTIF($T$9:$T673,1),"")</f>
        <v/>
      </c>
      <c r="V673">
        <f>IF(AND(ISTEXT($A673),LEFT($A674,3)="Pan"),1,"")</f>
        <v/>
      </c>
    </row>
    <row r="674">
      <c r="S674">
        <f>IF(AND(ISTEXT($A674),ISNUMBER(SEARCH(" - ",$A674)),ISERROR(SEARCH("Folio",$A674)),$D674=""),TRIM($A674),$S673)</f>
        <v/>
      </c>
      <c r="T674">
        <f>IF(AND(ISNUMBER(SEARCH("Folio",$A674)),$D674&lt;&gt;""),1,"")</f>
        <v/>
      </c>
      <c r="U674">
        <f>IF($T674=1,COUNTIF($T$9:$T674,1),"")</f>
        <v/>
      </c>
      <c r="V674">
        <f>IF(AND(ISTEXT($A674),LEFT($A675,3)="Pan"),1,"")</f>
        <v/>
      </c>
    </row>
    <row r="675">
      <c r="S675">
        <f>IF(AND(ISTEXT($A675),ISNUMBER(SEARCH(" - ",$A675)),ISERROR(SEARCH("Folio",$A675)),$D675=""),TRIM($A675),$S674)</f>
        <v/>
      </c>
      <c r="T675">
        <f>IF(AND(ISNUMBER(SEARCH("Folio",$A675)),$D675&lt;&gt;""),1,"")</f>
        <v/>
      </c>
      <c r="U675">
        <f>IF($T675=1,COUNTIF($T$9:$T675,1),"")</f>
        <v/>
      </c>
      <c r="V675">
        <f>IF(AND(ISTEXT($A675),LEFT($A676,3)="Pan"),1,"")</f>
        <v/>
      </c>
    </row>
    <row r="676">
      <c r="S676">
        <f>IF(AND(ISTEXT($A676),ISNUMBER(SEARCH(" - ",$A676)),ISERROR(SEARCH("Folio",$A676)),$D676=""),TRIM($A676),$S675)</f>
        <v/>
      </c>
      <c r="T676">
        <f>IF(AND(ISNUMBER(SEARCH("Folio",$A676)),$D676&lt;&gt;""),1,"")</f>
        <v/>
      </c>
      <c r="U676">
        <f>IF($T676=1,COUNTIF($T$9:$T676,1),"")</f>
        <v/>
      </c>
      <c r="V676">
        <f>IF(AND(ISTEXT($A676),LEFT($A677,3)="Pan"),1,"")</f>
        <v/>
      </c>
    </row>
    <row r="677">
      <c r="S677">
        <f>IF(AND(ISTEXT($A677),ISNUMBER(SEARCH(" - ",$A677)),ISERROR(SEARCH("Folio",$A677)),$D677=""),TRIM($A677),$S676)</f>
        <v/>
      </c>
      <c r="T677">
        <f>IF(AND(ISNUMBER(SEARCH("Folio",$A677)),$D677&lt;&gt;""),1,"")</f>
        <v/>
      </c>
      <c r="U677">
        <f>IF($T677=1,COUNTIF($T$9:$T677,1),"")</f>
        <v/>
      </c>
      <c r="V677">
        <f>IF(AND(ISTEXT($A677),LEFT($A678,3)="Pan"),1,"")</f>
        <v/>
      </c>
    </row>
    <row r="678">
      <c r="S678">
        <f>IF(AND(ISTEXT($A678),ISNUMBER(SEARCH(" - ",$A678)),ISERROR(SEARCH("Folio",$A678)),$D678=""),TRIM($A678),$S677)</f>
        <v/>
      </c>
      <c r="T678">
        <f>IF(AND(ISNUMBER(SEARCH("Folio",$A678)),$D678&lt;&gt;""),1,"")</f>
        <v/>
      </c>
      <c r="U678">
        <f>IF($T678=1,COUNTIF($T$9:$T678,1),"")</f>
        <v/>
      </c>
      <c r="V678">
        <f>IF(AND(ISTEXT($A678),LEFT($A679,3)="Pan"),1,"")</f>
        <v/>
      </c>
    </row>
    <row r="679">
      <c r="S679">
        <f>IF(AND(ISTEXT($A679),ISNUMBER(SEARCH(" - ",$A679)),ISERROR(SEARCH("Folio",$A679)),$D679=""),TRIM($A679),$S678)</f>
        <v/>
      </c>
      <c r="T679">
        <f>IF(AND(ISNUMBER(SEARCH("Folio",$A679)),$D679&lt;&gt;""),1,"")</f>
        <v/>
      </c>
      <c r="U679">
        <f>IF($T679=1,COUNTIF($T$9:$T679,1),"")</f>
        <v/>
      </c>
      <c r="V679">
        <f>IF(AND(ISTEXT($A679),LEFT($A680,3)="Pan"),1,"")</f>
        <v/>
      </c>
    </row>
    <row r="680">
      <c r="S680">
        <f>IF(AND(ISTEXT($A680),ISNUMBER(SEARCH(" - ",$A680)),ISERROR(SEARCH("Folio",$A680)),$D680=""),TRIM($A680),$S679)</f>
        <v/>
      </c>
      <c r="T680">
        <f>IF(AND(ISNUMBER(SEARCH("Folio",$A680)),$D680&lt;&gt;""),1,"")</f>
        <v/>
      </c>
      <c r="U680">
        <f>IF($T680=1,COUNTIF($T$9:$T680,1),"")</f>
        <v/>
      </c>
      <c r="V680">
        <f>IF(AND(ISTEXT($A680),LEFT($A681,3)="Pan"),1,"")</f>
        <v/>
      </c>
    </row>
    <row r="681">
      <c r="S681">
        <f>IF(AND(ISTEXT($A681),ISNUMBER(SEARCH(" - ",$A681)),ISERROR(SEARCH("Folio",$A681)),$D681=""),TRIM($A681),$S680)</f>
        <v/>
      </c>
      <c r="T681">
        <f>IF(AND(ISNUMBER(SEARCH("Folio",$A681)),$D681&lt;&gt;""),1,"")</f>
        <v/>
      </c>
      <c r="U681">
        <f>IF($T681=1,COUNTIF($T$9:$T681,1),"")</f>
        <v/>
      </c>
      <c r="V681">
        <f>IF(AND(ISTEXT($A681),LEFT($A682,3)="Pan"),1,"")</f>
        <v/>
      </c>
    </row>
    <row r="682">
      <c r="S682">
        <f>IF(AND(ISTEXT($A682),ISNUMBER(SEARCH(" - ",$A682)),ISERROR(SEARCH("Folio",$A682)),$D682=""),TRIM($A682),$S681)</f>
        <v/>
      </c>
      <c r="T682">
        <f>IF(AND(ISNUMBER(SEARCH("Folio",$A682)),$D682&lt;&gt;""),1,"")</f>
        <v/>
      </c>
      <c r="U682">
        <f>IF($T682=1,COUNTIF($T$9:$T682,1),"")</f>
        <v/>
      </c>
      <c r="V682">
        <f>IF(AND(ISTEXT($A682),LEFT($A683,3)="Pan"),1,"")</f>
        <v/>
      </c>
    </row>
    <row r="683">
      <c r="S683">
        <f>IF(AND(ISTEXT($A683),ISNUMBER(SEARCH(" - ",$A683)),ISERROR(SEARCH("Folio",$A683)),$D683=""),TRIM($A683),$S682)</f>
        <v/>
      </c>
      <c r="T683">
        <f>IF(AND(ISNUMBER(SEARCH("Folio",$A683)),$D683&lt;&gt;""),1,"")</f>
        <v/>
      </c>
      <c r="U683">
        <f>IF($T683=1,COUNTIF($T$9:$T683,1),"")</f>
        <v/>
      </c>
      <c r="V683">
        <f>IF(AND(ISTEXT($A683),LEFT($A684,3)="Pan"),1,"")</f>
        <v/>
      </c>
    </row>
    <row r="684">
      <c r="S684">
        <f>IF(AND(ISTEXT($A684),ISNUMBER(SEARCH(" - ",$A684)),ISERROR(SEARCH("Folio",$A684)),$D684=""),TRIM($A684),$S683)</f>
        <v/>
      </c>
      <c r="T684">
        <f>IF(AND(ISNUMBER(SEARCH("Folio",$A684)),$D684&lt;&gt;""),1,"")</f>
        <v/>
      </c>
      <c r="U684">
        <f>IF($T684=1,COUNTIF($T$9:$T684,1),"")</f>
        <v/>
      </c>
      <c r="V684">
        <f>IF(AND(ISTEXT($A684),LEFT($A685,3)="Pan"),1,"")</f>
        <v/>
      </c>
    </row>
    <row r="685">
      <c r="S685">
        <f>IF(AND(ISTEXT($A685),ISNUMBER(SEARCH(" - ",$A685)),ISERROR(SEARCH("Folio",$A685)),$D685=""),TRIM($A685),$S684)</f>
        <v/>
      </c>
      <c r="T685">
        <f>IF(AND(ISNUMBER(SEARCH("Folio",$A685)),$D685&lt;&gt;""),1,"")</f>
        <v/>
      </c>
      <c r="U685">
        <f>IF($T685=1,COUNTIF($T$9:$T685,1),"")</f>
        <v/>
      </c>
      <c r="V685">
        <f>IF(AND(ISTEXT($A685),LEFT($A686,3)="Pan"),1,"")</f>
        <v/>
      </c>
    </row>
    <row r="686">
      <c r="S686">
        <f>IF(AND(ISTEXT($A686),ISNUMBER(SEARCH(" - ",$A686)),ISERROR(SEARCH("Folio",$A686)),$D686=""),TRIM($A686),$S685)</f>
        <v/>
      </c>
      <c r="T686">
        <f>IF(AND(ISNUMBER(SEARCH("Folio",$A686)),$D686&lt;&gt;""),1,"")</f>
        <v/>
      </c>
      <c r="U686">
        <f>IF($T686=1,COUNTIF($T$9:$T686,1),"")</f>
        <v/>
      </c>
      <c r="V686">
        <f>IF(AND(ISTEXT($A686),LEFT($A687,3)="Pan"),1,"")</f>
        <v/>
      </c>
    </row>
    <row r="687">
      <c r="S687">
        <f>IF(AND(ISTEXT($A687),ISNUMBER(SEARCH(" - ",$A687)),ISERROR(SEARCH("Folio",$A687)),$D687=""),TRIM($A687),$S686)</f>
        <v/>
      </c>
      <c r="T687">
        <f>IF(AND(ISNUMBER(SEARCH("Folio",$A687)),$D687&lt;&gt;""),1,"")</f>
        <v/>
      </c>
      <c r="U687">
        <f>IF($T687=1,COUNTIF($T$9:$T687,1),"")</f>
        <v/>
      </c>
      <c r="V687">
        <f>IF(AND(ISTEXT($A687),LEFT($A688,3)="Pan"),1,"")</f>
        <v/>
      </c>
    </row>
    <row r="688">
      <c r="S688">
        <f>IF(AND(ISTEXT($A688),ISNUMBER(SEARCH(" - ",$A688)),ISERROR(SEARCH("Folio",$A688)),$D688=""),TRIM($A688),$S687)</f>
        <v/>
      </c>
      <c r="T688">
        <f>IF(AND(ISNUMBER(SEARCH("Folio",$A688)),$D688&lt;&gt;""),1,"")</f>
        <v/>
      </c>
      <c r="U688">
        <f>IF($T688=1,COUNTIF($T$9:$T688,1),"")</f>
        <v/>
      </c>
      <c r="V688">
        <f>IF(AND(ISTEXT($A688),LEFT($A689,3)="Pan"),1,"")</f>
        <v/>
      </c>
    </row>
    <row r="689">
      <c r="S689">
        <f>IF(AND(ISTEXT($A689),ISNUMBER(SEARCH(" - ",$A689)),ISERROR(SEARCH("Folio",$A689)),$D689=""),TRIM($A689),$S688)</f>
        <v/>
      </c>
      <c r="T689">
        <f>IF(AND(ISNUMBER(SEARCH("Folio",$A689)),$D689&lt;&gt;""),1,"")</f>
        <v/>
      </c>
      <c r="U689">
        <f>IF($T689=1,COUNTIF($T$9:$T689,1),"")</f>
        <v/>
      </c>
      <c r="V689">
        <f>IF(AND(ISTEXT($A689),LEFT($A690,3)="Pan"),1,"")</f>
        <v/>
      </c>
    </row>
    <row r="690">
      <c r="S690">
        <f>IF(AND(ISTEXT($A690),ISNUMBER(SEARCH(" - ",$A690)),ISERROR(SEARCH("Folio",$A690)),$D690=""),TRIM($A690),$S689)</f>
        <v/>
      </c>
      <c r="T690">
        <f>IF(AND(ISNUMBER(SEARCH("Folio",$A690)),$D690&lt;&gt;""),1,"")</f>
        <v/>
      </c>
      <c r="U690">
        <f>IF($T690=1,COUNTIF($T$9:$T690,1),"")</f>
        <v/>
      </c>
      <c r="V690">
        <f>IF(AND(ISTEXT($A690),LEFT($A691,3)="Pan"),1,"")</f>
        <v/>
      </c>
    </row>
    <row r="691">
      <c r="S691">
        <f>IF(AND(ISTEXT($A691),ISNUMBER(SEARCH(" - ",$A691)),ISERROR(SEARCH("Folio",$A691)),$D691=""),TRIM($A691),$S690)</f>
        <v/>
      </c>
      <c r="T691">
        <f>IF(AND(ISNUMBER(SEARCH("Folio",$A691)),$D691&lt;&gt;""),1,"")</f>
        <v/>
      </c>
      <c r="U691">
        <f>IF($T691=1,COUNTIF($T$9:$T691,1),"")</f>
        <v/>
      </c>
      <c r="V691">
        <f>IF(AND(ISTEXT($A691),LEFT($A692,3)="Pan"),1,"")</f>
        <v/>
      </c>
    </row>
    <row r="692">
      <c r="S692">
        <f>IF(AND(ISTEXT($A692),ISNUMBER(SEARCH(" - ",$A692)),ISERROR(SEARCH("Folio",$A692)),$D692=""),TRIM($A692),$S691)</f>
        <v/>
      </c>
      <c r="T692">
        <f>IF(AND(ISNUMBER(SEARCH("Folio",$A692)),$D692&lt;&gt;""),1,"")</f>
        <v/>
      </c>
      <c r="U692">
        <f>IF($T692=1,COUNTIF($T$9:$T692,1),"")</f>
        <v/>
      </c>
      <c r="V692">
        <f>IF(AND(ISTEXT($A692),LEFT($A693,3)="Pan"),1,"")</f>
        <v/>
      </c>
    </row>
    <row r="693">
      <c r="S693">
        <f>IF(AND(ISTEXT($A693),ISNUMBER(SEARCH(" - ",$A693)),ISERROR(SEARCH("Folio",$A693)),$D693=""),TRIM($A693),$S692)</f>
        <v/>
      </c>
      <c r="T693">
        <f>IF(AND(ISNUMBER(SEARCH("Folio",$A693)),$D693&lt;&gt;""),1,"")</f>
        <v/>
      </c>
      <c r="U693">
        <f>IF($T693=1,COUNTIF($T$9:$T693,1),"")</f>
        <v/>
      </c>
      <c r="V693">
        <f>IF(AND(ISTEXT($A693),LEFT($A694,3)="Pan"),1,"")</f>
        <v/>
      </c>
    </row>
    <row r="694">
      <c r="S694">
        <f>IF(AND(ISTEXT($A694),ISNUMBER(SEARCH(" - ",$A694)),ISERROR(SEARCH("Folio",$A694)),$D694=""),TRIM($A694),$S693)</f>
        <v/>
      </c>
      <c r="T694">
        <f>IF(AND(ISNUMBER(SEARCH("Folio",$A694)),$D694&lt;&gt;""),1,"")</f>
        <v/>
      </c>
      <c r="U694">
        <f>IF($T694=1,COUNTIF($T$9:$T694,1),"")</f>
        <v/>
      </c>
      <c r="V694">
        <f>IF(AND(ISTEXT($A694),LEFT($A695,3)="Pan"),1,"")</f>
        <v/>
      </c>
    </row>
    <row r="695">
      <c r="S695">
        <f>IF(AND(ISTEXT($A695),ISNUMBER(SEARCH(" - ",$A695)),ISERROR(SEARCH("Folio",$A695)),$D695=""),TRIM($A695),$S694)</f>
        <v/>
      </c>
      <c r="T695">
        <f>IF(AND(ISNUMBER(SEARCH("Folio",$A695)),$D695&lt;&gt;""),1,"")</f>
        <v/>
      </c>
      <c r="U695">
        <f>IF($T695=1,COUNTIF($T$9:$T695,1),"")</f>
        <v/>
      </c>
      <c r="V695">
        <f>IF(AND(ISTEXT($A695),LEFT($A696,3)="Pan"),1,"")</f>
        <v/>
      </c>
    </row>
    <row r="696">
      <c r="S696">
        <f>IF(AND(ISTEXT($A696),ISNUMBER(SEARCH(" - ",$A696)),ISERROR(SEARCH("Folio",$A696)),$D696=""),TRIM($A696),$S695)</f>
        <v/>
      </c>
      <c r="T696">
        <f>IF(AND(ISNUMBER(SEARCH("Folio",$A696)),$D696&lt;&gt;""),1,"")</f>
        <v/>
      </c>
      <c r="U696">
        <f>IF($T696=1,COUNTIF($T$9:$T696,1),"")</f>
        <v/>
      </c>
      <c r="V696">
        <f>IF(AND(ISTEXT($A696),LEFT($A697,3)="Pan"),1,"")</f>
        <v/>
      </c>
    </row>
    <row r="697">
      <c r="S697">
        <f>IF(AND(ISTEXT($A697),ISNUMBER(SEARCH(" - ",$A697)),ISERROR(SEARCH("Folio",$A697)),$D697=""),TRIM($A697),$S696)</f>
        <v/>
      </c>
      <c r="T697">
        <f>IF(AND(ISNUMBER(SEARCH("Folio",$A697)),$D697&lt;&gt;""),1,"")</f>
        <v/>
      </c>
      <c r="U697">
        <f>IF($T697=1,COUNTIF($T$9:$T697,1),"")</f>
        <v/>
      </c>
      <c r="V697">
        <f>IF(AND(ISTEXT($A697),LEFT($A698,3)="Pan"),1,"")</f>
        <v/>
      </c>
    </row>
    <row r="698">
      <c r="S698">
        <f>IF(AND(ISTEXT($A698),ISNUMBER(SEARCH(" - ",$A698)),ISERROR(SEARCH("Folio",$A698)),$D698=""),TRIM($A698),$S697)</f>
        <v/>
      </c>
      <c r="T698">
        <f>IF(AND(ISNUMBER(SEARCH("Folio",$A698)),$D698&lt;&gt;""),1,"")</f>
        <v/>
      </c>
      <c r="U698">
        <f>IF($T698=1,COUNTIF($T$9:$T698,1),"")</f>
        <v/>
      </c>
      <c r="V698">
        <f>IF(AND(ISTEXT($A698),LEFT($A699,3)="Pan"),1,"")</f>
        <v/>
      </c>
    </row>
    <row r="699">
      <c r="S699">
        <f>IF(AND(ISTEXT($A699),ISNUMBER(SEARCH(" - ",$A699)),ISERROR(SEARCH("Folio",$A699)),$D699=""),TRIM($A699),$S698)</f>
        <v/>
      </c>
      <c r="T699">
        <f>IF(AND(ISNUMBER(SEARCH("Folio",$A699)),$D699&lt;&gt;""),1,"")</f>
        <v/>
      </c>
      <c r="U699">
        <f>IF($T699=1,COUNTIF($T$9:$T699,1),"")</f>
        <v/>
      </c>
      <c r="V699">
        <f>IF(AND(ISTEXT($A699),LEFT($A700,3)="Pan"),1,"")</f>
        <v/>
      </c>
    </row>
    <row r="700">
      <c r="S700">
        <f>IF(AND(ISTEXT($A700),ISNUMBER(SEARCH(" - ",$A700)),ISERROR(SEARCH("Folio",$A700)),$D700=""),TRIM($A700),$S699)</f>
        <v/>
      </c>
      <c r="T700">
        <f>IF(AND(ISNUMBER(SEARCH("Folio",$A700)),$D700&lt;&gt;""),1,"")</f>
        <v/>
      </c>
      <c r="U700">
        <f>IF($T700=1,COUNTIF($T$9:$T700,1),"")</f>
        <v/>
      </c>
      <c r="V700">
        <f>IF(AND(ISTEXT($A700),LEFT($A701,3)="Pan"),1,"")</f>
        <v/>
      </c>
    </row>
    <row r="701">
      <c r="S701">
        <f>IF(AND(ISTEXT($A701),ISNUMBER(SEARCH(" - ",$A701)),ISERROR(SEARCH("Folio",$A701)),$D701=""),TRIM($A701),$S700)</f>
        <v/>
      </c>
      <c r="T701">
        <f>IF(AND(ISNUMBER(SEARCH("Folio",$A701)),$D701&lt;&gt;""),1,"")</f>
        <v/>
      </c>
      <c r="U701">
        <f>IF($T701=1,COUNTIF($T$9:$T701,1),"")</f>
        <v/>
      </c>
      <c r="V701">
        <f>IF(AND(ISTEXT($A701),LEFT($A702,3)="Pan"),1,"")</f>
        <v/>
      </c>
    </row>
    <row r="702">
      <c r="S702">
        <f>IF(AND(ISTEXT($A702),ISNUMBER(SEARCH(" - ",$A702)),ISERROR(SEARCH("Folio",$A702)),$D702=""),TRIM($A702),$S701)</f>
        <v/>
      </c>
      <c r="T702">
        <f>IF(AND(ISNUMBER(SEARCH("Folio",$A702)),$D702&lt;&gt;""),1,"")</f>
        <v/>
      </c>
      <c r="U702">
        <f>IF($T702=1,COUNTIF($T$9:$T702,1),"")</f>
        <v/>
      </c>
      <c r="V702">
        <f>IF(AND(ISTEXT($A702),LEFT($A703,3)="Pan"),1,"")</f>
        <v/>
      </c>
    </row>
    <row r="703">
      <c r="S703">
        <f>IF(AND(ISTEXT($A703),ISNUMBER(SEARCH(" - ",$A703)),ISERROR(SEARCH("Folio",$A703)),$D703=""),TRIM($A703),$S702)</f>
        <v/>
      </c>
      <c r="T703">
        <f>IF(AND(ISNUMBER(SEARCH("Folio",$A703)),$D703&lt;&gt;""),1,"")</f>
        <v/>
      </c>
      <c r="U703">
        <f>IF($T703=1,COUNTIF($T$9:$T703,1),"")</f>
        <v/>
      </c>
      <c r="V703">
        <f>IF(AND(ISTEXT($A703),LEFT($A704,3)="Pan"),1,"")</f>
        <v/>
      </c>
    </row>
    <row r="704">
      <c r="S704">
        <f>IF(AND(ISTEXT($A704),ISNUMBER(SEARCH(" - ",$A704)),ISERROR(SEARCH("Folio",$A704)),$D704=""),TRIM($A704),$S703)</f>
        <v/>
      </c>
      <c r="T704">
        <f>IF(AND(ISNUMBER(SEARCH("Folio",$A704)),$D704&lt;&gt;""),1,"")</f>
        <v/>
      </c>
      <c r="U704">
        <f>IF($T704=1,COUNTIF($T$9:$T704,1),"")</f>
        <v/>
      </c>
      <c r="V704">
        <f>IF(AND(ISTEXT($A704),LEFT($A705,3)="Pan"),1,"")</f>
        <v/>
      </c>
    </row>
    <row r="705">
      <c r="S705">
        <f>IF(AND(ISTEXT($A705),ISNUMBER(SEARCH(" - ",$A705)),ISERROR(SEARCH("Folio",$A705)),$D705=""),TRIM($A705),$S704)</f>
        <v/>
      </c>
      <c r="T705">
        <f>IF(AND(ISNUMBER(SEARCH("Folio",$A705)),$D705&lt;&gt;""),1,"")</f>
        <v/>
      </c>
      <c r="U705">
        <f>IF($T705=1,COUNTIF($T$9:$T705,1),"")</f>
        <v/>
      </c>
      <c r="V705">
        <f>IF(AND(ISTEXT($A705),LEFT($A706,3)="Pan"),1,"")</f>
        <v/>
      </c>
    </row>
    <row r="706">
      <c r="S706">
        <f>IF(AND(ISTEXT($A706),ISNUMBER(SEARCH(" - ",$A706)),ISERROR(SEARCH("Folio",$A706)),$D706=""),TRIM($A706),$S705)</f>
        <v/>
      </c>
      <c r="T706">
        <f>IF(AND(ISNUMBER(SEARCH("Folio",$A706)),$D706&lt;&gt;""),1,"")</f>
        <v/>
      </c>
      <c r="U706">
        <f>IF($T706=1,COUNTIF($T$9:$T706,1),"")</f>
        <v/>
      </c>
      <c r="V706">
        <f>IF(AND(ISTEXT($A706),LEFT($A707,3)="Pan"),1,"")</f>
        <v/>
      </c>
    </row>
    <row r="707">
      <c r="S707">
        <f>IF(AND(ISTEXT($A707),ISNUMBER(SEARCH(" - ",$A707)),ISERROR(SEARCH("Folio",$A707)),$D707=""),TRIM($A707),$S706)</f>
        <v/>
      </c>
      <c r="T707">
        <f>IF(AND(ISNUMBER(SEARCH("Folio",$A707)),$D707&lt;&gt;""),1,"")</f>
        <v/>
      </c>
      <c r="U707">
        <f>IF($T707=1,COUNTIF($T$9:$T707,1),"")</f>
        <v/>
      </c>
      <c r="V707">
        <f>IF(AND(ISTEXT($A707),LEFT($A708,3)="Pan"),1,"")</f>
        <v/>
      </c>
    </row>
    <row r="708">
      <c r="S708">
        <f>IF(AND(ISTEXT($A708),ISNUMBER(SEARCH(" - ",$A708)),ISERROR(SEARCH("Folio",$A708)),$D708=""),TRIM($A708),$S707)</f>
        <v/>
      </c>
      <c r="T708">
        <f>IF(AND(ISNUMBER(SEARCH("Folio",$A708)),$D708&lt;&gt;""),1,"")</f>
        <v/>
      </c>
      <c r="U708">
        <f>IF($T708=1,COUNTIF($T$9:$T708,1),"")</f>
        <v/>
      </c>
      <c r="V708">
        <f>IF(AND(ISTEXT($A708),LEFT($A709,3)="Pan"),1,"")</f>
        <v/>
      </c>
    </row>
    <row r="709">
      <c r="S709">
        <f>IF(AND(ISTEXT($A709),ISNUMBER(SEARCH(" - ",$A709)),ISERROR(SEARCH("Folio",$A709)),$D709=""),TRIM($A709),$S708)</f>
        <v/>
      </c>
      <c r="T709">
        <f>IF(AND(ISNUMBER(SEARCH("Folio",$A709)),$D709&lt;&gt;""),1,"")</f>
        <v/>
      </c>
      <c r="U709">
        <f>IF($T709=1,COUNTIF($T$9:$T709,1),"")</f>
        <v/>
      </c>
      <c r="V709">
        <f>IF(AND(ISTEXT($A709),LEFT($A710,3)="Pan"),1,"")</f>
        <v/>
      </c>
    </row>
    <row r="710">
      <c r="S710">
        <f>IF(AND(ISTEXT($A710),ISNUMBER(SEARCH(" - ",$A710)),ISERROR(SEARCH("Folio",$A710)),$D710=""),TRIM($A710),$S709)</f>
        <v/>
      </c>
      <c r="T710">
        <f>IF(AND(ISNUMBER(SEARCH("Folio",$A710)),$D710&lt;&gt;""),1,"")</f>
        <v/>
      </c>
      <c r="U710">
        <f>IF($T710=1,COUNTIF($T$9:$T710,1),"")</f>
        <v/>
      </c>
      <c r="V710">
        <f>IF(AND(ISTEXT($A710),LEFT($A711,3)="Pan"),1,"")</f>
        <v/>
      </c>
    </row>
    <row r="711">
      <c r="S711">
        <f>IF(AND(ISTEXT($A711),ISNUMBER(SEARCH(" - ",$A711)),ISERROR(SEARCH("Folio",$A711)),$D711=""),TRIM($A711),$S710)</f>
        <v/>
      </c>
      <c r="T711">
        <f>IF(AND(ISNUMBER(SEARCH("Folio",$A711)),$D711&lt;&gt;""),1,"")</f>
        <v/>
      </c>
      <c r="U711">
        <f>IF($T711=1,COUNTIF($T$9:$T711,1),"")</f>
        <v/>
      </c>
      <c r="V711">
        <f>IF(AND(ISTEXT($A711),LEFT($A712,3)="Pan"),1,"")</f>
        <v/>
      </c>
    </row>
    <row r="712">
      <c r="S712">
        <f>IF(AND(ISTEXT($A712),ISNUMBER(SEARCH(" - ",$A712)),ISERROR(SEARCH("Folio",$A712)),$D712=""),TRIM($A712),$S711)</f>
        <v/>
      </c>
      <c r="T712">
        <f>IF(AND(ISNUMBER(SEARCH("Folio",$A712)),$D712&lt;&gt;""),1,"")</f>
        <v/>
      </c>
      <c r="U712">
        <f>IF($T712=1,COUNTIF($T$9:$T712,1),"")</f>
        <v/>
      </c>
      <c r="V712">
        <f>IF(AND(ISTEXT($A712),LEFT($A713,3)="Pan"),1,"")</f>
        <v/>
      </c>
    </row>
    <row r="713">
      <c r="S713">
        <f>IF(AND(ISTEXT($A713),ISNUMBER(SEARCH(" - ",$A713)),ISERROR(SEARCH("Folio",$A713)),$D713=""),TRIM($A713),$S712)</f>
        <v/>
      </c>
      <c r="T713">
        <f>IF(AND(ISNUMBER(SEARCH("Folio",$A713)),$D713&lt;&gt;""),1,"")</f>
        <v/>
      </c>
      <c r="U713">
        <f>IF($T713=1,COUNTIF($T$9:$T713,1),"")</f>
        <v/>
      </c>
      <c r="V713">
        <f>IF(AND(ISTEXT($A713),LEFT($A714,3)="Pan"),1,"")</f>
        <v/>
      </c>
    </row>
    <row r="714">
      <c r="S714">
        <f>IF(AND(ISTEXT($A714),ISNUMBER(SEARCH(" - ",$A714)),ISERROR(SEARCH("Folio",$A714)),$D714=""),TRIM($A714),$S713)</f>
        <v/>
      </c>
      <c r="T714">
        <f>IF(AND(ISNUMBER(SEARCH("Folio",$A714)),$D714&lt;&gt;""),1,"")</f>
        <v/>
      </c>
      <c r="U714">
        <f>IF($T714=1,COUNTIF($T$9:$T714,1),"")</f>
        <v/>
      </c>
      <c r="V714">
        <f>IF(AND(ISTEXT($A714),LEFT($A715,3)="Pan"),1,"")</f>
        <v/>
      </c>
    </row>
    <row r="715">
      <c r="S715">
        <f>IF(AND(ISTEXT($A715),ISNUMBER(SEARCH(" - ",$A715)),ISERROR(SEARCH("Folio",$A715)),$D715=""),TRIM($A715),$S714)</f>
        <v/>
      </c>
      <c r="T715">
        <f>IF(AND(ISNUMBER(SEARCH("Folio",$A715)),$D715&lt;&gt;""),1,"")</f>
        <v/>
      </c>
      <c r="U715">
        <f>IF($T715=1,COUNTIF($T$9:$T715,1),"")</f>
        <v/>
      </c>
      <c r="V715">
        <f>IF(AND(ISTEXT($A715),LEFT($A716,3)="Pan"),1,"")</f>
        <v/>
      </c>
    </row>
    <row r="716">
      <c r="S716">
        <f>IF(AND(ISTEXT($A716),ISNUMBER(SEARCH(" - ",$A716)),ISERROR(SEARCH("Folio",$A716)),$D716=""),TRIM($A716),$S715)</f>
        <v/>
      </c>
      <c r="T716">
        <f>IF(AND(ISNUMBER(SEARCH("Folio",$A716)),$D716&lt;&gt;""),1,"")</f>
        <v/>
      </c>
      <c r="U716">
        <f>IF($T716=1,COUNTIF($T$9:$T716,1),"")</f>
        <v/>
      </c>
      <c r="V716">
        <f>IF(AND(ISTEXT($A716),LEFT($A717,3)="Pan"),1,"")</f>
        <v/>
      </c>
    </row>
    <row r="717">
      <c r="S717">
        <f>IF(AND(ISTEXT($A717),ISNUMBER(SEARCH(" - ",$A717)),ISERROR(SEARCH("Folio",$A717)),$D717=""),TRIM($A717),$S716)</f>
        <v/>
      </c>
      <c r="T717">
        <f>IF(AND(ISNUMBER(SEARCH("Folio",$A717)),$D717&lt;&gt;""),1,"")</f>
        <v/>
      </c>
      <c r="U717">
        <f>IF($T717=1,COUNTIF($T$9:$T717,1),"")</f>
        <v/>
      </c>
      <c r="V717">
        <f>IF(AND(ISTEXT($A717),LEFT($A718,3)="Pan"),1,"")</f>
        <v/>
      </c>
    </row>
    <row r="718">
      <c r="S718">
        <f>IF(AND(ISTEXT($A718),ISNUMBER(SEARCH(" - ",$A718)),ISERROR(SEARCH("Folio",$A718)),$D718=""),TRIM($A718),$S717)</f>
        <v/>
      </c>
      <c r="T718">
        <f>IF(AND(ISNUMBER(SEARCH("Folio",$A718)),$D718&lt;&gt;""),1,"")</f>
        <v/>
      </c>
      <c r="U718">
        <f>IF($T718=1,COUNTIF($T$9:$T718,1),"")</f>
        <v/>
      </c>
      <c r="V718">
        <f>IF(AND(ISTEXT($A718),LEFT($A719,3)="Pan"),1,"")</f>
        <v/>
      </c>
    </row>
    <row r="719">
      <c r="S719">
        <f>IF(AND(ISTEXT($A719),ISNUMBER(SEARCH(" - ",$A719)),ISERROR(SEARCH("Folio",$A719)),$D719=""),TRIM($A719),$S718)</f>
        <v/>
      </c>
      <c r="T719">
        <f>IF(AND(ISNUMBER(SEARCH("Folio",$A719)),$D719&lt;&gt;""),1,"")</f>
        <v/>
      </c>
      <c r="U719">
        <f>IF($T719=1,COUNTIF($T$9:$T719,1),"")</f>
        <v/>
      </c>
      <c r="V719">
        <f>IF(AND(ISTEXT($A719),LEFT($A720,3)="Pan"),1,"")</f>
        <v/>
      </c>
    </row>
    <row r="720">
      <c r="S720">
        <f>IF(AND(ISTEXT($A720),ISNUMBER(SEARCH(" - ",$A720)),ISERROR(SEARCH("Folio",$A720)),$D720=""),TRIM($A720),$S719)</f>
        <v/>
      </c>
      <c r="T720">
        <f>IF(AND(ISNUMBER(SEARCH("Folio",$A720)),$D720&lt;&gt;""),1,"")</f>
        <v/>
      </c>
      <c r="U720">
        <f>IF($T720=1,COUNTIF($T$9:$T720,1),"")</f>
        <v/>
      </c>
      <c r="V720">
        <f>IF(AND(ISTEXT($A720),LEFT($A721,3)="Pan"),1,"")</f>
        <v/>
      </c>
    </row>
    <row r="721">
      <c r="S721">
        <f>IF(AND(ISTEXT($A721),ISNUMBER(SEARCH(" - ",$A721)),ISERROR(SEARCH("Folio",$A721)),$D721=""),TRIM($A721),$S720)</f>
        <v/>
      </c>
      <c r="T721">
        <f>IF(AND(ISNUMBER(SEARCH("Folio",$A721)),$D721&lt;&gt;""),1,"")</f>
        <v/>
      </c>
      <c r="U721">
        <f>IF($T721=1,COUNTIF($T$9:$T721,1),"")</f>
        <v/>
      </c>
      <c r="V721">
        <f>IF(AND(ISTEXT($A721),LEFT($A722,3)="Pan"),1,"")</f>
        <v/>
      </c>
    </row>
    <row r="722">
      <c r="S722">
        <f>IF(AND(ISTEXT($A722),ISNUMBER(SEARCH(" - ",$A722)),ISERROR(SEARCH("Folio",$A722)),$D722=""),TRIM($A722),$S721)</f>
        <v/>
      </c>
      <c r="T722">
        <f>IF(AND(ISNUMBER(SEARCH("Folio",$A722)),$D722&lt;&gt;""),1,"")</f>
        <v/>
      </c>
      <c r="U722">
        <f>IF($T722=1,COUNTIF($T$9:$T722,1),"")</f>
        <v/>
      </c>
      <c r="V722">
        <f>IF(AND(ISTEXT($A722),LEFT($A723,3)="Pan"),1,"")</f>
        <v/>
      </c>
    </row>
    <row r="723">
      <c r="S723">
        <f>IF(AND(ISTEXT($A723),ISNUMBER(SEARCH(" - ",$A723)),ISERROR(SEARCH("Folio",$A723)),$D723=""),TRIM($A723),$S722)</f>
        <v/>
      </c>
      <c r="T723">
        <f>IF(AND(ISNUMBER(SEARCH("Folio",$A723)),$D723&lt;&gt;""),1,"")</f>
        <v/>
      </c>
      <c r="U723">
        <f>IF($T723=1,COUNTIF($T$9:$T723,1),"")</f>
        <v/>
      </c>
      <c r="V723">
        <f>IF(AND(ISTEXT($A723),LEFT($A724,3)="Pan"),1,"")</f>
        <v/>
      </c>
    </row>
    <row r="724">
      <c r="S724">
        <f>IF(AND(ISTEXT($A724),ISNUMBER(SEARCH(" - ",$A724)),ISERROR(SEARCH("Folio",$A724)),$D724=""),TRIM($A724),$S723)</f>
        <v/>
      </c>
      <c r="T724">
        <f>IF(AND(ISNUMBER(SEARCH("Folio",$A724)),$D724&lt;&gt;""),1,"")</f>
        <v/>
      </c>
      <c r="U724">
        <f>IF($T724=1,COUNTIF($T$9:$T724,1),"")</f>
        <v/>
      </c>
      <c r="V724">
        <f>IF(AND(ISTEXT($A724),LEFT($A725,3)="Pan"),1,"")</f>
        <v/>
      </c>
    </row>
    <row r="725">
      <c r="S725">
        <f>IF(AND(ISTEXT($A725),ISNUMBER(SEARCH(" - ",$A725)),ISERROR(SEARCH("Folio",$A725)),$D725=""),TRIM($A725),$S724)</f>
        <v/>
      </c>
      <c r="T725">
        <f>IF(AND(ISNUMBER(SEARCH("Folio",$A725)),$D725&lt;&gt;""),1,"")</f>
        <v/>
      </c>
      <c r="U725">
        <f>IF($T725=1,COUNTIF($T$9:$T725,1),"")</f>
        <v/>
      </c>
      <c r="V725">
        <f>IF(AND(ISTEXT($A725),LEFT($A726,3)="Pan"),1,"")</f>
        <v/>
      </c>
    </row>
    <row r="726">
      <c r="S726">
        <f>IF(AND(ISTEXT($A726),ISNUMBER(SEARCH(" - ",$A726)),ISERROR(SEARCH("Folio",$A726)),$D726=""),TRIM($A726),$S725)</f>
        <v/>
      </c>
      <c r="T726">
        <f>IF(AND(ISNUMBER(SEARCH("Folio",$A726)),$D726&lt;&gt;""),1,"")</f>
        <v/>
      </c>
      <c r="U726">
        <f>IF($T726=1,COUNTIF($T$9:$T726,1),"")</f>
        <v/>
      </c>
      <c r="V726">
        <f>IF(AND(ISTEXT($A726),LEFT($A727,3)="Pan"),1,"")</f>
        <v/>
      </c>
    </row>
    <row r="727">
      <c r="S727">
        <f>IF(AND(ISTEXT($A727),ISNUMBER(SEARCH(" - ",$A727)),ISERROR(SEARCH("Folio",$A727)),$D727=""),TRIM($A727),$S726)</f>
        <v/>
      </c>
      <c r="T727">
        <f>IF(AND(ISNUMBER(SEARCH("Folio",$A727)),$D727&lt;&gt;""),1,"")</f>
        <v/>
      </c>
      <c r="U727">
        <f>IF($T727=1,COUNTIF($T$9:$T727,1),"")</f>
        <v/>
      </c>
      <c r="V727">
        <f>IF(AND(ISTEXT($A727),LEFT($A728,3)="Pan"),1,"")</f>
        <v/>
      </c>
    </row>
    <row r="728">
      <c r="S728">
        <f>IF(AND(ISTEXT($A728),ISNUMBER(SEARCH(" - ",$A728)),ISERROR(SEARCH("Folio",$A728)),$D728=""),TRIM($A728),$S727)</f>
        <v/>
      </c>
      <c r="T728">
        <f>IF(AND(ISNUMBER(SEARCH("Folio",$A728)),$D728&lt;&gt;""),1,"")</f>
        <v/>
      </c>
      <c r="U728">
        <f>IF($T728=1,COUNTIF($T$9:$T728,1),"")</f>
        <v/>
      </c>
      <c r="V728">
        <f>IF(AND(ISTEXT($A728),LEFT($A729,3)="Pan"),1,"")</f>
        <v/>
      </c>
    </row>
    <row r="729">
      <c r="S729">
        <f>IF(AND(ISTEXT($A729),ISNUMBER(SEARCH(" - ",$A729)),ISERROR(SEARCH("Folio",$A729)),$D729=""),TRIM($A729),$S728)</f>
        <v/>
      </c>
      <c r="T729">
        <f>IF(AND(ISNUMBER(SEARCH("Folio",$A729)),$D729&lt;&gt;""),1,"")</f>
        <v/>
      </c>
      <c r="U729">
        <f>IF($T729=1,COUNTIF($T$9:$T729,1),"")</f>
        <v/>
      </c>
      <c r="V729">
        <f>IF(AND(ISTEXT($A729),LEFT($A730,3)="Pan"),1,"")</f>
        <v/>
      </c>
    </row>
    <row r="730">
      <c r="S730">
        <f>IF(AND(ISTEXT($A730),ISNUMBER(SEARCH(" - ",$A730)),ISERROR(SEARCH("Folio",$A730)),$D730=""),TRIM($A730),$S729)</f>
        <v/>
      </c>
      <c r="T730">
        <f>IF(AND(ISNUMBER(SEARCH("Folio",$A730)),$D730&lt;&gt;""),1,"")</f>
        <v/>
      </c>
      <c r="U730">
        <f>IF($T730=1,COUNTIF($T$9:$T730,1),"")</f>
        <v/>
      </c>
      <c r="V730">
        <f>IF(AND(ISTEXT($A730),LEFT($A731,3)="Pan"),1,"")</f>
        <v/>
      </c>
    </row>
    <row r="731">
      <c r="S731">
        <f>IF(AND(ISTEXT($A731),ISNUMBER(SEARCH(" - ",$A731)),ISERROR(SEARCH("Folio",$A731)),$D731=""),TRIM($A731),$S730)</f>
        <v/>
      </c>
      <c r="T731">
        <f>IF(AND(ISNUMBER(SEARCH("Folio",$A731)),$D731&lt;&gt;""),1,"")</f>
        <v/>
      </c>
      <c r="U731">
        <f>IF($T731=1,COUNTIF($T$9:$T731,1),"")</f>
        <v/>
      </c>
      <c r="V731">
        <f>IF(AND(ISTEXT($A731),LEFT($A732,3)="Pan"),1,"")</f>
        <v/>
      </c>
    </row>
    <row r="732">
      <c r="S732">
        <f>IF(AND(ISTEXT($A732),ISNUMBER(SEARCH(" - ",$A732)),ISERROR(SEARCH("Folio",$A732)),$D732=""),TRIM($A732),$S731)</f>
        <v/>
      </c>
      <c r="T732">
        <f>IF(AND(ISNUMBER(SEARCH("Folio",$A732)),$D732&lt;&gt;""),1,"")</f>
        <v/>
      </c>
      <c r="U732">
        <f>IF($T732=1,COUNTIF($T$9:$T732,1),"")</f>
        <v/>
      </c>
      <c r="V732">
        <f>IF(AND(ISTEXT($A732),LEFT($A733,3)="Pan"),1,"")</f>
        <v/>
      </c>
    </row>
    <row r="733">
      <c r="S733">
        <f>IF(AND(ISTEXT($A733),ISNUMBER(SEARCH(" - ",$A733)),ISERROR(SEARCH("Folio",$A733)),$D733=""),TRIM($A733),$S732)</f>
        <v/>
      </c>
      <c r="T733">
        <f>IF(AND(ISNUMBER(SEARCH("Folio",$A733)),$D733&lt;&gt;""),1,"")</f>
        <v/>
      </c>
      <c r="U733">
        <f>IF($T733=1,COUNTIF($T$9:$T733,1),"")</f>
        <v/>
      </c>
      <c r="V733">
        <f>IF(AND(ISTEXT($A733),LEFT($A734,3)="Pan"),1,"")</f>
        <v/>
      </c>
    </row>
    <row r="734">
      <c r="S734">
        <f>IF(AND(ISTEXT($A734),ISNUMBER(SEARCH(" - ",$A734)),ISERROR(SEARCH("Folio",$A734)),$D734=""),TRIM($A734),$S733)</f>
        <v/>
      </c>
      <c r="T734">
        <f>IF(AND(ISNUMBER(SEARCH("Folio",$A734)),$D734&lt;&gt;""),1,"")</f>
        <v/>
      </c>
      <c r="U734">
        <f>IF($T734=1,COUNTIF($T$9:$T734,1),"")</f>
        <v/>
      </c>
      <c r="V734">
        <f>IF(AND(ISTEXT($A734),LEFT($A735,3)="Pan"),1,"")</f>
        <v/>
      </c>
    </row>
    <row r="735">
      <c r="S735">
        <f>IF(AND(ISTEXT($A735),ISNUMBER(SEARCH(" - ",$A735)),ISERROR(SEARCH("Folio",$A735)),$D735=""),TRIM($A735),$S734)</f>
        <v/>
      </c>
      <c r="T735">
        <f>IF(AND(ISNUMBER(SEARCH("Folio",$A735)),$D735&lt;&gt;""),1,"")</f>
        <v/>
      </c>
      <c r="U735">
        <f>IF($T735=1,COUNTIF($T$9:$T735,1),"")</f>
        <v/>
      </c>
      <c r="V735">
        <f>IF(AND(ISTEXT($A735),LEFT($A736,3)="Pan"),1,"")</f>
        <v/>
      </c>
    </row>
    <row r="736">
      <c r="S736">
        <f>IF(AND(ISTEXT($A736),ISNUMBER(SEARCH(" - ",$A736)),ISERROR(SEARCH("Folio",$A736)),$D736=""),TRIM($A736),$S735)</f>
        <v/>
      </c>
      <c r="T736">
        <f>IF(AND(ISNUMBER(SEARCH("Folio",$A736)),$D736&lt;&gt;""),1,"")</f>
        <v/>
      </c>
      <c r="U736">
        <f>IF($T736=1,COUNTIF($T$9:$T736,1),"")</f>
        <v/>
      </c>
      <c r="V736">
        <f>IF(AND(ISTEXT($A736),LEFT($A737,3)="Pan"),1,"")</f>
        <v/>
      </c>
    </row>
    <row r="737">
      <c r="S737">
        <f>IF(AND(ISTEXT($A737),ISNUMBER(SEARCH(" - ",$A737)),ISERROR(SEARCH("Folio",$A737)),$D737=""),TRIM($A737),$S736)</f>
        <v/>
      </c>
      <c r="T737">
        <f>IF(AND(ISNUMBER(SEARCH("Folio",$A737)),$D737&lt;&gt;""),1,"")</f>
        <v/>
      </c>
      <c r="U737">
        <f>IF($T737=1,COUNTIF($T$9:$T737,1),"")</f>
        <v/>
      </c>
      <c r="V737">
        <f>IF(AND(ISTEXT($A737),LEFT($A738,3)="Pan"),1,"")</f>
        <v/>
      </c>
    </row>
    <row r="738">
      <c r="S738">
        <f>IF(AND(ISTEXT($A738),ISNUMBER(SEARCH(" - ",$A738)),ISERROR(SEARCH("Folio",$A738)),$D738=""),TRIM($A738),$S737)</f>
        <v/>
      </c>
      <c r="T738">
        <f>IF(AND(ISNUMBER(SEARCH("Folio",$A738)),$D738&lt;&gt;""),1,"")</f>
        <v/>
      </c>
      <c r="U738">
        <f>IF($T738=1,COUNTIF($T$9:$T738,1),"")</f>
        <v/>
      </c>
      <c r="V738">
        <f>IF(AND(ISTEXT($A738),LEFT($A739,3)="Pan"),1,"")</f>
        <v/>
      </c>
    </row>
    <row r="739">
      <c r="S739">
        <f>IF(AND(ISTEXT($A739),ISNUMBER(SEARCH(" - ",$A739)),ISERROR(SEARCH("Folio",$A739)),$D739=""),TRIM($A739),$S738)</f>
        <v/>
      </c>
      <c r="T739">
        <f>IF(AND(ISNUMBER(SEARCH("Folio",$A739)),$D739&lt;&gt;""),1,"")</f>
        <v/>
      </c>
      <c r="U739">
        <f>IF($T739=1,COUNTIF($T$9:$T739,1),"")</f>
        <v/>
      </c>
      <c r="V739">
        <f>IF(AND(ISTEXT($A739),LEFT($A740,3)="Pan"),1,"")</f>
        <v/>
      </c>
    </row>
    <row r="740">
      <c r="S740">
        <f>IF(AND(ISTEXT($A740),ISNUMBER(SEARCH(" - ",$A740)),ISERROR(SEARCH("Folio",$A740)),$D740=""),TRIM($A740),$S739)</f>
        <v/>
      </c>
      <c r="T740">
        <f>IF(AND(ISNUMBER(SEARCH("Folio",$A740)),$D740&lt;&gt;""),1,"")</f>
        <v/>
      </c>
      <c r="U740">
        <f>IF($T740=1,COUNTIF($T$9:$T740,1),"")</f>
        <v/>
      </c>
      <c r="V740">
        <f>IF(AND(ISTEXT($A740),LEFT($A741,3)="Pan"),1,"")</f>
        <v/>
      </c>
    </row>
    <row r="741">
      <c r="S741">
        <f>IF(AND(ISTEXT($A741),ISNUMBER(SEARCH(" - ",$A741)),ISERROR(SEARCH("Folio",$A741)),$D741=""),TRIM($A741),$S740)</f>
        <v/>
      </c>
      <c r="T741">
        <f>IF(AND(ISNUMBER(SEARCH("Folio",$A741)),$D741&lt;&gt;""),1,"")</f>
        <v/>
      </c>
      <c r="U741">
        <f>IF($T741=1,COUNTIF($T$9:$T741,1),"")</f>
        <v/>
      </c>
      <c r="V741">
        <f>IF(AND(ISTEXT($A741),LEFT($A742,3)="Pan"),1,"")</f>
        <v/>
      </c>
    </row>
    <row r="742">
      <c r="S742">
        <f>IF(AND(ISTEXT($A742),ISNUMBER(SEARCH(" - ",$A742)),ISERROR(SEARCH("Folio",$A742)),$D742=""),TRIM($A742),$S741)</f>
        <v/>
      </c>
      <c r="T742">
        <f>IF(AND(ISNUMBER(SEARCH("Folio",$A742)),$D742&lt;&gt;""),1,"")</f>
        <v/>
      </c>
      <c r="U742">
        <f>IF($T742=1,COUNTIF($T$9:$T742,1),"")</f>
        <v/>
      </c>
      <c r="V742">
        <f>IF(AND(ISTEXT($A742),LEFT($A743,3)="Pan"),1,"")</f>
        <v/>
      </c>
    </row>
    <row r="743">
      <c r="S743">
        <f>IF(AND(ISTEXT($A743),ISNUMBER(SEARCH(" - ",$A743)),ISERROR(SEARCH("Folio",$A743)),$D743=""),TRIM($A743),$S742)</f>
        <v/>
      </c>
      <c r="T743">
        <f>IF(AND(ISNUMBER(SEARCH("Folio",$A743)),$D743&lt;&gt;""),1,"")</f>
        <v/>
      </c>
      <c r="U743">
        <f>IF($T743=1,COUNTIF($T$9:$T743,1),"")</f>
        <v/>
      </c>
      <c r="V743">
        <f>IF(AND(ISTEXT($A743),LEFT($A744,3)="Pan"),1,"")</f>
        <v/>
      </c>
    </row>
    <row r="744">
      <c r="S744">
        <f>IF(AND(ISTEXT($A744),ISNUMBER(SEARCH(" - ",$A744)),ISERROR(SEARCH("Folio",$A744)),$D744=""),TRIM($A744),$S743)</f>
        <v/>
      </c>
      <c r="T744">
        <f>IF(AND(ISNUMBER(SEARCH("Folio",$A744)),$D744&lt;&gt;""),1,"")</f>
        <v/>
      </c>
      <c r="U744">
        <f>IF($T744=1,COUNTIF($T$9:$T744,1),"")</f>
        <v/>
      </c>
      <c r="V744">
        <f>IF(AND(ISTEXT($A744),LEFT($A745,3)="Pan"),1,"")</f>
        <v/>
      </c>
    </row>
    <row r="745">
      <c r="S745">
        <f>IF(AND(ISTEXT($A745),ISNUMBER(SEARCH(" - ",$A745)),ISERROR(SEARCH("Folio",$A745)),$D745=""),TRIM($A745),$S744)</f>
        <v/>
      </c>
      <c r="T745">
        <f>IF(AND(ISNUMBER(SEARCH("Folio",$A745)),$D745&lt;&gt;""),1,"")</f>
        <v/>
      </c>
      <c r="U745">
        <f>IF($T745=1,COUNTIF($T$9:$T745,1),"")</f>
        <v/>
      </c>
      <c r="V745">
        <f>IF(AND(ISTEXT($A745),LEFT($A746,3)="Pan"),1,"")</f>
        <v/>
      </c>
    </row>
    <row r="746">
      <c r="S746">
        <f>IF(AND(ISTEXT($A746),ISNUMBER(SEARCH(" - ",$A746)),ISERROR(SEARCH("Folio",$A746)),$D746=""),TRIM($A746),$S745)</f>
        <v/>
      </c>
      <c r="T746">
        <f>IF(AND(ISNUMBER(SEARCH("Folio",$A746)),$D746&lt;&gt;""),1,"")</f>
        <v/>
      </c>
      <c r="U746">
        <f>IF($T746=1,COUNTIF($T$9:$T746,1),"")</f>
        <v/>
      </c>
      <c r="V746">
        <f>IF(AND(ISTEXT($A746),LEFT($A747,3)="Pan"),1,"")</f>
        <v/>
      </c>
    </row>
    <row r="747">
      <c r="S747">
        <f>IF(AND(ISTEXT($A747),ISNUMBER(SEARCH(" - ",$A747)),ISERROR(SEARCH("Folio",$A747)),$D747=""),TRIM($A747),$S746)</f>
        <v/>
      </c>
      <c r="T747">
        <f>IF(AND(ISNUMBER(SEARCH("Folio",$A747)),$D747&lt;&gt;""),1,"")</f>
        <v/>
      </c>
      <c r="U747">
        <f>IF($T747=1,COUNTIF($T$9:$T747,1),"")</f>
        <v/>
      </c>
      <c r="V747">
        <f>IF(AND(ISTEXT($A747),LEFT($A748,3)="Pan"),1,"")</f>
        <v/>
      </c>
    </row>
    <row r="748">
      <c r="S748">
        <f>IF(AND(ISTEXT($A748),ISNUMBER(SEARCH(" - ",$A748)),ISERROR(SEARCH("Folio",$A748)),$D748=""),TRIM($A748),$S747)</f>
        <v/>
      </c>
      <c r="T748">
        <f>IF(AND(ISNUMBER(SEARCH("Folio",$A748)),$D748&lt;&gt;""),1,"")</f>
        <v/>
      </c>
      <c r="U748">
        <f>IF($T748=1,COUNTIF($T$9:$T748,1),"")</f>
        <v/>
      </c>
      <c r="V748">
        <f>IF(AND(ISTEXT($A748),LEFT($A749,3)="Pan"),1,"")</f>
        <v/>
      </c>
    </row>
    <row r="749">
      <c r="S749">
        <f>IF(AND(ISTEXT($A749),ISNUMBER(SEARCH(" - ",$A749)),ISERROR(SEARCH("Folio",$A749)),$D749=""),TRIM($A749),$S748)</f>
        <v/>
      </c>
      <c r="T749">
        <f>IF(AND(ISNUMBER(SEARCH("Folio",$A749)),$D749&lt;&gt;""),1,"")</f>
        <v/>
      </c>
      <c r="U749">
        <f>IF($T749=1,COUNTIF($T$9:$T749,1),"")</f>
        <v/>
      </c>
      <c r="V749">
        <f>IF(AND(ISTEXT($A749),LEFT($A750,3)="Pan"),1,"")</f>
        <v/>
      </c>
    </row>
    <row r="750">
      <c r="S750">
        <f>IF(AND(ISTEXT($A750),ISNUMBER(SEARCH(" - ",$A750)),ISERROR(SEARCH("Folio",$A750)),$D750=""),TRIM($A750),$S749)</f>
        <v/>
      </c>
      <c r="T750">
        <f>IF(AND(ISNUMBER(SEARCH("Folio",$A750)),$D750&lt;&gt;""),1,"")</f>
        <v/>
      </c>
      <c r="U750">
        <f>IF($T750=1,COUNTIF($T$9:$T750,1),"")</f>
        <v/>
      </c>
      <c r="V750">
        <f>IF(AND(ISTEXT($A750),LEFT($A751,3)="Pan"),1,"")</f>
        <v/>
      </c>
    </row>
    <row r="751">
      <c r="S751">
        <f>IF(AND(ISTEXT($A751),ISNUMBER(SEARCH(" - ",$A751)),ISERROR(SEARCH("Folio",$A751)),$D751=""),TRIM($A751),$S750)</f>
        <v/>
      </c>
      <c r="T751">
        <f>IF(AND(ISNUMBER(SEARCH("Folio",$A751)),$D751&lt;&gt;""),1,"")</f>
        <v/>
      </c>
      <c r="U751">
        <f>IF($T751=1,COUNTIF($T$9:$T751,1),"")</f>
        <v/>
      </c>
      <c r="V751">
        <f>IF(AND(ISTEXT($A751),LEFT($A752,3)="Pan"),1,"")</f>
        <v/>
      </c>
    </row>
    <row r="752">
      <c r="S752">
        <f>IF(AND(ISTEXT($A752),ISNUMBER(SEARCH(" - ",$A752)),ISERROR(SEARCH("Folio",$A752)),$D752=""),TRIM($A752),$S751)</f>
        <v/>
      </c>
      <c r="T752">
        <f>IF(AND(ISNUMBER(SEARCH("Folio",$A752)),$D752&lt;&gt;""),1,"")</f>
        <v/>
      </c>
      <c r="U752">
        <f>IF($T752=1,COUNTIF($T$9:$T752,1),"")</f>
        <v/>
      </c>
      <c r="V752">
        <f>IF(AND(ISTEXT($A752),LEFT($A753,3)="Pan"),1,"")</f>
        <v/>
      </c>
    </row>
    <row r="753">
      <c r="S753">
        <f>IF(AND(ISTEXT($A753),ISNUMBER(SEARCH(" - ",$A753)),ISERROR(SEARCH("Folio",$A753)),$D753=""),TRIM($A753),$S752)</f>
        <v/>
      </c>
      <c r="T753">
        <f>IF(AND(ISNUMBER(SEARCH("Folio",$A753)),$D753&lt;&gt;""),1,"")</f>
        <v/>
      </c>
      <c r="U753">
        <f>IF($T753=1,COUNTIF($T$9:$T753,1),"")</f>
        <v/>
      </c>
      <c r="V753">
        <f>IF(AND(ISTEXT($A753),LEFT($A754,3)="Pan"),1,"")</f>
        <v/>
      </c>
    </row>
    <row r="754">
      <c r="S754">
        <f>IF(AND(ISTEXT($A754),ISNUMBER(SEARCH(" - ",$A754)),ISERROR(SEARCH("Folio",$A754)),$D754=""),TRIM($A754),$S753)</f>
        <v/>
      </c>
      <c r="T754">
        <f>IF(AND(ISNUMBER(SEARCH("Folio",$A754)),$D754&lt;&gt;""),1,"")</f>
        <v/>
      </c>
      <c r="U754">
        <f>IF($T754=1,COUNTIF($T$9:$T754,1),"")</f>
        <v/>
      </c>
      <c r="V754">
        <f>IF(AND(ISTEXT($A754),LEFT($A755,3)="Pan"),1,"")</f>
        <v/>
      </c>
    </row>
    <row r="755">
      <c r="S755">
        <f>IF(AND(ISTEXT($A755),ISNUMBER(SEARCH(" - ",$A755)),ISERROR(SEARCH("Folio",$A755)),$D755=""),TRIM($A755),$S754)</f>
        <v/>
      </c>
      <c r="T755">
        <f>IF(AND(ISNUMBER(SEARCH("Folio",$A755)),$D755&lt;&gt;""),1,"")</f>
        <v/>
      </c>
      <c r="U755">
        <f>IF($T755=1,COUNTIF($T$9:$T755,1),"")</f>
        <v/>
      </c>
      <c r="V755">
        <f>IF(AND(ISTEXT($A755),LEFT($A756,3)="Pan"),1,"")</f>
        <v/>
      </c>
    </row>
    <row r="756">
      <c r="S756">
        <f>IF(AND(ISTEXT($A756),ISNUMBER(SEARCH(" - ",$A756)),ISERROR(SEARCH("Folio",$A756)),$D756=""),TRIM($A756),$S755)</f>
        <v/>
      </c>
      <c r="T756">
        <f>IF(AND(ISNUMBER(SEARCH("Folio",$A756)),$D756&lt;&gt;""),1,"")</f>
        <v/>
      </c>
      <c r="U756">
        <f>IF($T756=1,COUNTIF($T$9:$T756,1),"")</f>
        <v/>
      </c>
      <c r="V756">
        <f>IF(AND(ISTEXT($A756),LEFT($A757,3)="Pan"),1,"")</f>
        <v/>
      </c>
    </row>
    <row r="757">
      <c r="S757">
        <f>IF(AND(ISTEXT($A757),ISNUMBER(SEARCH(" - ",$A757)),ISERROR(SEARCH("Folio",$A757)),$D757=""),TRIM($A757),$S756)</f>
        <v/>
      </c>
      <c r="T757">
        <f>IF(AND(ISNUMBER(SEARCH("Folio",$A757)),$D757&lt;&gt;""),1,"")</f>
        <v/>
      </c>
      <c r="U757">
        <f>IF($T757=1,COUNTIF($T$9:$T757,1),"")</f>
        <v/>
      </c>
      <c r="V757">
        <f>IF(AND(ISTEXT($A757),LEFT($A758,3)="Pan"),1,"")</f>
        <v/>
      </c>
    </row>
    <row r="758">
      <c r="S758">
        <f>IF(AND(ISTEXT($A758),ISNUMBER(SEARCH(" - ",$A758)),ISERROR(SEARCH("Folio",$A758)),$D758=""),TRIM($A758),$S757)</f>
        <v/>
      </c>
      <c r="T758">
        <f>IF(AND(ISNUMBER(SEARCH("Folio",$A758)),$D758&lt;&gt;""),1,"")</f>
        <v/>
      </c>
      <c r="U758">
        <f>IF($T758=1,COUNTIF($T$9:$T758,1),"")</f>
        <v/>
      </c>
      <c r="V758">
        <f>IF(AND(ISTEXT($A758),LEFT($A759,3)="Pan"),1,"")</f>
        <v/>
      </c>
    </row>
    <row r="759">
      <c r="S759">
        <f>IF(AND(ISTEXT($A759),ISNUMBER(SEARCH(" - ",$A759)),ISERROR(SEARCH("Folio",$A759)),$D759=""),TRIM($A759),$S758)</f>
        <v/>
      </c>
      <c r="T759">
        <f>IF(AND(ISNUMBER(SEARCH("Folio",$A759)),$D759&lt;&gt;""),1,"")</f>
        <v/>
      </c>
      <c r="U759">
        <f>IF($T759=1,COUNTIF($T$9:$T759,1),"")</f>
        <v/>
      </c>
      <c r="V759">
        <f>IF(AND(ISTEXT($A759),LEFT($A760,3)="Pan"),1,"")</f>
        <v/>
      </c>
    </row>
    <row r="760">
      <c r="S760">
        <f>IF(AND(ISTEXT($A760),ISNUMBER(SEARCH(" - ",$A760)),ISERROR(SEARCH("Folio",$A760)),$D760=""),TRIM($A760),$S759)</f>
        <v/>
      </c>
      <c r="T760">
        <f>IF(AND(ISNUMBER(SEARCH("Folio",$A760)),$D760&lt;&gt;""),1,"")</f>
        <v/>
      </c>
      <c r="U760">
        <f>IF($T760=1,COUNTIF($T$9:$T760,1),"")</f>
        <v/>
      </c>
      <c r="V760">
        <f>IF(AND(ISTEXT($A760),LEFT($A761,3)="Pan"),1,"")</f>
        <v/>
      </c>
    </row>
    <row r="761">
      <c r="S761">
        <f>IF(AND(ISTEXT($A761),ISNUMBER(SEARCH(" - ",$A761)),ISERROR(SEARCH("Folio",$A761)),$D761=""),TRIM($A761),$S760)</f>
        <v/>
      </c>
      <c r="T761">
        <f>IF(AND(ISNUMBER(SEARCH("Folio",$A761)),$D761&lt;&gt;""),1,"")</f>
        <v/>
      </c>
      <c r="U761">
        <f>IF($T761=1,COUNTIF($T$9:$T761,1),"")</f>
        <v/>
      </c>
      <c r="V761">
        <f>IF(AND(ISTEXT($A761),LEFT($A762,3)="Pan"),1,"")</f>
        <v/>
      </c>
    </row>
    <row r="762">
      <c r="S762">
        <f>IF(AND(ISTEXT($A762),ISNUMBER(SEARCH(" - ",$A762)),ISERROR(SEARCH("Folio",$A762)),$D762=""),TRIM($A762),$S761)</f>
        <v/>
      </c>
      <c r="T762">
        <f>IF(AND(ISNUMBER(SEARCH("Folio",$A762)),$D762&lt;&gt;""),1,"")</f>
        <v/>
      </c>
      <c r="U762">
        <f>IF($T762=1,COUNTIF($T$9:$T762,1),"")</f>
        <v/>
      </c>
      <c r="V762">
        <f>IF(AND(ISTEXT($A762),LEFT($A763,3)="Pan"),1,"")</f>
        <v/>
      </c>
    </row>
    <row r="763">
      <c r="S763">
        <f>IF(AND(ISTEXT($A763),ISNUMBER(SEARCH(" - ",$A763)),ISERROR(SEARCH("Folio",$A763)),$D763=""),TRIM($A763),$S762)</f>
        <v/>
      </c>
      <c r="T763">
        <f>IF(AND(ISNUMBER(SEARCH("Folio",$A763)),$D763&lt;&gt;""),1,"")</f>
        <v/>
      </c>
      <c r="U763">
        <f>IF($T763=1,COUNTIF($T$9:$T763,1),"")</f>
        <v/>
      </c>
      <c r="V763">
        <f>IF(AND(ISTEXT($A763),LEFT($A764,3)="Pan"),1,"")</f>
        <v/>
      </c>
    </row>
    <row r="764">
      <c r="S764">
        <f>IF(AND(ISTEXT($A764),ISNUMBER(SEARCH(" - ",$A764)),ISERROR(SEARCH("Folio",$A764)),$D764=""),TRIM($A764),$S763)</f>
        <v/>
      </c>
      <c r="T764">
        <f>IF(AND(ISNUMBER(SEARCH("Folio",$A764)),$D764&lt;&gt;""),1,"")</f>
        <v/>
      </c>
      <c r="U764">
        <f>IF($T764=1,COUNTIF($T$9:$T764,1),"")</f>
        <v/>
      </c>
      <c r="V764">
        <f>IF(AND(ISTEXT($A764),LEFT($A765,3)="Pan"),1,"")</f>
        <v/>
      </c>
    </row>
    <row r="765">
      <c r="S765">
        <f>IF(AND(ISTEXT($A765),ISNUMBER(SEARCH(" - ",$A765)),ISERROR(SEARCH("Folio",$A765)),$D765=""),TRIM($A765),$S764)</f>
        <v/>
      </c>
      <c r="T765">
        <f>IF(AND(ISNUMBER(SEARCH("Folio",$A765)),$D765&lt;&gt;""),1,"")</f>
        <v/>
      </c>
      <c r="U765">
        <f>IF($T765=1,COUNTIF($T$9:$T765,1),"")</f>
        <v/>
      </c>
      <c r="V765">
        <f>IF(AND(ISTEXT($A765),LEFT($A766,3)="Pan"),1,"")</f>
        <v/>
      </c>
    </row>
    <row r="766">
      <c r="S766">
        <f>IF(AND(ISTEXT($A766),ISNUMBER(SEARCH(" - ",$A766)),ISERROR(SEARCH("Folio",$A766)),$D766=""),TRIM($A766),$S765)</f>
        <v/>
      </c>
      <c r="T766">
        <f>IF(AND(ISNUMBER(SEARCH("Folio",$A766)),$D766&lt;&gt;""),1,"")</f>
        <v/>
      </c>
      <c r="U766">
        <f>IF($T766=1,COUNTIF($T$9:$T766,1),"")</f>
        <v/>
      </c>
      <c r="V766">
        <f>IF(AND(ISTEXT($A766),LEFT($A767,3)="Pan"),1,"")</f>
        <v/>
      </c>
    </row>
    <row r="767">
      <c r="S767">
        <f>IF(AND(ISTEXT($A767),ISNUMBER(SEARCH(" - ",$A767)),ISERROR(SEARCH("Folio",$A767)),$D767=""),TRIM($A767),$S766)</f>
        <v/>
      </c>
      <c r="T767">
        <f>IF(AND(ISNUMBER(SEARCH("Folio",$A767)),$D767&lt;&gt;""),1,"")</f>
        <v/>
      </c>
      <c r="U767">
        <f>IF($T767=1,COUNTIF($T$9:$T767,1),"")</f>
        <v/>
      </c>
      <c r="V767">
        <f>IF(AND(ISTEXT($A767),LEFT($A768,3)="Pan"),1,"")</f>
        <v/>
      </c>
    </row>
    <row r="768">
      <c r="S768">
        <f>IF(AND(ISTEXT($A768),ISNUMBER(SEARCH(" - ",$A768)),ISERROR(SEARCH("Folio",$A768)),$D768=""),TRIM($A768),$S767)</f>
        <v/>
      </c>
      <c r="T768">
        <f>IF(AND(ISNUMBER(SEARCH("Folio",$A768)),$D768&lt;&gt;""),1,"")</f>
        <v/>
      </c>
      <c r="U768">
        <f>IF($T768=1,COUNTIF($T$9:$T768,1),"")</f>
        <v/>
      </c>
      <c r="V768">
        <f>IF(AND(ISTEXT($A768),LEFT($A769,3)="Pan"),1,"")</f>
        <v/>
      </c>
    </row>
    <row r="769">
      <c r="S769">
        <f>IF(AND(ISTEXT($A769),ISNUMBER(SEARCH(" - ",$A769)),ISERROR(SEARCH("Folio",$A769)),$D769=""),TRIM($A769),$S768)</f>
        <v/>
      </c>
      <c r="T769">
        <f>IF(AND(ISNUMBER(SEARCH("Folio",$A769)),$D769&lt;&gt;""),1,"")</f>
        <v/>
      </c>
      <c r="U769">
        <f>IF($T769=1,COUNTIF($T$9:$T769,1),"")</f>
        <v/>
      </c>
      <c r="V769">
        <f>IF(AND(ISTEXT($A769),LEFT($A770,3)="Pan"),1,"")</f>
        <v/>
      </c>
    </row>
    <row r="770">
      <c r="S770">
        <f>IF(AND(ISTEXT($A770),ISNUMBER(SEARCH(" - ",$A770)),ISERROR(SEARCH("Folio",$A770)),$D770=""),TRIM($A770),$S769)</f>
        <v/>
      </c>
      <c r="T770">
        <f>IF(AND(ISNUMBER(SEARCH("Folio",$A770)),$D770&lt;&gt;""),1,"")</f>
        <v/>
      </c>
      <c r="U770">
        <f>IF($T770=1,COUNTIF($T$9:$T770,1),"")</f>
        <v/>
      </c>
      <c r="V770">
        <f>IF(AND(ISTEXT($A770),LEFT($A771,3)="Pan"),1,"")</f>
        <v/>
      </c>
    </row>
    <row r="771">
      <c r="S771">
        <f>IF(AND(ISTEXT($A771),ISNUMBER(SEARCH(" - ",$A771)),ISERROR(SEARCH("Folio",$A771)),$D771=""),TRIM($A771),$S770)</f>
        <v/>
      </c>
      <c r="T771">
        <f>IF(AND(ISNUMBER(SEARCH("Folio",$A771)),$D771&lt;&gt;""),1,"")</f>
        <v/>
      </c>
      <c r="U771">
        <f>IF($T771=1,COUNTIF($T$9:$T771,1),"")</f>
        <v/>
      </c>
      <c r="V771">
        <f>IF(AND(ISTEXT($A771),LEFT($A772,3)="Pan"),1,"")</f>
        <v/>
      </c>
    </row>
    <row r="772">
      <c r="S772">
        <f>IF(AND(ISTEXT($A772),ISNUMBER(SEARCH(" - ",$A772)),ISERROR(SEARCH("Folio",$A772)),$D772=""),TRIM($A772),$S771)</f>
        <v/>
      </c>
      <c r="T772">
        <f>IF(AND(ISNUMBER(SEARCH("Folio",$A772)),$D772&lt;&gt;""),1,"")</f>
        <v/>
      </c>
      <c r="U772">
        <f>IF($T772=1,COUNTIF($T$9:$T772,1),"")</f>
        <v/>
      </c>
      <c r="V772">
        <f>IF(AND(ISTEXT($A772),LEFT($A773,3)="Pan"),1,"")</f>
        <v/>
      </c>
    </row>
    <row r="773">
      <c r="S773">
        <f>IF(AND(ISTEXT($A773),ISNUMBER(SEARCH(" - ",$A773)),ISERROR(SEARCH("Folio",$A773)),$D773=""),TRIM($A773),$S772)</f>
        <v/>
      </c>
      <c r="T773">
        <f>IF(AND(ISNUMBER(SEARCH("Folio",$A773)),$D773&lt;&gt;""),1,"")</f>
        <v/>
      </c>
      <c r="U773">
        <f>IF($T773=1,COUNTIF($T$9:$T773,1),"")</f>
        <v/>
      </c>
      <c r="V773">
        <f>IF(AND(ISTEXT($A773),LEFT($A774,3)="Pan"),1,"")</f>
        <v/>
      </c>
    </row>
    <row r="774">
      <c r="S774">
        <f>IF(AND(ISTEXT($A774),ISNUMBER(SEARCH(" - ",$A774)),ISERROR(SEARCH("Folio",$A774)),$D774=""),TRIM($A774),$S773)</f>
        <v/>
      </c>
      <c r="T774">
        <f>IF(AND(ISNUMBER(SEARCH("Folio",$A774)),$D774&lt;&gt;""),1,"")</f>
        <v/>
      </c>
      <c r="U774">
        <f>IF($T774=1,COUNTIF($T$9:$T774,1),"")</f>
        <v/>
      </c>
      <c r="V774">
        <f>IF(AND(ISTEXT($A774),LEFT($A775,3)="Pan"),1,"")</f>
        <v/>
      </c>
    </row>
    <row r="775">
      <c r="S775">
        <f>IF(AND(ISTEXT($A775),ISNUMBER(SEARCH(" - ",$A775)),ISERROR(SEARCH("Folio",$A775)),$D775=""),TRIM($A775),$S774)</f>
        <v/>
      </c>
      <c r="T775">
        <f>IF(AND(ISNUMBER(SEARCH("Folio",$A775)),$D775&lt;&gt;""),1,"")</f>
        <v/>
      </c>
      <c r="U775">
        <f>IF($T775=1,COUNTIF($T$9:$T775,1),"")</f>
        <v/>
      </c>
      <c r="V775">
        <f>IF(AND(ISTEXT($A775),LEFT($A776,3)="Pan"),1,"")</f>
        <v/>
      </c>
    </row>
    <row r="776">
      <c r="S776">
        <f>IF(AND(ISTEXT($A776),ISNUMBER(SEARCH(" - ",$A776)),ISERROR(SEARCH("Folio",$A776)),$D776=""),TRIM($A776),$S775)</f>
        <v/>
      </c>
      <c r="T776">
        <f>IF(AND(ISNUMBER(SEARCH("Folio",$A776)),$D776&lt;&gt;""),1,"")</f>
        <v/>
      </c>
      <c r="U776">
        <f>IF($T776=1,COUNTIF($T$9:$T776,1),"")</f>
        <v/>
      </c>
      <c r="V776">
        <f>IF(AND(ISTEXT($A776),LEFT($A777,3)="Pan"),1,"")</f>
        <v/>
      </c>
    </row>
    <row r="777">
      <c r="S777">
        <f>IF(AND(ISTEXT($A777),ISNUMBER(SEARCH(" - ",$A777)),ISERROR(SEARCH("Folio",$A777)),$D777=""),TRIM($A777),$S776)</f>
        <v/>
      </c>
      <c r="T777">
        <f>IF(AND(ISNUMBER(SEARCH("Folio",$A777)),$D777&lt;&gt;""),1,"")</f>
        <v/>
      </c>
      <c r="U777">
        <f>IF($T777=1,COUNTIF($T$9:$T777,1),"")</f>
        <v/>
      </c>
      <c r="V777">
        <f>IF(AND(ISTEXT($A777),LEFT($A778,3)="Pan"),1,"")</f>
        <v/>
      </c>
    </row>
    <row r="778">
      <c r="S778">
        <f>IF(AND(ISTEXT($A778),ISNUMBER(SEARCH(" - ",$A778)),ISERROR(SEARCH("Folio",$A778)),$D778=""),TRIM($A778),$S777)</f>
        <v/>
      </c>
      <c r="T778">
        <f>IF(AND(ISNUMBER(SEARCH("Folio",$A778)),$D778&lt;&gt;""),1,"")</f>
        <v/>
      </c>
      <c r="U778">
        <f>IF($T778=1,COUNTIF($T$9:$T778,1),"")</f>
        <v/>
      </c>
      <c r="V778">
        <f>IF(AND(ISTEXT($A778),LEFT($A779,3)="Pan"),1,"")</f>
        <v/>
      </c>
    </row>
    <row r="779">
      <c r="S779">
        <f>IF(AND(ISTEXT($A779),ISNUMBER(SEARCH(" - ",$A779)),ISERROR(SEARCH("Folio",$A779)),$D779=""),TRIM($A779),$S778)</f>
        <v/>
      </c>
      <c r="T779">
        <f>IF(AND(ISNUMBER(SEARCH("Folio",$A779)),$D779&lt;&gt;""),1,"")</f>
        <v/>
      </c>
      <c r="U779">
        <f>IF($T779=1,COUNTIF($T$9:$T779,1),"")</f>
        <v/>
      </c>
      <c r="V779">
        <f>IF(AND(ISTEXT($A779),LEFT($A780,3)="Pan"),1,"")</f>
        <v/>
      </c>
    </row>
    <row r="780">
      <c r="S780">
        <f>IF(AND(ISTEXT($A780),ISNUMBER(SEARCH(" - ",$A780)),ISERROR(SEARCH("Folio",$A780)),$D780=""),TRIM($A780),$S779)</f>
        <v/>
      </c>
      <c r="T780">
        <f>IF(AND(ISNUMBER(SEARCH("Folio",$A780)),$D780&lt;&gt;""),1,"")</f>
        <v/>
      </c>
      <c r="U780">
        <f>IF($T780=1,COUNTIF($T$9:$T780,1),"")</f>
        <v/>
      </c>
      <c r="V780">
        <f>IF(AND(ISTEXT($A780),LEFT($A781,3)="Pan"),1,"")</f>
        <v/>
      </c>
    </row>
    <row r="781">
      <c r="S781">
        <f>IF(AND(ISTEXT($A781),ISNUMBER(SEARCH(" - ",$A781)),ISERROR(SEARCH("Folio",$A781)),$D781=""),TRIM($A781),$S780)</f>
        <v/>
      </c>
      <c r="T781">
        <f>IF(AND(ISNUMBER(SEARCH("Folio",$A781)),$D781&lt;&gt;""),1,"")</f>
        <v/>
      </c>
      <c r="U781">
        <f>IF($T781=1,COUNTIF($T$9:$T781,1),"")</f>
        <v/>
      </c>
      <c r="V781">
        <f>IF(AND(ISTEXT($A781),LEFT($A782,3)="Pan"),1,"")</f>
        <v/>
      </c>
    </row>
    <row r="782">
      <c r="S782">
        <f>IF(AND(ISTEXT($A782),ISNUMBER(SEARCH(" - ",$A782)),ISERROR(SEARCH("Folio",$A782)),$D782=""),TRIM($A782),$S781)</f>
        <v/>
      </c>
      <c r="T782">
        <f>IF(AND(ISNUMBER(SEARCH("Folio",$A782)),$D782&lt;&gt;""),1,"")</f>
        <v/>
      </c>
      <c r="U782">
        <f>IF($T782=1,COUNTIF($T$9:$T782,1),"")</f>
        <v/>
      </c>
      <c r="V782">
        <f>IF(AND(ISTEXT($A782),LEFT($A783,3)="Pan"),1,"")</f>
        <v/>
      </c>
    </row>
    <row r="783">
      <c r="S783">
        <f>IF(AND(ISTEXT($A783),ISNUMBER(SEARCH(" - ",$A783)),ISERROR(SEARCH("Folio",$A783)),$D783=""),TRIM($A783),$S782)</f>
        <v/>
      </c>
      <c r="T783">
        <f>IF(AND(ISNUMBER(SEARCH("Folio",$A783)),$D783&lt;&gt;""),1,"")</f>
        <v/>
      </c>
      <c r="U783">
        <f>IF($T783=1,COUNTIF($T$9:$T783,1),"")</f>
        <v/>
      </c>
      <c r="V783">
        <f>IF(AND(ISTEXT($A783),LEFT($A784,3)="Pan"),1,"")</f>
        <v/>
      </c>
    </row>
    <row r="784">
      <c r="S784">
        <f>IF(AND(ISTEXT($A784),ISNUMBER(SEARCH(" - ",$A784)),ISERROR(SEARCH("Folio",$A784)),$D784=""),TRIM($A784),$S783)</f>
        <v/>
      </c>
      <c r="T784">
        <f>IF(AND(ISNUMBER(SEARCH("Folio",$A784)),$D784&lt;&gt;""),1,"")</f>
        <v/>
      </c>
      <c r="U784">
        <f>IF($T784=1,COUNTIF($T$9:$T784,1),"")</f>
        <v/>
      </c>
      <c r="V784">
        <f>IF(AND(ISTEXT($A784),LEFT($A785,3)="Pan"),1,"")</f>
        <v/>
      </c>
    </row>
    <row r="785">
      <c r="S785">
        <f>IF(AND(ISTEXT($A785),ISNUMBER(SEARCH(" - ",$A785)),ISERROR(SEARCH("Folio",$A785)),$D785=""),TRIM($A785),$S784)</f>
        <v/>
      </c>
      <c r="T785">
        <f>IF(AND(ISNUMBER(SEARCH("Folio",$A785)),$D785&lt;&gt;""),1,"")</f>
        <v/>
      </c>
      <c r="U785">
        <f>IF($T785=1,COUNTIF($T$9:$T785,1),"")</f>
        <v/>
      </c>
      <c r="V785">
        <f>IF(AND(ISTEXT($A785),LEFT($A786,3)="Pan"),1,"")</f>
        <v/>
      </c>
    </row>
    <row r="786">
      <c r="S786">
        <f>IF(AND(ISTEXT($A786),ISNUMBER(SEARCH(" - ",$A786)),ISERROR(SEARCH("Folio",$A786)),$D786=""),TRIM($A786),$S785)</f>
        <v/>
      </c>
      <c r="T786">
        <f>IF(AND(ISNUMBER(SEARCH("Folio",$A786)),$D786&lt;&gt;""),1,"")</f>
        <v/>
      </c>
      <c r="U786">
        <f>IF($T786=1,COUNTIF($T$9:$T786,1),"")</f>
        <v/>
      </c>
      <c r="V786">
        <f>IF(AND(ISTEXT($A786),LEFT($A787,3)="Pan"),1,"")</f>
        <v/>
      </c>
    </row>
    <row r="787">
      <c r="S787">
        <f>IF(AND(ISTEXT($A787),ISNUMBER(SEARCH(" - ",$A787)),ISERROR(SEARCH("Folio",$A787)),$D787=""),TRIM($A787),$S786)</f>
        <v/>
      </c>
      <c r="T787">
        <f>IF(AND(ISNUMBER(SEARCH("Folio",$A787)),$D787&lt;&gt;""),1,"")</f>
        <v/>
      </c>
      <c r="U787">
        <f>IF($T787=1,COUNTIF($T$9:$T787,1),"")</f>
        <v/>
      </c>
      <c r="V787">
        <f>IF(AND(ISTEXT($A787),LEFT($A788,3)="Pan"),1,"")</f>
        <v/>
      </c>
    </row>
    <row r="788">
      <c r="S788">
        <f>IF(AND(ISTEXT($A788),ISNUMBER(SEARCH(" - ",$A788)),ISERROR(SEARCH("Folio",$A788)),$D788=""),TRIM($A788),$S787)</f>
        <v/>
      </c>
      <c r="T788">
        <f>IF(AND(ISNUMBER(SEARCH("Folio",$A788)),$D788&lt;&gt;""),1,"")</f>
        <v/>
      </c>
      <c r="U788">
        <f>IF($T788=1,COUNTIF($T$9:$T788,1),"")</f>
        <v/>
      </c>
      <c r="V788">
        <f>IF(AND(ISTEXT($A788),LEFT($A789,3)="Pan"),1,"")</f>
        <v/>
      </c>
    </row>
    <row r="789">
      <c r="S789">
        <f>IF(AND(ISTEXT($A789),ISNUMBER(SEARCH(" - ",$A789)),ISERROR(SEARCH("Folio",$A789)),$D789=""),TRIM($A789),$S788)</f>
        <v/>
      </c>
      <c r="T789">
        <f>IF(AND(ISNUMBER(SEARCH("Folio",$A789)),$D789&lt;&gt;""),1,"")</f>
        <v/>
      </c>
      <c r="U789">
        <f>IF($T789=1,COUNTIF($T$9:$T789,1),"")</f>
        <v/>
      </c>
      <c r="V789">
        <f>IF(AND(ISTEXT($A789),LEFT($A790,3)="Pan"),1,"")</f>
        <v/>
      </c>
    </row>
    <row r="790">
      <c r="S790">
        <f>IF(AND(ISTEXT($A790),ISNUMBER(SEARCH(" - ",$A790)),ISERROR(SEARCH("Folio",$A790)),$D790=""),TRIM($A790),$S789)</f>
        <v/>
      </c>
      <c r="T790">
        <f>IF(AND(ISNUMBER(SEARCH("Folio",$A790)),$D790&lt;&gt;""),1,"")</f>
        <v/>
      </c>
      <c r="U790">
        <f>IF($T790=1,COUNTIF($T$9:$T790,1),"")</f>
        <v/>
      </c>
      <c r="V790">
        <f>IF(AND(ISTEXT($A790),LEFT($A791,3)="Pan"),1,"")</f>
        <v/>
      </c>
    </row>
    <row r="791">
      <c r="S791">
        <f>IF(AND(ISTEXT($A791),ISNUMBER(SEARCH(" - ",$A791)),ISERROR(SEARCH("Folio",$A791)),$D791=""),TRIM($A791),$S790)</f>
        <v/>
      </c>
      <c r="T791">
        <f>IF(AND(ISNUMBER(SEARCH("Folio",$A791)),$D791&lt;&gt;""),1,"")</f>
        <v/>
      </c>
      <c r="U791">
        <f>IF($T791=1,COUNTIF($T$9:$T791,1),"")</f>
        <v/>
      </c>
      <c r="V791">
        <f>IF(AND(ISTEXT($A791),LEFT($A792,3)="Pan"),1,"")</f>
        <v/>
      </c>
    </row>
    <row r="792">
      <c r="S792">
        <f>IF(AND(ISTEXT($A792),ISNUMBER(SEARCH(" - ",$A792)),ISERROR(SEARCH("Folio",$A792)),$D792=""),TRIM($A792),$S791)</f>
        <v/>
      </c>
      <c r="T792">
        <f>IF(AND(ISNUMBER(SEARCH("Folio",$A792)),$D792&lt;&gt;""),1,"")</f>
        <v/>
      </c>
      <c r="U792">
        <f>IF($T792=1,COUNTIF($T$9:$T792,1),"")</f>
        <v/>
      </c>
      <c r="V792">
        <f>IF(AND(ISTEXT($A792),LEFT($A793,3)="Pan"),1,"")</f>
        <v/>
      </c>
    </row>
    <row r="793">
      <c r="S793">
        <f>IF(AND(ISTEXT($A793),ISNUMBER(SEARCH(" - ",$A793)),ISERROR(SEARCH("Folio",$A793)),$D793=""),TRIM($A793),$S792)</f>
        <v/>
      </c>
      <c r="T793">
        <f>IF(AND(ISNUMBER(SEARCH("Folio",$A793)),$D793&lt;&gt;""),1,"")</f>
        <v/>
      </c>
      <c r="U793">
        <f>IF($T793=1,COUNTIF($T$9:$T793,1),"")</f>
        <v/>
      </c>
      <c r="V793">
        <f>IF(AND(ISTEXT($A793),LEFT($A794,3)="Pan"),1,"")</f>
        <v/>
      </c>
    </row>
    <row r="794">
      <c r="S794">
        <f>IF(AND(ISTEXT($A794),ISNUMBER(SEARCH(" - ",$A794)),ISERROR(SEARCH("Folio",$A794)),$D794=""),TRIM($A794),$S793)</f>
        <v/>
      </c>
      <c r="T794">
        <f>IF(AND(ISNUMBER(SEARCH("Folio",$A794)),$D794&lt;&gt;""),1,"")</f>
        <v/>
      </c>
      <c r="U794">
        <f>IF($T794=1,COUNTIF($T$9:$T794,1),"")</f>
        <v/>
      </c>
      <c r="V794">
        <f>IF(AND(ISTEXT($A794),LEFT($A795,3)="Pan"),1,"")</f>
        <v/>
      </c>
    </row>
    <row r="795">
      <c r="S795">
        <f>IF(AND(ISTEXT($A795),ISNUMBER(SEARCH(" - ",$A795)),ISERROR(SEARCH("Folio",$A795)),$D795=""),TRIM($A795),$S794)</f>
        <v/>
      </c>
      <c r="T795">
        <f>IF(AND(ISNUMBER(SEARCH("Folio",$A795)),$D795&lt;&gt;""),1,"")</f>
        <v/>
      </c>
      <c r="U795">
        <f>IF($T795=1,COUNTIF($T$9:$T795,1),"")</f>
        <v/>
      </c>
      <c r="V795">
        <f>IF(AND(ISTEXT($A795),LEFT($A796,3)="Pan"),1,"")</f>
        <v/>
      </c>
    </row>
    <row r="796">
      <c r="S796">
        <f>IF(AND(ISTEXT($A796),ISNUMBER(SEARCH(" - ",$A796)),ISERROR(SEARCH("Folio",$A796)),$D796=""),TRIM($A796),$S795)</f>
        <v/>
      </c>
      <c r="T796">
        <f>IF(AND(ISNUMBER(SEARCH("Folio",$A796)),$D796&lt;&gt;""),1,"")</f>
        <v/>
      </c>
      <c r="U796">
        <f>IF($T796=1,COUNTIF($T$9:$T796,1),"")</f>
        <v/>
      </c>
      <c r="V796">
        <f>IF(AND(ISTEXT($A796),LEFT($A797,3)="Pan"),1,"")</f>
        <v/>
      </c>
    </row>
    <row r="797">
      <c r="S797">
        <f>IF(AND(ISTEXT($A797),ISNUMBER(SEARCH(" - ",$A797)),ISERROR(SEARCH("Folio",$A797)),$D797=""),TRIM($A797),$S796)</f>
        <v/>
      </c>
      <c r="T797">
        <f>IF(AND(ISNUMBER(SEARCH("Folio",$A797)),$D797&lt;&gt;""),1,"")</f>
        <v/>
      </c>
      <c r="U797">
        <f>IF($T797=1,COUNTIF($T$9:$T797,1),"")</f>
        <v/>
      </c>
      <c r="V797">
        <f>IF(AND(ISTEXT($A797),LEFT($A798,3)="Pan"),1,"")</f>
        <v/>
      </c>
    </row>
    <row r="798">
      <c r="S798">
        <f>IF(AND(ISTEXT($A798),ISNUMBER(SEARCH(" - ",$A798)),ISERROR(SEARCH("Folio",$A798)),$D798=""),TRIM($A798),$S797)</f>
        <v/>
      </c>
      <c r="T798">
        <f>IF(AND(ISNUMBER(SEARCH("Folio",$A798)),$D798&lt;&gt;""),1,"")</f>
        <v/>
      </c>
      <c r="U798">
        <f>IF($T798=1,COUNTIF($T$9:$T798,1),"")</f>
        <v/>
      </c>
      <c r="V798">
        <f>IF(AND(ISTEXT($A798),LEFT($A799,3)="Pan"),1,"")</f>
        <v/>
      </c>
    </row>
    <row r="799">
      <c r="S799">
        <f>IF(AND(ISTEXT($A799),ISNUMBER(SEARCH(" - ",$A799)),ISERROR(SEARCH("Folio",$A799)),$D799=""),TRIM($A799),$S798)</f>
        <v/>
      </c>
      <c r="T799">
        <f>IF(AND(ISNUMBER(SEARCH("Folio",$A799)),$D799&lt;&gt;""),1,"")</f>
        <v/>
      </c>
      <c r="U799">
        <f>IF($T799=1,COUNTIF($T$9:$T799,1),"")</f>
        <v/>
      </c>
      <c r="V799">
        <f>IF(AND(ISTEXT($A799),LEFT($A800,3)="Pan"),1,"")</f>
        <v/>
      </c>
    </row>
    <row r="800">
      <c r="S800">
        <f>IF(AND(ISTEXT($A800),ISNUMBER(SEARCH(" - ",$A800)),ISERROR(SEARCH("Folio",$A800)),$D800=""),TRIM($A800),$S799)</f>
        <v/>
      </c>
      <c r="T800">
        <f>IF(AND(ISNUMBER(SEARCH("Folio",$A800)),$D800&lt;&gt;""),1,"")</f>
        <v/>
      </c>
      <c r="U800">
        <f>IF($T800=1,COUNTIF($T$9:$T800,1),"")</f>
        <v/>
      </c>
      <c r="V800">
        <f>IF(AND(ISTEXT($A800),LEFT($A801,3)="Pan"),1,"")</f>
        <v/>
      </c>
    </row>
    <row r="801">
      <c r="S801">
        <f>IF(AND(ISTEXT($A801),ISNUMBER(SEARCH(" - ",$A801)),ISERROR(SEARCH("Folio",$A801)),$D801=""),TRIM($A801),$S800)</f>
        <v/>
      </c>
      <c r="T801">
        <f>IF(AND(ISNUMBER(SEARCH("Folio",$A801)),$D801&lt;&gt;""),1,"")</f>
        <v/>
      </c>
      <c r="U801">
        <f>IF($T801=1,COUNTIF($T$9:$T801,1),"")</f>
        <v/>
      </c>
      <c r="V801">
        <f>IF(AND(ISTEXT($A801),LEFT($A802,3)="Pan"),1,"")</f>
        <v/>
      </c>
    </row>
    <row r="802">
      <c r="S802">
        <f>IF(AND(ISTEXT($A802),ISNUMBER(SEARCH(" - ",$A802)),ISERROR(SEARCH("Folio",$A802)),$D802=""),TRIM($A802),$S801)</f>
        <v/>
      </c>
      <c r="T802">
        <f>IF(AND(ISNUMBER(SEARCH("Folio",$A802)),$D802&lt;&gt;""),1,"")</f>
        <v/>
      </c>
      <c r="U802">
        <f>IF($T802=1,COUNTIF($T$9:$T802,1),"")</f>
        <v/>
      </c>
      <c r="V802">
        <f>IF(AND(ISTEXT($A802),LEFT($A803,3)="Pan"),1,"")</f>
        <v/>
      </c>
    </row>
    <row r="803">
      <c r="S803">
        <f>IF(AND(ISTEXT($A803),ISNUMBER(SEARCH(" - ",$A803)),ISERROR(SEARCH("Folio",$A803)),$D803=""),TRIM($A803),$S802)</f>
        <v/>
      </c>
      <c r="T803">
        <f>IF(AND(ISNUMBER(SEARCH("Folio",$A803)),$D803&lt;&gt;""),1,"")</f>
        <v/>
      </c>
      <c r="U803">
        <f>IF($T803=1,COUNTIF($T$9:$T803,1),"")</f>
        <v/>
      </c>
      <c r="V803">
        <f>IF(AND(ISTEXT($A803),LEFT($A804,3)="Pan"),1,"")</f>
        <v/>
      </c>
    </row>
    <row r="804">
      <c r="S804">
        <f>IF(AND(ISTEXT($A804),ISNUMBER(SEARCH(" - ",$A804)),ISERROR(SEARCH("Folio",$A804)),$D804=""),TRIM($A804),$S803)</f>
        <v/>
      </c>
      <c r="T804">
        <f>IF(AND(ISNUMBER(SEARCH("Folio",$A804)),$D804&lt;&gt;""),1,"")</f>
        <v/>
      </c>
      <c r="U804">
        <f>IF($T804=1,COUNTIF($T$9:$T804,1),"")</f>
        <v/>
      </c>
      <c r="V804">
        <f>IF(AND(ISTEXT($A804),LEFT($A805,3)="Pan"),1,"")</f>
        <v/>
      </c>
    </row>
    <row r="805">
      <c r="S805">
        <f>IF(AND(ISTEXT($A805),ISNUMBER(SEARCH(" - ",$A805)),ISERROR(SEARCH("Folio",$A805)),$D805=""),TRIM($A805),$S804)</f>
        <v/>
      </c>
      <c r="T805">
        <f>IF(AND(ISNUMBER(SEARCH("Folio",$A805)),$D805&lt;&gt;""),1,"")</f>
        <v/>
      </c>
      <c r="U805">
        <f>IF($T805=1,COUNTIF($T$9:$T805,1),"")</f>
        <v/>
      </c>
      <c r="V805">
        <f>IF(AND(ISTEXT($A805),LEFT($A806,3)="Pan"),1,"")</f>
        <v/>
      </c>
    </row>
    <row r="806">
      <c r="S806">
        <f>IF(AND(ISTEXT($A806),ISNUMBER(SEARCH(" - ",$A806)),ISERROR(SEARCH("Folio",$A806)),$D806=""),TRIM($A806),$S805)</f>
        <v/>
      </c>
      <c r="T806">
        <f>IF(AND(ISNUMBER(SEARCH("Folio",$A806)),$D806&lt;&gt;""),1,"")</f>
        <v/>
      </c>
      <c r="U806">
        <f>IF($T806=1,COUNTIF($T$9:$T806,1),"")</f>
        <v/>
      </c>
      <c r="V806">
        <f>IF(AND(ISTEXT($A806),LEFT($A807,3)="Pan"),1,"")</f>
        <v/>
      </c>
    </row>
    <row r="807">
      <c r="S807">
        <f>IF(AND(ISTEXT($A807),ISNUMBER(SEARCH(" - ",$A807)),ISERROR(SEARCH("Folio",$A807)),$D807=""),TRIM($A807),$S806)</f>
        <v/>
      </c>
      <c r="T807">
        <f>IF(AND(ISNUMBER(SEARCH("Folio",$A807)),$D807&lt;&gt;""),1,"")</f>
        <v/>
      </c>
      <c r="U807">
        <f>IF($T807=1,COUNTIF($T$9:$T807,1),"")</f>
        <v/>
      </c>
      <c r="V807">
        <f>IF(AND(ISTEXT($A807),LEFT($A808,3)="Pan"),1,"")</f>
        <v/>
      </c>
    </row>
    <row r="808">
      <c r="S808">
        <f>IF(AND(ISTEXT($A808),ISNUMBER(SEARCH(" - ",$A808)),ISERROR(SEARCH("Folio",$A808)),$D808=""),TRIM($A808),$S807)</f>
        <v/>
      </c>
      <c r="T808">
        <f>IF(AND(ISNUMBER(SEARCH("Folio",$A808)),$D808&lt;&gt;""),1,"")</f>
        <v/>
      </c>
      <c r="U808">
        <f>IF($T808=1,COUNTIF($T$9:$T808,1),"")</f>
        <v/>
      </c>
      <c r="V808">
        <f>IF(AND(ISTEXT($A808),LEFT($A809,3)="Pan"),1,"")</f>
        <v/>
      </c>
    </row>
    <row r="809">
      <c r="S809">
        <f>IF(AND(ISTEXT($A809),ISNUMBER(SEARCH(" - ",$A809)),ISERROR(SEARCH("Folio",$A809)),$D809=""),TRIM($A809),$S808)</f>
        <v/>
      </c>
      <c r="T809">
        <f>IF(AND(ISNUMBER(SEARCH("Folio",$A809)),$D809&lt;&gt;""),1,"")</f>
        <v/>
      </c>
      <c r="U809">
        <f>IF($T809=1,COUNTIF($T$9:$T809,1),"")</f>
        <v/>
      </c>
      <c r="V809">
        <f>IF(AND(ISTEXT($A809),LEFT($A810,3)="Pan"),1,"")</f>
        <v/>
      </c>
    </row>
    <row r="810">
      <c r="S810">
        <f>IF(AND(ISTEXT($A810),ISNUMBER(SEARCH(" - ",$A810)),ISERROR(SEARCH("Folio",$A810)),$D810=""),TRIM($A810),$S809)</f>
        <v/>
      </c>
      <c r="T810">
        <f>IF(AND(ISNUMBER(SEARCH("Folio",$A810)),$D810&lt;&gt;""),1,"")</f>
        <v/>
      </c>
      <c r="U810">
        <f>IF($T810=1,COUNTIF($T$9:$T810,1),"")</f>
        <v/>
      </c>
      <c r="V810">
        <f>IF(AND(ISTEXT($A810),LEFT($A811,3)="Pan"),1,"")</f>
        <v/>
      </c>
    </row>
    <row r="811">
      <c r="S811">
        <f>IF(AND(ISTEXT($A811),ISNUMBER(SEARCH(" - ",$A811)),ISERROR(SEARCH("Folio",$A811)),$D811=""),TRIM($A811),$S810)</f>
        <v/>
      </c>
      <c r="T811">
        <f>IF(AND(ISNUMBER(SEARCH("Folio",$A811)),$D811&lt;&gt;""),1,"")</f>
        <v/>
      </c>
      <c r="U811">
        <f>IF($T811=1,COUNTIF($T$9:$T811,1),"")</f>
        <v/>
      </c>
      <c r="V811">
        <f>IF(AND(ISTEXT($A811),LEFT($A812,3)="Pan"),1,"")</f>
        <v/>
      </c>
    </row>
    <row r="812">
      <c r="S812">
        <f>IF(AND(ISTEXT($A812),ISNUMBER(SEARCH(" - ",$A812)),ISERROR(SEARCH("Folio",$A812)),$D812=""),TRIM($A812),$S811)</f>
        <v/>
      </c>
      <c r="T812">
        <f>IF(AND(ISNUMBER(SEARCH("Folio",$A812)),$D812&lt;&gt;""),1,"")</f>
        <v/>
      </c>
      <c r="U812">
        <f>IF($T812=1,COUNTIF($T$9:$T812,1),"")</f>
        <v/>
      </c>
      <c r="V812">
        <f>IF(AND(ISTEXT($A812),LEFT($A813,3)="Pan"),1,"")</f>
        <v/>
      </c>
    </row>
    <row r="813">
      <c r="S813">
        <f>IF(AND(ISTEXT($A813),ISNUMBER(SEARCH(" - ",$A813)),ISERROR(SEARCH("Folio",$A813)),$D813=""),TRIM($A813),$S812)</f>
        <v/>
      </c>
      <c r="T813">
        <f>IF(AND(ISNUMBER(SEARCH("Folio",$A813)),$D813&lt;&gt;""),1,"")</f>
        <v/>
      </c>
      <c r="U813">
        <f>IF($T813=1,COUNTIF($T$9:$T813,1),"")</f>
        <v/>
      </c>
      <c r="V813">
        <f>IF(AND(ISTEXT($A813),LEFT($A814,3)="Pan"),1,"")</f>
        <v/>
      </c>
    </row>
    <row r="814">
      <c r="S814">
        <f>IF(AND(ISTEXT($A814),ISNUMBER(SEARCH(" - ",$A814)),ISERROR(SEARCH("Folio",$A814)),$D814=""),TRIM($A814),$S813)</f>
        <v/>
      </c>
      <c r="T814">
        <f>IF(AND(ISNUMBER(SEARCH("Folio",$A814)),$D814&lt;&gt;""),1,"")</f>
        <v/>
      </c>
      <c r="U814">
        <f>IF($T814=1,COUNTIF($T$9:$T814,1),"")</f>
        <v/>
      </c>
      <c r="V814">
        <f>IF(AND(ISTEXT($A814),LEFT($A815,3)="Pan"),1,"")</f>
        <v/>
      </c>
    </row>
    <row r="815">
      <c r="S815">
        <f>IF(AND(ISTEXT($A815),ISNUMBER(SEARCH(" - ",$A815)),ISERROR(SEARCH("Folio",$A815)),$D815=""),TRIM($A815),$S814)</f>
        <v/>
      </c>
      <c r="T815">
        <f>IF(AND(ISNUMBER(SEARCH("Folio",$A815)),$D815&lt;&gt;""),1,"")</f>
        <v/>
      </c>
      <c r="U815">
        <f>IF($T815=1,COUNTIF($T$9:$T815,1),"")</f>
        <v/>
      </c>
      <c r="V815">
        <f>IF(AND(ISTEXT($A815),LEFT($A816,3)="Pan"),1,"")</f>
        <v/>
      </c>
    </row>
    <row r="816">
      <c r="S816">
        <f>IF(AND(ISTEXT($A816),ISNUMBER(SEARCH(" - ",$A816)),ISERROR(SEARCH("Folio",$A816)),$D816=""),TRIM($A816),$S815)</f>
        <v/>
      </c>
      <c r="T816">
        <f>IF(AND(ISNUMBER(SEARCH("Folio",$A816)),$D816&lt;&gt;""),1,"")</f>
        <v/>
      </c>
      <c r="U816">
        <f>IF($T816=1,COUNTIF($T$9:$T816,1),"")</f>
        <v/>
      </c>
      <c r="V816">
        <f>IF(AND(ISTEXT($A816),LEFT($A817,3)="Pan"),1,"")</f>
        <v/>
      </c>
    </row>
    <row r="817">
      <c r="S817">
        <f>IF(AND(ISTEXT($A817),ISNUMBER(SEARCH(" - ",$A817)),ISERROR(SEARCH("Folio",$A817)),$D817=""),TRIM($A817),$S816)</f>
        <v/>
      </c>
      <c r="T817">
        <f>IF(AND(ISNUMBER(SEARCH("Folio",$A817)),$D817&lt;&gt;""),1,"")</f>
        <v/>
      </c>
      <c r="U817">
        <f>IF($T817=1,COUNTIF($T$9:$T817,1),"")</f>
        <v/>
      </c>
      <c r="V817">
        <f>IF(AND(ISTEXT($A817),LEFT($A818,3)="Pan"),1,"")</f>
        <v/>
      </c>
    </row>
    <row r="818">
      <c r="S818">
        <f>IF(AND(ISTEXT($A818),ISNUMBER(SEARCH(" - ",$A818)),ISERROR(SEARCH("Folio",$A818)),$D818=""),TRIM($A818),$S817)</f>
        <v/>
      </c>
      <c r="T818">
        <f>IF(AND(ISNUMBER(SEARCH("Folio",$A818)),$D818&lt;&gt;""),1,"")</f>
        <v/>
      </c>
      <c r="U818">
        <f>IF($T818=1,COUNTIF($T$9:$T818,1),"")</f>
        <v/>
      </c>
      <c r="V818">
        <f>IF(AND(ISTEXT($A818),LEFT($A819,3)="Pan"),1,"")</f>
        <v/>
      </c>
    </row>
    <row r="819">
      <c r="S819">
        <f>IF(AND(ISTEXT($A819),ISNUMBER(SEARCH(" - ",$A819)),ISERROR(SEARCH("Folio",$A819)),$D819=""),TRIM($A819),$S818)</f>
        <v/>
      </c>
      <c r="T819">
        <f>IF(AND(ISNUMBER(SEARCH("Folio",$A819)),$D819&lt;&gt;""),1,"")</f>
        <v/>
      </c>
      <c r="U819">
        <f>IF($T819=1,COUNTIF($T$9:$T819,1),"")</f>
        <v/>
      </c>
      <c r="V819">
        <f>IF(AND(ISTEXT($A819),LEFT($A820,3)="Pan"),1,"")</f>
        <v/>
      </c>
    </row>
    <row r="820">
      <c r="S820">
        <f>IF(AND(ISTEXT($A820),ISNUMBER(SEARCH(" - ",$A820)),ISERROR(SEARCH("Folio",$A820)),$D820=""),TRIM($A820),$S819)</f>
        <v/>
      </c>
      <c r="T820">
        <f>IF(AND(ISNUMBER(SEARCH("Folio",$A820)),$D820&lt;&gt;""),1,"")</f>
        <v/>
      </c>
      <c r="U820">
        <f>IF($T820=1,COUNTIF($T$9:$T820,1),"")</f>
        <v/>
      </c>
      <c r="V820">
        <f>IF(AND(ISTEXT($A820),LEFT($A821,3)="Pan"),1,"")</f>
        <v/>
      </c>
    </row>
    <row r="821">
      <c r="S821">
        <f>IF(AND(ISTEXT($A821),ISNUMBER(SEARCH(" - ",$A821)),ISERROR(SEARCH("Folio",$A821)),$D821=""),TRIM($A821),$S820)</f>
        <v/>
      </c>
      <c r="T821">
        <f>IF(AND(ISNUMBER(SEARCH("Folio",$A821)),$D821&lt;&gt;""),1,"")</f>
        <v/>
      </c>
      <c r="U821">
        <f>IF($T821=1,COUNTIF($T$9:$T821,1),"")</f>
        <v/>
      </c>
      <c r="V821">
        <f>IF(AND(ISTEXT($A821),LEFT($A822,3)="Pan"),1,"")</f>
        <v/>
      </c>
    </row>
    <row r="822">
      <c r="S822">
        <f>IF(AND(ISTEXT($A822),ISNUMBER(SEARCH(" - ",$A822)),ISERROR(SEARCH("Folio",$A822)),$D822=""),TRIM($A822),$S821)</f>
        <v/>
      </c>
      <c r="T822">
        <f>IF(AND(ISNUMBER(SEARCH("Folio",$A822)),$D822&lt;&gt;""),1,"")</f>
        <v/>
      </c>
      <c r="U822">
        <f>IF($T822=1,COUNTIF($T$9:$T822,1),"")</f>
        <v/>
      </c>
      <c r="V822">
        <f>IF(AND(ISTEXT($A822),LEFT($A823,3)="Pan"),1,"")</f>
        <v/>
      </c>
    </row>
    <row r="823">
      <c r="S823">
        <f>IF(AND(ISTEXT($A823),ISNUMBER(SEARCH(" - ",$A823)),ISERROR(SEARCH("Folio",$A823)),$D823=""),TRIM($A823),$S822)</f>
        <v/>
      </c>
      <c r="T823">
        <f>IF(AND(ISNUMBER(SEARCH("Folio",$A823)),$D823&lt;&gt;""),1,"")</f>
        <v/>
      </c>
      <c r="U823">
        <f>IF($T823=1,COUNTIF($T$9:$T823,1),"")</f>
        <v/>
      </c>
      <c r="V823">
        <f>IF(AND(ISTEXT($A823),LEFT($A824,3)="Pan"),1,"")</f>
        <v/>
      </c>
    </row>
    <row r="824">
      <c r="S824">
        <f>IF(AND(ISTEXT($A824),ISNUMBER(SEARCH(" - ",$A824)),ISERROR(SEARCH("Folio",$A824)),$D824=""),TRIM($A824),$S823)</f>
        <v/>
      </c>
      <c r="T824">
        <f>IF(AND(ISNUMBER(SEARCH("Folio",$A824)),$D824&lt;&gt;""),1,"")</f>
        <v/>
      </c>
      <c r="U824">
        <f>IF($T824=1,COUNTIF($T$9:$T824,1),"")</f>
        <v/>
      </c>
      <c r="V824">
        <f>IF(AND(ISTEXT($A824),LEFT($A825,3)="Pan"),1,"")</f>
        <v/>
      </c>
    </row>
    <row r="825">
      <c r="S825">
        <f>IF(AND(ISTEXT($A825),ISNUMBER(SEARCH(" - ",$A825)),ISERROR(SEARCH("Folio",$A825)),$D825=""),TRIM($A825),$S824)</f>
        <v/>
      </c>
      <c r="T825">
        <f>IF(AND(ISNUMBER(SEARCH("Folio",$A825)),$D825&lt;&gt;""),1,"")</f>
        <v/>
      </c>
      <c r="U825">
        <f>IF($T825=1,COUNTIF($T$9:$T825,1),"")</f>
        <v/>
      </c>
      <c r="V825">
        <f>IF(AND(ISTEXT($A825),LEFT($A826,3)="Pan"),1,"")</f>
        <v/>
      </c>
    </row>
    <row r="826">
      <c r="S826">
        <f>IF(AND(ISTEXT($A826),ISNUMBER(SEARCH(" - ",$A826)),ISERROR(SEARCH("Folio",$A826)),$D826=""),TRIM($A826),$S825)</f>
        <v/>
      </c>
      <c r="T826">
        <f>IF(AND(ISNUMBER(SEARCH("Folio",$A826)),$D826&lt;&gt;""),1,"")</f>
        <v/>
      </c>
      <c r="U826">
        <f>IF($T826=1,COUNTIF($T$9:$T826,1),"")</f>
        <v/>
      </c>
      <c r="V826">
        <f>IF(AND(ISTEXT($A826),LEFT($A827,3)="Pan"),1,"")</f>
        <v/>
      </c>
    </row>
    <row r="827">
      <c r="S827">
        <f>IF(AND(ISTEXT($A827),ISNUMBER(SEARCH(" - ",$A827)),ISERROR(SEARCH("Folio",$A827)),$D827=""),TRIM($A827),$S826)</f>
        <v/>
      </c>
      <c r="T827">
        <f>IF(AND(ISNUMBER(SEARCH("Folio",$A827)),$D827&lt;&gt;""),1,"")</f>
        <v/>
      </c>
      <c r="U827">
        <f>IF($T827=1,COUNTIF($T$9:$T827,1),"")</f>
        <v/>
      </c>
      <c r="V827">
        <f>IF(AND(ISTEXT($A827),LEFT($A828,3)="Pan"),1,"")</f>
        <v/>
      </c>
    </row>
    <row r="828">
      <c r="S828">
        <f>IF(AND(ISTEXT($A828),ISNUMBER(SEARCH(" - ",$A828)),ISERROR(SEARCH("Folio",$A828)),$D828=""),TRIM($A828),$S827)</f>
        <v/>
      </c>
      <c r="T828">
        <f>IF(AND(ISNUMBER(SEARCH("Folio",$A828)),$D828&lt;&gt;""),1,"")</f>
        <v/>
      </c>
      <c r="U828">
        <f>IF($T828=1,COUNTIF($T$9:$T828,1),"")</f>
        <v/>
      </c>
      <c r="V828">
        <f>IF(AND(ISTEXT($A828),LEFT($A829,3)="Pan"),1,"")</f>
        <v/>
      </c>
    </row>
    <row r="829">
      <c r="S829">
        <f>IF(AND(ISTEXT($A829),ISNUMBER(SEARCH(" - ",$A829)),ISERROR(SEARCH("Folio",$A829)),$D829=""),TRIM($A829),$S828)</f>
        <v/>
      </c>
      <c r="T829">
        <f>IF(AND(ISNUMBER(SEARCH("Folio",$A829)),$D829&lt;&gt;""),1,"")</f>
        <v/>
      </c>
      <c r="U829">
        <f>IF($T829=1,COUNTIF($T$9:$T829,1),"")</f>
        <v/>
      </c>
      <c r="V829">
        <f>IF(AND(ISTEXT($A829),LEFT($A830,3)="Pan"),1,"")</f>
        <v/>
      </c>
    </row>
    <row r="830">
      <c r="S830">
        <f>IF(AND(ISTEXT($A830),ISNUMBER(SEARCH(" - ",$A830)),ISERROR(SEARCH("Folio",$A830)),$D830=""),TRIM($A830),$S829)</f>
        <v/>
      </c>
      <c r="T830">
        <f>IF(AND(ISNUMBER(SEARCH("Folio",$A830)),$D830&lt;&gt;""),1,"")</f>
        <v/>
      </c>
      <c r="U830">
        <f>IF($T830=1,COUNTIF($T$9:$T830,1),"")</f>
        <v/>
      </c>
      <c r="V830">
        <f>IF(AND(ISTEXT($A830),LEFT($A831,3)="Pan"),1,"")</f>
        <v/>
      </c>
    </row>
    <row r="831">
      <c r="S831">
        <f>IF(AND(ISTEXT($A831),ISNUMBER(SEARCH(" - ",$A831)),ISERROR(SEARCH("Folio",$A831)),$D831=""),TRIM($A831),$S830)</f>
        <v/>
      </c>
      <c r="T831">
        <f>IF(AND(ISNUMBER(SEARCH("Folio",$A831)),$D831&lt;&gt;""),1,"")</f>
        <v/>
      </c>
      <c r="U831">
        <f>IF($T831=1,COUNTIF($T$9:$T831,1),"")</f>
        <v/>
      </c>
      <c r="V831">
        <f>IF(AND(ISTEXT($A831),LEFT($A832,3)="Pan"),1,"")</f>
        <v/>
      </c>
    </row>
    <row r="832">
      <c r="S832">
        <f>IF(AND(ISTEXT($A832),ISNUMBER(SEARCH(" - ",$A832)),ISERROR(SEARCH("Folio",$A832)),$D832=""),TRIM($A832),$S831)</f>
        <v/>
      </c>
      <c r="T832">
        <f>IF(AND(ISNUMBER(SEARCH("Folio",$A832)),$D832&lt;&gt;""),1,"")</f>
        <v/>
      </c>
      <c r="U832">
        <f>IF($T832=1,COUNTIF($T$9:$T832,1),"")</f>
        <v/>
      </c>
      <c r="V832">
        <f>IF(AND(ISTEXT($A832),LEFT($A833,3)="Pan"),1,"")</f>
        <v/>
      </c>
    </row>
    <row r="833">
      <c r="S833">
        <f>IF(AND(ISTEXT($A833),ISNUMBER(SEARCH(" - ",$A833)),ISERROR(SEARCH("Folio",$A833)),$D833=""),TRIM($A833),$S832)</f>
        <v/>
      </c>
      <c r="T833">
        <f>IF(AND(ISNUMBER(SEARCH("Folio",$A833)),$D833&lt;&gt;""),1,"")</f>
        <v/>
      </c>
      <c r="U833">
        <f>IF($T833=1,COUNTIF($T$9:$T833,1),"")</f>
        <v/>
      </c>
      <c r="V833">
        <f>IF(AND(ISTEXT($A833),LEFT($A834,3)="Pan"),1,"")</f>
        <v/>
      </c>
    </row>
    <row r="834">
      <c r="S834">
        <f>IF(AND(ISTEXT($A834),ISNUMBER(SEARCH(" - ",$A834)),ISERROR(SEARCH("Folio",$A834)),$D834=""),TRIM($A834),$S833)</f>
        <v/>
      </c>
      <c r="T834">
        <f>IF(AND(ISNUMBER(SEARCH("Folio",$A834)),$D834&lt;&gt;""),1,"")</f>
        <v/>
      </c>
      <c r="U834">
        <f>IF($T834=1,COUNTIF($T$9:$T834,1),"")</f>
        <v/>
      </c>
      <c r="V834">
        <f>IF(AND(ISTEXT($A834),LEFT($A835,3)="Pan"),1,"")</f>
        <v/>
      </c>
    </row>
    <row r="835">
      <c r="S835">
        <f>IF(AND(ISTEXT($A835),ISNUMBER(SEARCH(" - ",$A835)),ISERROR(SEARCH("Folio",$A835)),$D835=""),TRIM($A835),$S834)</f>
        <v/>
      </c>
      <c r="T835">
        <f>IF(AND(ISNUMBER(SEARCH("Folio",$A835)),$D835&lt;&gt;""),1,"")</f>
        <v/>
      </c>
      <c r="U835">
        <f>IF($T835=1,COUNTIF($T$9:$T835,1),"")</f>
        <v/>
      </c>
      <c r="V835">
        <f>IF(AND(ISTEXT($A835),LEFT($A836,3)="Pan"),1,"")</f>
        <v/>
      </c>
    </row>
    <row r="836">
      <c r="S836">
        <f>IF(AND(ISTEXT($A836),ISNUMBER(SEARCH(" - ",$A836)),ISERROR(SEARCH("Folio",$A836)),$D836=""),TRIM($A836),$S835)</f>
        <v/>
      </c>
      <c r="T836">
        <f>IF(AND(ISNUMBER(SEARCH("Folio",$A836)),$D836&lt;&gt;""),1,"")</f>
        <v/>
      </c>
      <c r="U836">
        <f>IF($T836=1,COUNTIF($T$9:$T836,1),"")</f>
        <v/>
      </c>
      <c r="V836">
        <f>IF(AND(ISTEXT($A836),LEFT($A837,3)="Pan"),1,"")</f>
        <v/>
      </c>
    </row>
    <row r="837">
      <c r="S837">
        <f>IF(AND(ISTEXT($A837),ISNUMBER(SEARCH(" - ",$A837)),ISERROR(SEARCH("Folio",$A837)),$D837=""),TRIM($A837),$S836)</f>
        <v/>
      </c>
      <c r="T837">
        <f>IF(AND(ISNUMBER(SEARCH("Folio",$A837)),$D837&lt;&gt;""),1,"")</f>
        <v/>
      </c>
      <c r="U837">
        <f>IF($T837=1,COUNTIF($T$9:$T837,1),"")</f>
        <v/>
      </c>
      <c r="V837">
        <f>IF(AND(ISTEXT($A837),LEFT($A838,3)="Pan"),1,"")</f>
        <v/>
      </c>
    </row>
    <row r="838">
      <c r="S838">
        <f>IF(AND(ISTEXT($A838),ISNUMBER(SEARCH(" - ",$A838)),ISERROR(SEARCH("Folio",$A838)),$D838=""),TRIM($A838),$S837)</f>
        <v/>
      </c>
      <c r="T838">
        <f>IF(AND(ISNUMBER(SEARCH("Folio",$A838)),$D838&lt;&gt;""),1,"")</f>
        <v/>
      </c>
      <c r="U838">
        <f>IF($T838=1,COUNTIF($T$9:$T838,1),"")</f>
        <v/>
      </c>
      <c r="V838">
        <f>IF(AND(ISTEXT($A838),LEFT($A839,3)="Pan"),1,"")</f>
        <v/>
      </c>
    </row>
    <row r="839">
      <c r="S839">
        <f>IF(AND(ISTEXT($A839),ISNUMBER(SEARCH(" - ",$A839)),ISERROR(SEARCH("Folio",$A839)),$D839=""),TRIM($A839),$S838)</f>
        <v/>
      </c>
      <c r="T839">
        <f>IF(AND(ISNUMBER(SEARCH("Folio",$A839)),$D839&lt;&gt;""),1,"")</f>
        <v/>
      </c>
      <c r="U839">
        <f>IF($T839=1,COUNTIF($T$9:$T839,1),"")</f>
        <v/>
      </c>
      <c r="V839">
        <f>IF(AND(ISTEXT($A839),LEFT($A840,3)="Pan"),1,"")</f>
        <v/>
      </c>
    </row>
    <row r="840">
      <c r="S840">
        <f>IF(AND(ISTEXT($A840),ISNUMBER(SEARCH(" - ",$A840)),ISERROR(SEARCH("Folio",$A840)),$D840=""),TRIM($A840),$S839)</f>
        <v/>
      </c>
      <c r="T840">
        <f>IF(AND(ISNUMBER(SEARCH("Folio",$A840)),$D840&lt;&gt;""),1,"")</f>
        <v/>
      </c>
      <c r="U840">
        <f>IF($T840=1,COUNTIF($T$9:$T840,1),"")</f>
        <v/>
      </c>
      <c r="V840">
        <f>IF(AND(ISTEXT($A840),LEFT($A841,3)="Pan"),1,"")</f>
        <v/>
      </c>
    </row>
    <row r="841">
      <c r="S841">
        <f>IF(AND(ISTEXT($A841),ISNUMBER(SEARCH(" - ",$A841)),ISERROR(SEARCH("Folio",$A841)),$D841=""),TRIM($A841),$S840)</f>
        <v/>
      </c>
      <c r="T841">
        <f>IF(AND(ISNUMBER(SEARCH("Folio",$A841)),$D841&lt;&gt;""),1,"")</f>
        <v/>
      </c>
      <c r="U841">
        <f>IF($T841=1,COUNTIF($T$9:$T841,1),"")</f>
        <v/>
      </c>
      <c r="V841">
        <f>IF(AND(ISTEXT($A841),LEFT($A842,3)="Pan"),1,"")</f>
        <v/>
      </c>
    </row>
    <row r="842">
      <c r="S842">
        <f>IF(AND(ISTEXT($A842),ISNUMBER(SEARCH(" - ",$A842)),ISERROR(SEARCH("Folio",$A842)),$D842=""),TRIM($A842),$S841)</f>
        <v/>
      </c>
      <c r="T842">
        <f>IF(AND(ISNUMBER(SEARCH("Folio",$A842)),$D842&lt;&gt;""),1,"")</f>
        <v/>
      </c>
      <c r="U842">
        <f>IF($T842=1,COUNTIF($T$9:$T842,1),"")</f>
        <v/>
      </c>
      <c r="V842">
        <f>IF(AND(ISTEXT($A842),LEFT($A843,3)="Pan"),1,"")</f>
        <v/>
      </c>
    </row>
    <row r="843">
      <c r="S843">
        <f>IF(AND(ISTEXT($A843),ISNUMBER(SEARCH(" - ",$A843)),ISERROR(SEARCH("Folio",$A843)),$D843=""),TRIM($A843),$S842)</f>
        <v/>
      </c>
      <c r="T843">
        <f>IF(AND(ISNUMBER(SEARCH("Folio",$A843)),$D843&lt;&gt;""),1,"")</f>
        <v/>
      </c>
      <c r="U843">
        <f>IF($T843=1,COUNTIF($T$9:$T843,1),"")</f>
        <v/>
      </c>
      <c r="V843">
        <f>IF(AND(ISTEXT($A843),LEFT($A844,3)="Pan"),1,"")</f>
        <v/>
      </c>
    </row>
    <row r="844">
      <c r="S844">
        <f>IF(AND(ISTEXT($A844),ISNUMBER(SEARCH(" - ",$A844)),ISERROR(SEARCH("Folio",$A844)),$D844=""),TRIM($A844),$S843)</f>
        <v/>
      </c>
      <c r="T844">
        <f>IF(AND(ISNUMBER(SEARCH("Folio",$A844)),$D844&lt;&gt;""),1,"")</f>
        <v/>
      </c>
      <c r="U844">
        <f>IF($T844=1,COUNTIF($T$9:$T844,1),"")</f>
        <v/>
      </c>
      <c r="V844">
        <f>IF(AND(ISTEXT($A844),LEFT($A845,3)="Pan"),1,"")</f>
        <v/>
      </c>
    </row>
    <row r="845">
      <c r="S845">
        <f>IF(AND(ISTEXT($A845),ISNUMBER(SEARCH(" - ",$A845)),ISERROR(SEARCH("Folio",$A845)),$D845=""),TRIM($A845),$S844)</f>
        <v/>
      </c>
      <c r="T845">
        <f>IF(AND(ISNUMBER(SEARCH("Folio",$A845)),$D845&lt;&gt;""),1,"")</f>
        <v/>
      </c>
      <c r="U845">
        <f>IF($T845=1,COUNTIF($T$9:$T845,1),"")</f>
        <v/>
      </c>
      <c r="V845">
        <f>IF(AND(ISTEXT($A845),LEFT($A846,3)="Pan"),1,"")</f>
        <v/>
      </c>
    </row>
    <row r="846">
      <c r="S846">
        <f>IF(AND(ISTEXT($A846),ISNUMBER(SEARCH(" - ",$A846)),ISERROR(SEARCH("Folio",$A846)),$D846=""),TRIM($A846),$S845)</f>
        <v/>
      </c>
      <c r="T846">
        <f>IF(AND(ISNUMBER(SEARCH("Folio",$A846)),$D846&lt;&gt;""),1,"")</f>
        <v/>
      </c>
      <c r="U846">
        <f>IF($T846=1,COUNTIF($T$9:$T846,1),"")</f>
        <v/>
      </c>
      <c r="V846">
        <f>IF(AND(ISTEXT($A846),LEFT($A847,3)="Pan"),1,"")</f>
        <v/>
      </c>
    </row>
    <row r="847">
      <c r="S847">
        <f>IF(AND(ISTEXT($A847),ISNUMBER(SEARCH(" - ",$A847)),ISERROR(SEARCH("Folio",$A847)),$D847=""),TRIM($A847),$S846)</f>
        <v/>
      </c>
      <c r="T847">
        <f>IF(AND(ISNUMBER(SEARCH("Folio",$A847)),$D847&lt;&gt;""),1,"")</f>
        <v/>
      </c>
      <c r="U847">
        <f>IF($T847=1,COUNTIF($T$9:$T847,1),"")</f>
        <v/>
      </c>
      <c r="V847">
        <f>IF(AND(ISTEXT($A847),LEFT($A848,3)="Pan"),1,"")</f>
        <v/>
      </c>
    </row>
    <row r="848">
      <c r="S848">
        <f>IF(AND(ISTEXT($A848),ISNUMBER(SEARCH(" - ",$A848)),ISERROR(SEARCH("Folio",$A848)),$D848=""),TRIM($A848),$S847)</f>
        <v/>
      </c>
      <c r="T848">
        <f>IF(AND(ISNUMBER(SEARCH("Folio",$A848)),$D848&lt;&gt;""),1,"")</f>
        <v/>
      </c>
      <c r="U848">
        <f>IF($T848=1,COUNTIF($T$9:$T848,1),"")</f>
        <v/>
      </c>
      <c r="V848">
        <f>IF(AND(ISTEXT($A848),LEFT($A849,3)="Pan"),1,"")</f>
        <v/>
      </c>
    </row>
    <row r="849">
      <c r="S849">
        <f>IF(AND(ISTEXT($A849),ISNUMBER(SEARCH(" - ",$A849)),ISERROR(SEARCH("Folio",$A849)),$D849=""),TRIM($A849),$S848)</f>
        <v/>
      </c>
      <c r="T849">
        <f>IF(AND(ISNUMBER(SEARCH("Folio",$A849)),$D849&lt;&gt;""),1,"")</f>
        <v/>
      </c>
      <c r="U849">
        <f>IF($T849=1,COUNTIF($T$9:$T849,1),"")</f>
        <v/>
      </c>
      <c r="V849">
        <f>IF(AND(ISTEXT($A849),LEFT($A850,3)="Pan"),1,"")</f>
        <v/>
      </c>
    </row>
    <row r="850">
      <c r="S850">
        <f>IF(AND(ISTEXT($A850),ISNUMBER(SEARCH(" - ",$A850)),ISERROR(SEARCH("Folio",$A850)),$D850=""),TRIM($A850),$S849)</f>
        <v/>
      </c>
      <c r="T850">
        <f>IF(AND(ISNUMBER(SEARCH("Folio",$A850)),$D850&lt;&gt;""),1,"")</f>
        <v/>
      </c>
      <c r="U850">
        <f>IF($T850=1,COUNTIF($T$9:$T850,1),"")</f>
        <v/>
      </c>
      <c r="V850">
        <f>IF(AND(ISTEXT($A850),LEFT($A851,3)="Pan"),1,"")</f>
        <v/>
      </c>
    </row>
    <row r="851">
      <c r="S851">
        <f>IF(AND(ISTEXT($A851),ISNUMBER(SEARCH(" - ",$A851)),ISERROR(SEARCH("Folio",$A851)),$D851=""),TRIM($A851),$S850)</f>
        <v/>
      </c>
      <c r="T851">
        <f>IF(AND(ISNUMBER(SEARCH("Folio",$A851)),$D851&lt;&gt;""),1,"")</f>
        <v/>
      </c>
      <c r="U851">
        <f>IF($T851=1,COUNTIF($T$9:$T851,1),"")</f>
        <v/>
      </c>
      <c r="V851">
        <f>IF(AND(ISTEXT($A851),LEFT($A852,3)="Pan"),1,"")</f>
        <v/>
      </c>
    </row>
    <row r="852">
      <c r="S852">
        <f>IF(AND(ISTEXT($A852),ISNUMBER(SEARCH(" - ",$A852)),ISERROR(SEARCH("Folio",$A852)),$D852=""),TRIM($A852),$S851)</f>
        <v/>
      </c>
      <c r="T852">
        <f>IF(AND(ISNUMBER(SEARCH("Folio",$A852)),$D852&lt;&gt;""),1,"")</f>
        <v/>
      </c>
      <c r="U852">
        <f>IF($T852=1,COUNTIF($T$9:$T852,1),"")</f>
        <v/>
      </c>
      <c r="V852">
        <f>IF(AND(ISTEXT($A852),LEFT($A853,3)="Pan"),1,"")</f>
        <v/>
      </c>
    </row>
    <row r="853">
      <c r="S853">
        <f>IF(AND(ISTEXT($A853),ISNUMBER(SEARCH(" - ",$A853)),ISERROR(SEARCH("Folio",$A853)),$D853=""),TRIM($A853),$S852)</f>
        <v/>
      </c>
      <c r="T853">
        <f>IF(AND(ISNUMBER(SEARCH("Folio",$A853)),$D853&lt;&gt;""),1,"")</f>
        <v/>
      </c>
      <c r="U853">
        <f>IF($T853=1,COUNTIF($T$9:$T853,1),"")</f>
        <v/>
      </c>
      <c r="V853">
        <f>IF(AND(ISTEXT($A853),LEFT($A854,3)="Pan"),1,"")</f>
        <v/>
      </c>
    </row>
    <row r="854">
      <c r="S854">
        <f>IF(AND(ISTEXT($A854),ISNUMBER(SEARCH(" - ",$A854)),ISERROR(SEARCH("Folio",$A854)),$D854=""),TRIM($A854),$S853)</f>
        <v/>
      </c>
      <c r="T854">
        <f>IF(AND(ISNUMBER(SEARCH("Folio",$A854)),$D854&lt;&gt;""),1,"")</f>
        <v/>
      </c>
      <c r="U854">
        <f>IF($T854=1,COUNTIF($T$9:$T854,1),"")</f>
        <v/>
      </c>
      <c r="V854">
        <f>IF(AND(ISTEXT($A854),LEFT($A855,3)="Pan"),1,"")</f>
        <v/>
      </c>
    </row>
    <row r="855">
      <c r="S855">
        <f>IF(AND(ISTEXT($A855),ISNUMBER(SEARCH(" - ",$A855)),ISERROR(SEARCH("Folio",$A855)),$D855=""),TRIM($A855),$S854)</f>
        <v/>
      </c>
      <c r="T855">
        <f>IF(AND(ISNUMBER(SEARCH("Folio",$A855)),$D855&lt;&gt;""),1,"")</f>
        <v/>
      </c>
      <c r="U855">
        <f>IF($T855=1,COUNTIF($T$9:$T855,1),"")</f>
        <v/>
      </c>
      <c r="V855">
        <f>IF(AND(ISTEXT($A855),LEFT($A856,3)="Pan"),1,"")</f>
        <v/>
      </c>
    </row>
    <row r="856">
      <c r="S856">
        <f>IF(AND(ISTEXT($A856),ISNUMBER(SEARCH(" - ",$A856)),ISERROR(SEARCH("Folio",$A856)),$D856=""),TRIM($A856),$S855)</f>
        <v/>
      </c>
      <c r="T856">
        <f>IF(AND(ISNUMBER(SEARCH("Folio",$A856)),$D856&lt;&gt;""),1,"")</f>
        <v/>
      </c>
      <c r="U856">
        <f>IF($T856=1,COUNTIF($T$9:$T856,1),"")</f>
        <v/>
      </c>
      <c r="V856">
        <f>IF(AND(ISTEXT($A856),LEFT($A857,3)="Pan"),1,"")</f>
        <v/>
      </c>
    </row>
    <row r="857">
      <c r="S857">
        <f>IF(AND(ISTEXT($A857),ISNUMBER(SEARCH(" - ",$A857)),ISERROR(SEARCH("Folio",$A857)),$D857=""),TRIM($A857),$S856)</f>
        <v/>
      </c>
      <c r="T857">
        <f>IF(AND(ISNUMBER(SEARCH("Folio",$A857)),$D857&lt;&gt;""),1,"")</f>
        <v/>
      </c>
      <c r="U857">
        <f>IF($T857=1,COUNTIF($T$9:$T857,1),"")</f>
        <v/>
      </c>
      <c r="V857">
        <f>IF(AND(ISTEXT($A857),LEFT($A858,3)="Pan"),1,"")</f>
        <v/>
      </c>
    </row>
    <row r="858">
      <c r="S858">
        <f>IF(AND(ISTEXT($A858),ISNUMBER(SEARCH(" - ",$A858)),ISERROR(SEARCH("Folio",$A858)),$D858=""),TRIM($A858),$S857)</f>
        <v/>
      </c>
      <c r="T858">
        <f>IF(AND(ISNUMBER(SEARCH("Folio",$A858)),$D858&lt;&gt;""),1,"")</f>
        <v/>
      </c>
      <c r="U858">
        <f>IF($T858=1,COUNTIF($T$9:$T858,1),"")</f>
        <v/>
      </c>
      <c r="V858">
        <f>IF(AND(ISTEXT($A858),LEFT($A859,3)="Pan"),1,"")</f>
        <v/>
      </c>
    </row>
    <row r="859">
      <c r="S859">
        <f>IF(AND(ISTEXT($A859),ISNUMBER(SEARCH(" - ",$A859)),ISERROR(SEARCH("Folio",$A859)),$D859=""),TRIM($A859),$S858)</f>
        <v/>
      </c>
      <c r="T859">
        <f>IF(AND(ISNUMBER(SEARCH("Folio",$A859)),$D859&lt;&gt;""),1,"")</f>
        <v/>
      </c>
      <c r="U859">
        <f>IF($T859=1,COUNTIF($T$9:$T859,1),"")</f>
        <v/>
      </c>
      <c r="V859">
        <f>IF(AND(ISTEXT($A859),LEFT($A860,3)="Pan"),1,"")</f>
        <v/>
      </c>
    </row>
    <row r="860">
      <c r="S860">
        <f>IF(AND(ISTEXT($A860),ISNUMBER(SEARCH(" - ",$A860)),ISERROR(SEARCH("Folio",$A860)),$D860=""),TRIM($A860),$S859)</f>
        <v/>
      </c>
      <c r="T860">
        <f>IF(AND(ISNUMBER(SEARCH("Folio",$A860)),$D860&lt;&gt;""),1,"")</f>
        <v/>
      </c>
      <c r="U860">
        <f>IF($T860=1,COUNTIF($T$9:$T860,1),"")</f>
        <v/>
      </c>
      <c r="V860">
        <f>IF(AND(ISTEXT($A860),LEFT($A861,3)="Pan"),1,"")</f>
        <v/>
      </c>
    </row>
    <row r="861">
      <c r="S861">
        <f>IF(AND(ISTEXT($A861),ISNUMBER(SEARCH(" - ",$A861)),ISERROR(SEARCH("Folio",$A861)),$D861=""),TRIM($A861),$S860)</f>
        <v/>
      </c>
      <c r="T861">
        <f>IF(AND(ISNUMBER(SEARCH("Folio",$A861)),$D861&lt;&gt;""),1,"")</f>
        <v/>
      </c>
      <c r="U861">
        <f>IF($T861=1,COUNTIF($T$9:$T861,1),"")</f>
        <v/>
      </c>
      <c r="V861">
        <f>IF(AND(ISTEXT($A861),LEFT($A862,3)="Pan"),1,"")</f>
        <v/>
      </c>
    </row>
    <row r="862">
      <c r="S862">
        <f>IF(AND(ISTEXT($A862),ISNUMBER(SEARCH(" - ",$A862)),ISERROR(SEARCH("Folio",$A862)),$D862=""),TRIM($A862),$S861)</f>
        <v/>
      </c>
      <c r="T862">
        <f>IF(AND(ISNUMBER(SEARCH("Folio",$A862)),$D862&lt;&gt;""),1,"")</f>
        <v/>
      </c>
      <c r="U862">
        <f>IF($T862=1,COUNTIF($T$9:$T862,1),"")</f>
        <v/>
      </c>
      <c r="V862">
        <f>IF(AND(ISTEXT($A862),LEFT($A863,3)="Pan"),1,"")</f>
        <v/>
      </c>
    </row>
    <row r="863">
      <c r="S863">
        <f>IF(AND(ISTEXT($A863),ISNUMBER(SEARCH(" - ",$A863)),ISERROR(SEARCH("Folio",$A863)),$D863=""),TRIM($A863),$S862)</f>
        <v/>
      </c>
      <c r="T863">
        <f>IF(AND(ISNUMBER(SEARCH("Folio",$A863)),$D863&lt;&gt;""),1,"")</f>
        <v/>
      </c>
      <c r="U863">
        <f>IF($T863=1,COUNTIF($T$9:$T863,1),"")</f>
        <v/>
      </c>
      <c r="V863">
        <f>IF(AND(ISTEXT($A863),LEFT($A864,3)="Pan"),1,"")</f>
        <v/>
      </c>
    </row>
    <row r="864">
      <c r="S864">
        <f>IF(AND(ISTEXT($A864),ISNUMBER(SEARCH(" - ",$A864)),ISERROR(SEARCH("Folio",$A864)),$D864=""),TRIM($A864),$S863)</f>
        <v/>
      </c>
      <c r="T864">
        <f>IF(AND(ISNUMBER(SEARCH("Folio",$A864)),$D864&lt;&gt;""),1,"")</f>
        <v/>
      </c>
      <c r="U864">
        <f>IF($T864=1,COUNTIF($T$9:$T864,1),"")</f>
        <v/>
      </c>
      <c r="V864">
        <f>IF(AND(ISTEXT($A864),LEFT($A865,3)="Pan"),1,"")</f>
        <v/>
      </c>
    </row>
    <row r="865">
      <c r="S865">
        <f>IF(AND(ISTEXT($A865),ISNUMBER(SEARCH(" - ",$A865)),ISERROR(SEARCH("Folio",$A865)),$D865=""),TRIM($A865),$S864)</f>
        <v/>
      </c>
      <c r="T865">
        <f>IF(AND(ISNUMBER(SEARCH("Folio",$A865)),$D865&lt;&gt;""),1,"")</f>
        <v/>
      </c>
      <c r="U865">
        <f>IF($T865=1,COUNTIF($T$9:$T865,1),"")</f>
        <v/>
      </c>
      <c r="V865">
        <f>IF(AND(ISTEXT($A865),LEFT($A866,3)="Pan"),1,"")</f>
        <v/>
      </c>
    </row>
    <row r="866">
      <c r="S866">
        <f>IF(AND(ISTEXT($A866),ISNUMBER(SEARCH(" - ",$A866)),ISERROR(SEARCH("Folio",$A866)),$D866=""),TRIM($A866),$S865)</f>
        <v/>
      </c>
      <c r="T866">
        <f>IF(AND(ISNUMBER(SEARCH("Folio",$A866)),$D866&lt;&gt;""),1,"")</f>
        <v/>
      </c>
      <c r="U866">
        <f>IF($T866=1,COUNTIF($T$9:$T866,1),"")</f>
        <v/>
      </c>
      <c r="V866">
        <f>IF(AND(ISTEXT($A866),LEFT($A867,3)="Pan"),1,"")</f>
        <v/>
      </c>
    </row>
    <row r="867">
      <c r="S867">
        <f>IF(AND(ISTEXT($A867),ISNUMBER(SEARCH(" - ",$A867)),ISERROR(SEARCH("Folio",$A867)),$D867=""),TRIM($A867),$S866)</f>
        <v/>
      </c>
      <c r="T867">
        <f>IF(AND(ISNUMBER(SEARCH("Folio",$A867)),$D867&lt;&gt;""),1,"")</f>
        <v/>
      </c>
      <c r="U867">
        <f>IF($T867=1,COUNTIF($T$9:$T867,1),"")</f>
        <v/>
      </c>
      <c r="V867">
        <f>IF(AND(ISTEXT($A867),LEFT($A868,3)="Pan"),1,"")</f>
        <v/>
      </c>
    </row>
    <row r="868">
      <c r="S868">
        <f>IF(AND(ISTEXT($A868),ISNUMBER(SEARCH(" - ",$A868)),ISERROR(SEARCH("Folio",$A868)),$D868=""),TRIM($A868),$S867)</f>
        <v/>
      </c>
      <c r="T868">
        <f>IF(AND(ISNUMBER(SEARCH("Folio",$A868)),$D868&lt;&gt;""),1,"")</f>
        <v/>
      </c>
      <c r="U868">
        <f>IF($T868=1,COUNTIF($T$9:$T868,1),"")</f>
        <v/>
      </c>
      <c r="V868">
        <f>IF(AND(ISTEXT($A868),LEFT($A869,3)="Pan"),1,"")</f>
        <v/>
      </c>
    </row>
    <row r="869">
      <c r="S869">
        <f>IF(AND(ISTEXT($A869),ISNUMBER(SEARCH(" - ",$A869)),ISERROR(SEARCH("Folio",$A869)),$D869=""),TRIM($A869),$S868)</f>
        <v/>
      </c>
      <c r="T869">
        <f>IF(AND(ISNUMBER(SEARCH("Folio",$A869)),$D869&lt;&gt;""),1,"")</f>
        <v/>
      </c>
      <c r="U869">
        <f>IF($T869=1,COUNTIF($T$9:$T869,1),"")</f>
        <v/>
      </c>
      <c r="V869">
        <f>IF(AND(ISTEXT($A869),LEFT($A870,3)="Pan"),1,"")</f>
        <v/>
      </c>
    </row>
    <row r="870">
      <c r="S870">
        <f>IF(AND(ISTEXT($A870),ISNUMBER(SEARCH(" - ",$A870)),ISERROR(SEARCH("Folio",$A870)),$D870=""),TRIM($A870),$S869)</f>
        <v/>
      </c>
      <c r="T870">
        <f>IF(AND(ISNUMBER(SEARCH("Folio",$A870)),$D870&lt;&gt;""),1,"")</f>
        <v/>
      </c>
      <c r="U870">
        <f>IF($T870=1,COUNTIF($T$9:$T870,1),"")</f>
        <v/>
      </c>
      <c r="V870">
        <f>IF(AND(ISTEXT($A870),LEFT($A871,3)="Pan"),1,"")</f>
        <v/>
      </c>
    </row>
    <row r="871">
      <c r="S871">
        <f>IF(AND(ISTEXT($A871),ISNUMBER(SEARCH(" - ",$A871)),ISERROR(SEARCH("Folio",$A871)),$D871=""),TRIM($A871),$S870)</f>
        <v/>
      </c>
      <c r="T871">
        <f>IF(AND(ISNUMBER(SEARCH("Folio",$A871)),$D871&lt;&gt;""),1,"")</f>
        <v/>
      </c>
      <c r="U871">
        <f>IF($T871=1,COUNTIF($T$9:$T871,1),"")</f>
        <v/>
      </c>
      <c r="V871">
        <f>IF(AND(ISTEXT($A871),LEFT($A872,3)="Pan"),1,"")</f>
        <v/>
      </c>
    </row>
    <row r="872">
      <c r="S872">
        <f>IF(AND(ISTEXT($A872),ISNUMBER(SEARCH(" - ",$A872)),ISERROR(SEARCH("Folio",$A872)),$D872=""),TRIM($A872),$S871)</f>
        <v/>
      </c>
      <c r="T872">
        <f>IF(AND(ISNUMBER(SEARCH("Folio",$A872)),$D872&lt;&gt;""),1,"")</f>
        <v/>
      </c>
      <c r="U872">
        <f>IF($T872=1,COUNTIF($T$9:$T872,1),"")</f>
        <v/>
      </c>
      <c r="V872">
        <f>IF(AND(ISTEXT($A872),LEFT($A873,3)="Pan"),1,"")</f>
        <v/>
      </c>
    </row>
    <row r="873">
      <c r="S873">
        <f>IF(AND(ISTEXT($A873),ISNUMBER(SEARCH(" - ",$A873)),ISERROR(SEARCH("Folio",$A873)),$D873=""),TRIM($A873),$S872)</f>
        <v/>
      </c>
      <c r="T873">
        <f>IF(AND(ISNUMBER(SEARCH("Folio",$A873)),$D873&lt;&gt;""),1,"")</f>
        <v/>
      </c>
      <c r="U873">
        <f>IF($T873=1,COUNTIF($T$9:$T873,1),"")</f>
        <v/>
      </c>
      <c r="V873">
        <f>IF(AND(ISTEXT($A873),LEFT($A874,3)="Pan"),1,"")</f>
        <v/>
      </c>
    </row>
    <row r="874">
      <c r="S874">
        <f>IF(AND(ISTEXT($A874),ISNUMBER(SEARCH(" - ",$A874)),ISERROR(SEARCH("Folio",$A874)),$D874=""),TRIM($A874),$S873)</f>
        <v/>
      </c>
      <c r="T874">
        <f>IF(AND(ISNUMBER(SEARCH("Folio",$A874)),$D874&lt;&gt;""),1,"")</f>
        <v/>
      </c>
      <c r="U874">
        <f>IF($T874=1,COUNTIF($T$9:$T874,1),"")</f>
        <v/>
      </c>
      <c r="V874">
        <f>IF(AND(ISTEXT($A874),LEFT($A875,3)="Pan"),1,"")</f>
        <v/>
      </c>
    </row>
    <row r="875">
      <c r="S875">
        <f>IF(AND(ISTEXT($A875),ISNUMBER(SEARCH(" - ",$A875)),ISERROR(SEARCH("Folio",$A875)),$D875=""),TRIM($A875),$S874)</f>
        <v/>
      </c>
      <c r="T875">
        <f>IF(AND(ISNUMBER(SEARCH("Folio",$A875)),$D875&lt;&gt;""),1,"")</f>
        <v/>
      </c>
      <c r="U875">
        <f>IF($T875=1,COUNTIF($T$9:$T875,1),"")</f>
        <v/>
      </c>
      <c r="V875">
        <f>IF(AND(ISTEXT($A875),LEFT($A876,3)="Pan"),1,"")</f>
        <v/>
      </c>
    </row>
    <row r="876">
      <c r="S876">
        <f>IF(AND(ISTEXT($A876),ISNUMBER(SEARCH(" - ",$A876)),ISERROR(SEARCH("Folio",$A876)),$D876=""),TRIM($A876),$S875)</f>
        <v/>
      </c>
      <c r="T876">
        <f>IF(AND(ISNUMBER(SEARCH("Folio",$A876)),$D876&lt;&gt;""),1,"")</f>
        <v/>
      </c>
      <c r="U876">
        <f>IF($T876=1,COUNTIF($T$9:$T876,1),"")</f>
        <v/>
      </c>
      <c r="V876">
        <f>IF(AND(ISTEXT($A876),LEFT($A877,3)="Pan"),1,"")</f>
        <v/>
      </c>
    </row>
    <row r="877">
      <c r="S877">
        <f>IF(AND(ISTEXT($A877),ISNUMBER(SEARCH(" - ",$A877)),ISERROR(SEARCH("Folio",$A877)),$D877=""),TRIM($A877),$S876)</f>
        <v/>
      </c>
      <c r="T877">
        <f>IF(AND(ISNUMBER(SEARCH("Folio",$A877)),$D877&lt;&gt;""),1,"")</f>
        <v/>
      </c>
      <c r="U877">
        <f>IF($T877=1,COUNTIF($T$9:$T877,1),"")</f>
        <v/>
      </c>
      <c r="V877">
        <f>IF(AND(ISTEXT($A877),LEFT($A878,3)="Pan"),1,"")</f>
        <v/>
      </c>
    </row>
    <row r="878">
      <c r="S878">
        <f>IF(AND(ISTEXT($A878),ISNUMBER(SEARCH(" - ",$A878)),ISERROR(SEARCH("Folio",$A878)),$D878=""),TRIM($A878),$S877)</f>
        <v/>
      </c>
      <c r="T878">
        <f>IF(AND(ISNUMBER(SEARCH("Folio",$A878)),$D878&lt;&gt;""),1,"")</f>
        <v/>
      </c>
      <c r="U878">
        <f>IF($T878=1,COUNTIF($T$9:$T878,1),"")</f>
        <v/>
      </c>
      <c r="V878">
        <f>IF(AND(ISTEXT($A878),LEFT($A879,3)="Pan"),1,"")</f>
        <v/>
      </c>
    </row>
    <row r="879">
      <c r="S879">
        <f>IF(AND(ISTEXT($A879),ISNUMBER(SEARCH(" - ",$A879)),ISERROR(SEARCH("Folio",$A879)),$D879=""),TRIM($A879),$S878)</f>
        <v/>
      </c>
      <c r="T879">
        <f>IF(AND(ISNUMBER(SEARCH("Folio",$A879)),$D879&lt;&gt;""),1,"")</f>
        <v/>
      </c>
      <c r="U879">
        <f>IF($T879=1,COUNTIF($T$9:$T879,1),"")</f>
        <v/>
      </c>
      <c r="V879">
        <f>IF(AND(ISTEXT($A879),LEFT($A880,3)="Pan"),1,"")</f>
        <v/>
      </c>
    </row>
    <row r="880">
      <c r="S880">
        <f>IF(AND(ISTEXT($A880),ISNUMBER(SEARCH(" - ",$A880)),ISERROR(SEARCH("Folio",$A880)),$D880=""),TRIM($A880),$S879)</f>
        <v/>
      </c>
      <c r="T880">
        <f>IF(AND(ISNUMBER(SEARCH("Folio",$A880)),$D880&lt;&gt;""),1,"")</f>
        <v/>
      </c>
      <c r="U880">
        <f>IF($T880=1,COUNTIF($T$9:$T880,1),"")</f>
        <v/>
      </c>
      <c r="V880">
        <f>IF(AND(ISTEXT($A880),LEFT($A881,3)="Pan"),1,"")</f>
        <v/>
      </c>
    </row>
    <row r="881">
      <c r="S881">
        <f>IF(AND(ISTEXT($A881),ISNUMBER(SEARCH(" - ",$A881)),ISERROR(SEARCH("Folio",$A881)),$D881=""),TRIM($A881),$S880)</f>
        <v/>
      </c>
      <c r="T881">
        <f>IF(AND(ISNUMBER(SEARCH("Folio",$A881)),$D881&lt;&gt;""),1,"")</f>
        <v/>
      </c>
      <c r="U881">
        <f>IF($T881=1,COUNTIF($T$9:$T881,1),"")</f>
        <v/>
      </c>
      <c r="V881">
        <f>IF(AND(ISTEXT($A881),LEFT($A882,3)="Pan"),1,"")</f>
        <v/>
      </c>
    </row>
    <row r="882">
      <c r="S882">
        <f>IF(AND(ISTEXT($A882),ISNUMBER(SEARCH(" - ",$A882)),ISERROR(SEARCH("Folio",$A882)),$D882=""),TRIM($A882),$S881)</f>
        <v/>
      </c>
      <c r="T882">
        <f>IF(AND(ISNUMBER(SEARCH("Folio",$A882)),$D882&lt;&gt;""),1,"")</f>
        <v/>
      </c>
      <c r="U882">
        <f>IF($T882=1,COUNTIF($T$9:$T882,1),"")</f>
        <v/>
      </c>
      <c r="V882">
        <f>IF(AND(ISTEXT($A882),LEFT($A883,3)="Pan"),1,"")</f>
        <v/>
      </c>
    </row>
    <row r="883">
      <c r="S883">
        <f>IF(AND(ISTEXT($A883),ISNUMBER(SEARCH(" - ",$A883)),ISERROR(SEARCH("Folio",$A883)),$D883=""),TRIM($A883),$S882)</f>
        <v/>
      </c>
      <c r="T883">
        <f>IF(AND(ISNUMBER(SEARCH("Folio",$A883)),$D883&lt;&gt;""),1,"")</f>
        <v/>
      </c>
      <c r="U883">
        <f>IF($T883=1,COUNTIF($T$9:$T883,1),"")</f>
        <v/>
      </c>
      <c r="V883">
        <f>IF(AND(ISTEXT($A883),LEFT($A884,3)="Pan"),1,"")</f>
        <v/>
      </c>
    </row>
    <row r="884">
      <c r="S884">
        <f>IF(AND(ISTEXT($A884),ISNUMBER(SEARCH(" - ",$A884)),ISERROR(SEARCH("Folio",$A884)),$D884=""),TRIM($A884),$S883)</f>
        <v/>
      </c>
      <c r="T884">
        <f>IF(AND(ISNUMBER(SEARCH("Folio",$A884)),$D884&lt;&gt;""),1,"")</f>
        <v/>
      </c>
      <c r="U884">
        <f>IF($T884=1,COUNTIF($T$9:$T884,1),"")</f>
        <v/>
      </c>
      <c r="V884">
        <f>IF(AND(ISTEXT($A884),LEFT($A885,3)="Pan"),1,"")</f>
        <v/>
      </c>
    </row>
    <row r="885">
      <c r="S885">
        <f>IF(AND(ISTEXT($A885),ISNUMBER(SEARCH(" - ",$A885)),ISERROR(SEARCH("Folio",$A885)),$D885=""),TRIM($A885),$S884)</f>
        <v/>
      </c>
      <c r="T885">
        <f>IF(AND(ISNUMBER(SEARCH("Folio",$A885)),$D885&lt;&gt;""),1,"")</f>
        <v/>
      </c>
      <c r="U885">
        <f>IF($T885=1,COUNTIF($T$9:$T885,1),"")</f>
        <v/>
      </c>
      <c r="V885">
        <f>IF(AND(ISTEXT($A885),LEFT($A886,3)="Pan"),1,"")</f>
        <v/>
      </c>
    </row>
    <row r="886">
      <c r="S886">
        <f>IF(AND(ISTEXT($A886),ISNUMBER(SEARCH(" - ",$A886)),ISERROR(SEARCH("Folio",$A886)),$D886=""),TRIM($A886),$S885)</f>
        <v/>
      </c>
      <c r="T886">
        <f>IF(AND(ISNUMBER(SEARCH("Folio",$A886)),$D886&lt;&gt;""),1,"")</f>
        <v/>
      </c>
      <c r="U886">
        <f>IF($T886=1,COUNTIF($T$9:$T886,1),"")</f>
        <v/>
      </c>
      <c r="V886">
        <f>IF(AND(ISTEXT($A886),LEFT($A887,3)="Pan"),1,"")</f>
        <v/>
      </c>
    </row>
    <row r="887">
      <c r="S887">
        <f>IF(AND(ISTEXT($A887),ISNUMBER(SEARCH(" - ",$A887)),ISERROR(SEARCH("Folio",$A887)),$D887=""),TRIM($A887),$S886)</f>
        <v/>
      </c>
      <c r="T887">
        <f>IF(AND(ISNUMBER(SEARCH("Folio",$A887)),$D887&lt;&gt;""),1,"")</f>
        <v/>
      </c>
      <c r="U887">
        <f>IF($T887=1,COUNTIF($T$9:$T887,1),"")</f>
        <v/>
      </c>
      <c r="V887">
        <f>IF(AND(ISTEXT($A887),LEFT($A888,3)="Pan"),1,"")</f>
        <v/>
      </c>
    </row>
    <row r="888">
      <c r="S888">
        <f>IF(AND(ISTEXT($A888),ISNUMBER(SEARCH(" - ",$A888)),ISERROR(SEARCH("Folio",$A888)),$D888=""),TRIM($A888),$S887)</f>
        <v/>
      </c>
      <c r="T888">
        <f>IF(AND(ISNUMBER(SEARCH("Folio",$A888)),$D888&lt;&gt;""),1,"")</f>
        <v/>
      </c>
      <c r="U888">
        <f>IF($T888=1,COUNTIF($T$9:$T888,1),"")</f>
        <v/>
      </c>
      <c r="V888">
        <f>IF(AND(ISTEXT($A888),LEFT($A889,3)="Pan"),1,"")</f>
        <v/>
      </c>
    </row>
    <row r="889">
      <c r="S889">
        <f>IF(AND(ISTEXT($A889),ISNUMBER(SEARCH(" - ",$A889)),ISERROR(SEARCH("Folio",$A889)),$D889=""),TRIM($A889),$S888)</f>
        <v/>
      </c>
      <c r="T889">
        <f>IF(AND(ISNUMBER(SEARCH("Folio",$A889)),$D889&lt;&gt;""),1,"")</f>
        <v/>
      </c>
      <c r="U889">
        <f>IF($T889=1,COUNTIF($T$9:$T889,1),"")</f>
        <v/>
      </c>
      <c r="V889">
        <f>IF(AND(ISTEXT($A889),LEFT($A890,3)="Pan"),1,"")</f>
        <v/>
      </c>
    </row>
    <row r="890">
      <c r="S890">
        <f>IF(AND(ISTEXT($A890),ISNUMBER(SEARCH(" - ",$A890)),ISERROR(SEARCH("Folio",$A890)),$D890=""),TRIM($A890),$S889)</f>
        <v/>
      </c>
      <c r="T890">
        <f>IF(AND(ISNUMBER(SEARCH("Folio",$A890)),$D890&lt;&gt;""),1,"")</f>
        <v/>
      </c>
      <c r="U890">
        <f>IF($T890=1,COUNTIF($T$9:$T890,1),"")</f>
        <v/>
      </c>
      <c r="V890">
        <f>IF(AND(ISTEXT($A890),LEFT($A891,3)="Pan"),1,"")</f>
        <v/>
      </c>
    </row>
    <row r="891">
      <c r="S891">
        <f>IF(AND(ISTEXT($A891),ISNUMBER(SEARCH(" - ",$A891)),ISERROR(SEARCH("Folio",$A891)),$D891=""),TRIM($A891),$S890)</f>
        <v/>
      </c>
      <c r="T891">
        <f>IF(AND(ISNUMBER(SEARCH("Folio",$A891)),$D891&lt;&gt;""),1,"")</f>
        <v/>
      </c>
      <c r="U891">
        <f>IF($T891=1,COUNTIF($T$9:$T891,1),"")</f>
        <v/>
      </c>
      <c r="V891">
        <f>IF(AND(ISTEXT($A891),LEFT($A892,3)="Pan"),1,"")</f>
        <v/>
      </c>
    </row>
    <row r="892">
      <c r="S892">
        <f>IF(AND(ISTEXT($A892),ISNUMBER(SEARCH(" - ",$A892)),ISERROR(SEARCH("Folio",$A892)),$D892=""),TRIM($A892),$S891)</f>
        <v/>
      </c>
      <c r="T892">
        <f>IF(AND(ISNUMBER(SEARCH("Folio",$A892)),$D892&lt;&gt;""),1,"")</f>
        <v/>
      </c>
      <c r="U892">
        <f>IF($T892=1,COUNTIF($T$9:$T892,1),"")</f>
        <v/>
      </c>
      <c r="V892">
        <f>IF(AND(ISTEXT($A892),LEFT($A893,3)="Pan"),1,"")</f>
        <v/>
      </c>
    </row>
    <row r="893">
      <c r="S893">
        <f>IF(AND(ISTEXT($A893),ISNUMBER(SEARCH(" - ",$A893)),ISERROR(SEARCH("Folio",$A893)),$D893=""),TRIM($A893),$S892)</f>
        <v/>
      </c>
      <c r="T893">
        <f>IF(AND(ISNUMBER(SEARCH("Folio",$A893)),$D893&lt;&gt;""),1,"")</f>
        <v/>
      </c>
      <c r="U893">
        <f>IF($T893=1,COUNTIF($T$9:$T893,1),"")</f>
        <v/>
      </c>
      <c r="V893">
        <f>IF(AND(ISTEXT($A893),LEFT($A894,3)="Pan"),1,"")</f>
        <v/>
      </c>
    </row>
    <row r="894">
      <c r="S894">
        <f>IF(AND(ISTEXT($A894),ISNUMBER(SEARCH(" - ",$A894)),ISERROR(SEARCH("Folio",$A894)),$D894=""),TRIM($A894),$S893)</f>
        <v/>
      </c>
      <c r="T894">
        <f>IF(AND(ISNUMBER(SEARCH("Folio",$A894)),$D894&lt;&gt;""),1,"")</f>
        <v/>
      </c>
      <c r="U894">
        <f>IF($T894=1,COUNTIF($T$9:$T894,1),"")</f>
        <v/>
      </c>
      <c r="V894">
        <f>IF(AND(ISTEXT($A894),LEFT($A895,3)="Pan"),1,"")</f>
        <v/>
      </c>
    </row>
    <row r="895">
      <c r="S895">
        <f>IF(AND(ISTEXT($A895),ISNUMBER(SEARCH(" - ",$A895)),ISERROR(SEARCH("Folio",$A895)),$D895=""),TRIM($A895),$S894)</f>
        <v/>
      </c>
      <c r="T895">
        <f>IF(AND(ISNUMBER(SEARCH("Folio",$A895)),$D895&lt;&gt;""),1,"")</f>
        <v/>
      </c>
      <c r="U895">
        <f>IF($T895=1,COUNTIF($T$9:$T895,1),"")</f>
        <v/>
      </c>
      <c r="V895">
        <f>IF(AND(ISTEXT($A895),LEFT($A896,3)="Pan"),1,"")</f>
        <v/>
      </c>
    </row>
    <row r="896">
      <c r="S896">
        <f>IF(AND(ISTEXT($A896),ISNUMBER(SEARCH(" - ",$A896)),ISERROR(SEARCH("Folio",$A896)),$D896=""),TRIM($A896),$S895)</f>
        <v/>
      </c>
      <c r="T896">
        <f>IF(AND(ISNUMBER(SEARCH("Folio",$A896)),$D896&lt;&gt;""),1,"")</f>
        <v/>
      </c>
      <c r="U896">
        <f>IF($T896=1,COUNTIF($T$9:$T896,1),"")</f>
        <v/>
      </c>
      <c r="V896">
        <f>IF(AND(ISTEXT($A896),LEFT($A897,3)="Pan"),1,"")</f>
        <v/>
      </c>
    </row>
    <row r="897">
      <c r="S897">
        <f>IF(AND(ISTEXT($A897),ISNUMBER(SEARCH(" - ",$A897)),ISERROR(SEARCH("Folio",$A897)),$D897=""),TRIM($A897),$S896)</f>
        <v/>
      </c>
      <c r="T897">
        <f>IF(AND(ISNUMBER(SEARCH("Folio",$A897)),$D897&lt;&gt;""),1,"")</f>
        <v/>
      </c>
      <c r="U897">
        <f>IF($T897=1,COUNTIF($T$9:$T897,1),"")</f>
        <v/>
      </c>
      <c r="V897">
        <f>IF(AND(ISTEXT($A897),LEFT($A898,3)="Pan"),1,"")</f>
        <v/>
      </c>
    </row>
    <row r="898">
      <c r="S898">
        <f>IF(AND(ISTEXT($A898),ISNUMBER(SEARCH(" - ",$A898)),ISERROR(SEARCH("Folio",$A898)),$D898=""),TRIM($A898),$S897)</f>
        <v/>
      </c>
      <c r="T898">
        <f>IF(AND(ISNUMBER(SEARCH("Folio",$A898)),$D898&lt;&gt;""),1,"")</f>
        <v/>
      </c>
      <c r="U898">
        <f>IF($T898=1,COUNTIF($T$9:$T898,1),"")</f>
        <v/>
      </c>
      <c r="V898">
        <f>IF(AND(ISTEXT($A898),LEFT($A899,3)="Pan"),1,"")</f>
        <v/>
      </c>
    </row>
    <row r="899">
      <c r="S899">
        <f>IF(AND(ISTEXT($A899),ISNUMBER(SEARCH(" - ",$A899)),ISERROR(SEARCH("Folio",$A899)),$D899=""),TRIM($A899),$S898)</f>
        <v/>
      </c>
      <c r="T899">
        <f>IF(AND(ISNUMBER(SEARCH("Folio",$A899)),$D899&lt;&gt;""),1,"")</f>
        <v/>
      </c>
      <c r="U899">
        <f>IF($T899=1,COUNTIF($T$9:$T899,1),"")</f>
        <v/>
      </c>
      <c r="V899">
        <f>IF(AND(ISTEXT($A899),LEFT($A900,3)="Pan"),1,"")</f>
        <v/>
      </c>
    </row>
    <row r="900">
      <c r="S900">
        <f>IF(AND(ISTEXT($A900),ISNUMBER(SEARCH(" - ",$A900)),ISERROR(SEARCH("Folio",$A900)),$D900=""),TRIM($A900),$S899)</f>
        <v/>
      </c>
      <c r="T900">
        <f>IF(AND(ISNUMBER(SEARCH("Folio",$A900)),$D900&lt;&gt;""),1,"")</f>
        <v/>
      </c>
      <c r="U900">
        <f>IF($T900=1,COUNTIF($T$9:$T900,1),"")</f>
        <v/>
      </c>
      <c r="V900">
        <f>IF(AND(ISTEXT($A900),LEFT($A901,3)="Pan"),1,"")</f>
        <v/>
      </c>
    </row>
    <row r="901">
      <c r="S901">
        <f>IF(AND(ISTEXT($A901),ISNUMBER(SEARCH(" - ",$A901)),ISERROR(SEARCH("Folio",$A901)),$D901=""),TRIM($A901),$S900)</f>
        <v/>
      </c>
      <c r="T901">
        <f>IF(AND(ISNUMBER(SEARCH("Folio",$A901)),$D901&lt;&gt;""),1,"")</f>
        <v/>
      </c>
      <c r="U901">
        <f>IF($T901=1,COUNTIF($T$9:$T901,1),"")</f>
        <v/>
      </c>
      <c r="V901">
        <f>IF(AND(ISTEXT($A901),LEFT($A902,3)="Pan"),1,"")</f>
        <v/>
      </c>
    </row>
    <row r="902">
      <c r="S902">
        <f>IF(AND(ISTEXT($A902),ISNUMBER(SEARCH(" - ",$A902)),ISERROR(SEARCH("Folio",$A902)),$D902=""),TRIM($A902),$S901)</f>
        <v/>
      </c>
      <c r="T902">
        <f>IF(AND(ISNUMBER(SEARCH("Folio",$A902)),$D902&lt;&gt;""),1,"")</f>
        <v/>
      </c>
      <c r="U902">
        <f>IF($T902=1,COUNTIF($T$9:$T902,1),"")</f>
        <v/>
      </c>
      <c r="V902">
        <f>IF(AND(ISTEXT($A902),LEFT($A903,3)="Pan"),1,"")</f>
        <v/>
      </c>
    </row>
    <row r="903">
      <c r="S903">
        <f>IF(AND(ISTEXT($A903),ISNUMBER(SEARCH(" - ",$A903)),ISERROR(SEARCH("Folio",$A903)),$D903=""),TRIM($A903),$S902)</f>
        <v/>
      </c>
      <c r="T903">
        <f>IF(AND(ISNUMBER(SEARCH("Folio",$A903)),$D903&lt;&gt;""),1,"")</f>
        <v/>
      </c>
      <c r="U903">
        <f>IF($T903=1,COUNTIF($T$9:$T903,1),"")</f>
        <v/>
      </c>
      <c r="V903">
        <f>IF(AND(ISTEXT($A903),LEFT($A904,3)="Pan"),1,"")</f>
        <v/>
      </c>
    </row>
    <row r="904">
      <c r="S904">
        <f>IF(AND(ISTEXT($A904),ISNUMBER(SEARCH(" - ",$A904)),ISERROR(SEARCH("Folio",$A904)),$D904=""),TRIM($A904),$S903)</f>
        <v/>
      </c>
      <c r="T904">
        <f>IF(AND(ISNUMBER(SEARCH("Folio",$A904)),$D904&lt;&gt;""),1,"")</f>
        <v/>
      </c>
      <c r="U904">
        <f>IF($T904=1,COUNTIF($T$9:$T904,1),"")</f>
        <v/>
      </c>
      <c r="V904">
        <f>IF(AND(ISTEXT($A904),LEFT($A905,3)="Pan"),1,"")</f>
        <v/>
      </c>
    </row>
    <row r="905">
      <c r="S905">
        <f>IF(AND(ISTEXT($A905),ISNUMBER(SEARCH(" - ",$A905)),ISERROR(SEARCH("Folio",$A905)),$D905=""),TRIM($A905),$S904)</f>
        <v/>
      </c>
      <c r="T905">
        <f>IF(AND(ISNUMBER(SEARCH("Folio",$A905)),$D905&lt;&gt;""),1,"")</f>
        <v/>
      </c>
      <c r="U905">
        <f>IF($T905=1,COUNTIF($T$9:$T905,1),"")</f>
        <v/>
      </c>
      <c r="V905">
        <f>IF(AND(ISTEXT($A905),LEFT($A906,3)="Pan"),1,"")</f>
        <v/>
      </c>
    </row>
    <row r="906">
      <c r="S906">
        <f>IF(AND(ISTEXT($A906),ISNUMBER(SEARCH(" - ",$A906)),ISERROR(SEARCH("Folio",$A906)),$D906=""),TRIM($A906),$S905)</f>
        <v/>
      </c>
      <c r="T906">
        <f>IF(AND(ISNUMBER(SEARCH("Folio",$A906)),$D906&lt;&gt;""),1,"")</f>
        <v/>
      </c>
      <c r="U906">
        <f>IF($T906=1,COUNTIF($T$9:$T906,1),"")</f>
        <v/>
      </c>
      <c r="V906">
        <f>IF(AND(ISTEXT($A906),LEFT($A907,3)="Pan"),1,"")</f>
        <v/>
      </c>
    </row>
    <row r="907">
      <c r="S907">
        <f>IF(AND(ISTEXT($A907),ISNUMBER(SEARCH(" - ",$A907)),ISERROR(SEARCH("Folio",$A907)),$D907=""),TRIM($A907),$S906)</f>
        <v/>
      </c>
      <c r="T907">
        <f>IF(AND(ISNUMBER(SEARCH("Folio",$A907)),$D907&lt;&gt;""),1,"")</f>
        <v/>
      </c>
      <c r="U907">
        <f>IF($T907=1,COUNTIF($T$9:$T907,1),"")</f>
        <v/>
      </c>
      <c r="V907">
        <f>IF(AND(ISTEXT($A907),LEFT($A908,3)="Pan"),1,"")</f>
        <v/>
      </c>
    </row>
    <row r="908">
      <c r="S908">
        <f>IF(AND(ISTEXT($A908),ISNUMBER(SEARCH(" - ",$A908)),ISERROR(SEARCH("Folio",$A908)),$D908=""),TRIM($A908),$S907)</f>
        <v/>
      </c>
      <c r="T908">
        <f>IF(AND(ISNUMBER(SEARCH("Folio",$A908)),$D908&lt;&gt;""),1,"")</f>
        <v/>
      </c>
      <c r="U908">
        <f>IF($T908=1,COUNTIF($T$9:$T908,1),"")</f>
        <v/>
      </c>
      <c r="V908">
        <f>IF(AND(ISTEXT($A908),LEFT($A909,3)="Pan"),1,"")</f>
        <v/>
      </c>
    </row>
    <row r="909">
      <c r="S909">
        <f>IF(AND(ISTEXT($A909),ISNUMBER(SEARCH(" - ",$A909)),ISERROR(SEARCH("Folio",$A909)),$D909=""),TRIM($A909),$S908)</f>
        <v/>
      </c>
      <c r="T909">
        <f>IF(AND(ISNUMBER(SEARCH("Folio",$A909)),$D909&lt;&gt;""),1,"")</f>
        <v/>
      </c>
      <c r="U909">
        <f>IF($T909=1,COUNTIF($T$9:$T909,1),"")</f>
        <v/>
      </c>
      <c r="V909">
        <f>IF(AND(ISTEXT($A909),LEFT($A910,3)="Pan"),1,"")</f>
        <v/>
      </c>
    </row>
    <row r="910">
      <c r="S910">
        <f>IF(AND(ISTEXT($A910),ISNUMBER(SEARCH(" - ",$A910)),ISERROR(SEARCH("Folio",$A910)),$D910=""),TRIM($A910),$S909)</f>
        <v/>
      </c>
      <c r="T910">
        <f>IF(AND(ISNUMBER(SEARCH("Folio",$A910)),$D910&lt;&gt;""),1,"")</f>
        <v/>
      </c>
      <c r="U910">
        <f>IF($T910=1,COUNTIF($T$9:$T910,1),"")</f>
        <v/>
      </c>
      <c r="V910">
        <f>IF(AND(ISTEXT($A910),LEFT($A911,3)="Pan"),1,"")</f>
        <v/>
      </c>
    </row>
    <row r="911">
      <c r="S911">
        <f>IF(AND(ISTEXT($A911),ISNUMBER(SEARCH(" - ",$A911)),ISERROR(SEARCH("Folio",$A911)),$D911=""),TRIM($A911),$S910)</f>
        <v/>
      </c>
      <c r="T911">
        <f>IF(AND(ISNUMBER(SEARCH("Folio",$A911)),$D911&lt;&gt;""),1,"")</f>
        <v/>
      </c>
      <c r="U911">
        <f>IF($T911=1,COUNTIF($T$9:$T911,1),"")</f>
        <v/>
      </c>
      <c r="V911">
        <f>IF(AND(ISTEXT($A911),LEFT($A912,3)="Pan"),1,"")</f>
        <v/>
      </c>
    </row>
    <row r="912">
      <c r="S912">
        <f>IF(AND(ISTEXT($A912),ISNUMBER(SEARCH(" - ",$A912)),ISERROR(SEARCH("Folio",$A912)),$D912=""),TRIM($A912),$S911)</f>
        <v/>
      </c>
      <c r="T912">
        <f>IF(AND(ISNUMBER(SEARCH("Folio",$A912)),$D912&lt;&gt;""),1,"")</f>
        <v/>
      </c>
      <c r="U912">
        <f>IF($T912=1,COUNTIF($T$9:$T912,1),"")</f>
        <v/>
      </c>
      <c r="V912">
        <f>IF(AND(ISTEXT($A912),LEFT($A913,3)="Pan"),1,"")</f>
        <v/>
      </c>
    </row>
    <row r="913">
      <c r="S913">
        <f>IF(AND(ISTEXT($A913),ISNUMBER(SEARCH(" - ",$A913)),ISERROR(SEARCH("Folio",$A913)),$D913=""),TRIM($A913),$S912)</f>
        <v/>
      </c>
      <c r="T913">
        <f>IF(AND(ISNUMBER(SEARCH("Folio",$A913)),$D913&lt;&gt;""),1,"")</f>
        <v/>
      </c>
      <c r="U913">
        <f>IF($T913=1,COUNTIF($T$9:$T913,1),"")</f>
        <v/>
      </c>
      <c r="V913">
        <f>IF(AND(ISTEXT($A913),LEFT($A914,3)="Pan"),1,"")</f>
        <v/>
      </c>
    </row>
    <row r="914">
      <c r="S914">
        <f>IF(AND(ISTEXT($A914),ISNUMBER(SEARCH(" - ",$A914)),ISERROR(SEARCH("Folio",$A914)),$D914=""),TRIM($A914),$S913)</f>
        <v/>
      </c>
      <c r="T914">
        <f>IF(AND(ISNUMBER(SEARCH("Folio",$A914)),$D914&lt;&gt;""),1,"")</f>
        <v/>
      </c>
      <c r="U914">
        <f>IF($T914=1,COUNTIF($T$9:$T914,1),"")</f>
        <v/>
      </c>
      <c r="V914">
        <f>IF(AND(ISTEXT($A914),LEFT($A915,3)="Pan"),1,"")</f>
        <v/>
      </c>
    </row>
    <row r="915">
      <c r="S915">
        <f>IF(AND(ISTEXT($A915),ISNUMBER(SEARCH(" - ",$A915)),ISERROR(SEARCH("Folio",$A915)),$D915=""),TRIM($A915),$S914)</f>
        <v/>
      </c>
      <c r="T915">
        <f>IF(AND(ISNUMBER(SEARCH("Folio",$A915)),$D915&lt;&gt;""),1,"")</f>
        <v/>
      </c>
      <c r="U915">
        <f>IF($T915=1,COUNTIF($T$9:$T915,1),"")</f>
        <v/>
      </c>
      <c r="V915">
        <f>IF(AND(ISTEXT($A915),LEFT($A916,3)="Pan"),1,"")</f>
        <v/>
      </c>
    </row>
    <row r="916">
      <c r="S916">
        <f>IF(AND(ISTEXT($A916),ISNUMBER(SEARCH(" - ",$A916)),ISERROR(SEARCH("Folio",$A916)),$D916=""),TRIM($A916),$S915)</f>
        <v/>
      </c>
      <c r="T916">
        <f>IF(AND(ISNUMBER(SEARCH("Folio",$A916)),$D916&lt;&gt;""),1,"")</f>
        <v/>
      </c>
      <c r="U916">
        <f>IF($T916=1,COUNTIF($T$9:$T916,1),"")</f>
        <v/>
      </c>
      <c r="V916">
        <f>IF(AND(ISTEXT($A916),LEFT($A917,3)="Pan"),1,"")</f>
        <v/>
      </c>
    </row>
    <row r="917">
      <c r="S917">
        <f>IF(AND(ISTEXT($A917),ISNUMBER(SEARCH(" - ",$A917)),ISERROR(SEARCH("Folio",$A917)),$D917=""),TRIM($A917),$S916)</f>
        <v/>
      </c>
      <c r="T917">
        <f>IF(AND(ISNUMBER(SEARCH("Folio",$A917)),$D917&lt;&gt;""),1,"")</f>
        <v/>
      </c>
      <c r="U917">
        <f>IF($T917=1,COUNTIF($T$9:$T917,1),"")</f>
        <v/>
      </c>
      <c r="V917">
        <f>IF(AND(ISTEXT($A917),LEFT($A918,3)="Pan"),1,"")</f>
        <v/>
      </c>
    </row>
    <row r="918">
      <c r="S918">
        <f>IF(AND(ISTEXT($A918),ISNUMBER(SEARCH(" - ",$A918)),ISERROR(SEARCH("Folio",$A918)),$D918=""),TRIM($A918),$S917)</f>
        <v/>
      </c>
      <c r="T918">
        <f>IF(AND(ISNUMBER(SEARCH("Folio",$A918)),$D918&lt;&gt;""),1,"")</f>
        <v/>
      </c>
      <c r="U918">
        <f>IF($T918=1,COUNTIF($T$9:$T918,1),"")</f>
        <v/>
      </c>
      <c r="V918">
        <f>IF(AND(ISTEXT($A918),LEFT($A919,3)="Pan"),1,"")</f>
        <v/>
      </c>
    </row>
    <row r="919">
      <c r="S919">
        <f>IF(AND(ISTEXT($A919),ISNUMBER(SEARCH(" - ",$A919)),ISERROR(SEARCH("Folio",$A919)),$D919=""),TRIM($A919),$S918)</f>
        <v/>
      </c>
      <c r="T919">
        <f>IF(AND(ISNUMBER(SEARCH("Folio",$A919)),$D919&lt;&gt;""),1,"")</f>
        <v/>
      </c>
      <c r="U919">
        <f>IF($T919=1,COUNTIF($T$9:$T919,1),"")</f>
        <v/>
      </c>
      <c r="V919">
        <f>IF(AND(ISTEXT($A919),LEFT($A920,3)="Pan"),1,"")</f>
        <v/>
      </c>
    </row>
    <row r="920">
      <c r="S920">
        <f>IF(AND(ISTEXT($A920),ISNUMBER(SEARCH(" - ",$A920)),ISERROR(SEARCH("Folio",$A920)),$D920=""),TRIM($A920),$S919)</f>
        <v/>
      </c>
      <c r="T920">
        <f>IF(AND(ISNUMBER(SEARCH("Folio",$A920)),$D920&lt;&gt;""),1,"")</f>
        <v/>
      </c>
      <c r="U920">
        <f>IF($T920=1,COUNTIF($T$9:$T920,1),"")</f>
        <v/>
      </c>
      <c r="V920">
        <f>IF(AND(ISTEXT($A920),LEFT($A921,3)="Pan"),1,"")</f>
        <v/>
      </c>
    </row>
    <row r="921">
      <c r="S921">
        <f>IF(AND(ISTEXT($A921),ISNUMBER(SEARCH(" - ",$A921)),ISERROR(SEARCH("Folio",$A921)),$D921=""),TRIM($A921),$S920)</f>
        <v/>
      </c>
      <c r="T921">
        <f>IF(AND(ISNUMBER(SEARCH("Folio",$A921)),$D921&lt;&gt;""),1,"")</f>
        <v/>
      </c>
      <c r="U921">
        <f>IF($T921=1,COUNTIF($T$9:$T921,1),"")</f>
        <v/>
      </c>
      <c r="V921">
        <f>IF(AND(ISTEXT($A921),LEFT($A922,3)="Pan"),1,"")</f>
        <v/>
      </c>
    </row>
    <row r="922">
      <c r="S922">
        <f>IF(AND(ISTEXT($A922),ISNUMBER(SEARCH(" - ",$A922)),ISERROR(SEARCH("Folio",$A922)),$D922=""),TRIM($A922),$S921)</f>
        <v/>
      </c>
      <c r="T922">
        <f>IF(AND(ISNUMBER(SEARCH("Folio",$A922)),$D922&lt;&gt;""),1,"")</f>
        <v/>
      </c>
      <c r="U922">
        <f>IF($T922=1,COUNTIF($T$9:$T922,1),"")</f>
        <v/>
      </c>
      <c r="V922">
        <f>IF(AND(ISTEXT($A922),LEFT($A923,3)="Pan"),1,"")</f>
        <v/>
      </c>
    </row>
    <row r="923">
      <c r="S923">
        <f>IF(AND(ISTEXT($A923),ISNUMBER(SEARCH(" - ",$A923)),ISERROR(SEARCH("Folio",$A923)),$D923=""),TRIM($A923),$S922)</f>
        <v/>
      </c>
      <c r="T923">
        <f>IF(AND(ISNUMBER(SEARCH("Folio",$A923)),$D923&lt;&gt;""),1,"")</f>
        <v/>
      </c>
      <c r="U923">
        <f>IF($T923=1,COUNTIF($T$9:$T923,1),"")</f>
        <v/>
      </c>
      <c r="V923">
        <f>IF(AND(ISTEXT($A923),LEFT($A924,3)="Pan"),1,"")</f>
        <v/>
      </c>
    </row>
    <row r="924">
      <c r="S924">
        <f>IF(AND(ISTEXT($A924),ISNUMBER(SEARCH(" - ",$A924)),ISERROR(SEARCH("Folio",$A924)),$D924=""),TRIM($A924),$S923)</f>
        <v/>
      </c>
      <c r="T924">
        <f>IF(AND(ISNUMBER(SEARCH("Folio",$A924)),$D924&lt;&gt;""),1,"")</f>
        <v/>
      </c>
      <c r="U924">
        <f>IF($T924=1,COUNTIF($T$9:$T924,1),"")</f>
        <v/>
      </c>
      <c r="V924">
        <f>IF(AND(ISTEXT($A924),LEFT($A925,3)="Pan"),1,"")</f>
        <v/>
      </c>
    </row>
    <row r="925">
      <c r="S925">
        <f>IF(AND(ISTEXT($A925),ISNUMBER(SEARCH(" - ",$A925)),ISERROR(SEARCH("Folio",$A925)),$D925=""),TRIM($A925),$S924)</f>
        <v/>
      </c>
      <c r="T925">
        <f>IF(AND(ISNUMBER(SEARCH("Folio",$A925)),$D925&lt;&gt;""),1,"")</f>
        <v/>
      </c>
      <c r="U925">
        <f>IF($T925=1,COUNTIF($T$9:$T925,1),"")</f>
        <v/>
      </c>
      <c r="V925">
        <f>IF(AND(ISTEXT($A925),LEFT($A926,3)="Pan"),1,"")</f>
        <v/>
      </c>
    </row>
    <row r="926">
      <c r="S926">
        <f>IF(AND(ISTEXT($A926),ISNUMBER(SEARCH(" - ",$A926)),ISERROR(SEARCH("Folio",$A926)),$D926=""),TRIM($A926),$S925)</f>
        <v/>
      </c>
      <c r="T926">
        <f>IF(AND(ISNUMBER(SEARCH("Folio",$A926)),$D926&lt;&gt;""),1,"")</f>
        <v/>
      </c>
      <c r="U926">
        <f>IF($T926=1,COUNTIF($T$9:$T926,1),"")</f>
        <v/>
      </c>
      <c r="V926">
        <f>IF(AND(ISTEXT($A926),LEFT($A927,3)="Pan"),1,"")</f>
        <v/>
      </c>
    </row>
    <row r="927">
      <c r="S927">
        <f>IF(AND(ISTEXT($A927),ISNUMBER(SEARCH(" - ",$A927)),ISERROR(SEARCH("Folio",$A927)),$D927=""),TRIM($A927),$S926)</f>
        <v/>
      </c>
      <c r="T927">
        <f>IF(AND(ISNUMBER(SEARCH("Folio",$A927)),$D927&lt;&gt;""),1,"")</f>
        <v/>
      </c>
      <c r="U927">
        <f>IF($T927=1,COUNTIF($T$9:$T927,1),"")</f>
        <v/>
      </c>
      <c r="V927">
        <f>IF(AND(ISTEXT($A927),LEFT($A928,3)="Pan"),1,"")</f>
        <v/>
      </c>
    </row>
    <row r="928">
      <c r="S928">
        <f>IF(AND(ISTEXT($A928),ISNUMBER(SEARCH(" - ",$A928)),ISERROR(SEARCH("Folio",$A928)),$D928=""),TRIM($A928),$S927)</f>
        <v/>
      </c>
      <c r="T928">
        <f>IF(AND(ISNUMBER(SEARCH("Folio",$A928)),$D928&lt;&gt;""),1,"")</f>
        <v/>
      </c>
      <c r="U928">
        <f>IF($T928=1,COUNTIF($T$9:$T928,1),"")</f>
        <v/>
      </c>
      <c r="V928">
        <f>IF(AND(ISTEXT($A928),LEFT($A929,3)="Pan"),1,"")</f>
        <v/>
      </c>
    </row>
    <row r="929">
      <c r="S929">
        <f>IF(AND(ISTEXT($A929),ISNUMBER(SEARCH(" - ",$A929)),ISERROR(SEARCH("Folio",$A929)),$D929=""),TRIM($A929),$S928)</f>
        <v/>
      </c>
      <c r="T929">
        <f>IF(AND(ISNUMBER(SEARCH("Folio",$A929)),$D929&lt;&gt;""),1,"")</f>
        <v/>
      </c>
      <c r="U929">
        <f>IF($T929=1,COUNTIF($T$9:$T929,1),"")</f>
        <v/>
      </c>
      <c r="V929">
        <f>IF(AND(ISTEXT($A929),LEFT($A930,3)="Pan"),1,"")</f>
        <v/>
      </c>
    </row>
    <row r="930">
      <c r="S930">
        <f>IF(AND(ISTEXT($A930),ISNUMBER(SEARCH(" - ",$A930)),ISERROR(SEARCH("Folio",$A930)),$D930=""),TRIM($A930),$S929)</f>
        <v/>
      </c>
      <c r="T930">
        <f>IF(AND(ISNUMBER(SEARCH("Folio",$A930)),$D930&lt;&gt;""),1,"")</f>
        <v/>
      </c>
      <c r="U930">
        <f>IF($T930=1,COUNTIF($T$9:$T930,1),"")</f>
        <v/>
      </c>
      <c r="V930">
        <f>IF(AND(ISTEXT($A930),LEFT($A931,3)="Pan"),1,"")</f>
        <v/>
      </c>
    </row>
    <row r="931">
      <c r="S931">
        <f>IF(AND(ISTEXT($A931),ISNUMBER(SEARCH(" - ",$A931)),ISERROR(SEARCH("Folio",$A931)),$D931=""),TRIM($A931),$S930)</f>
        <v/>
      </c>
      <c r="T931">
        <f>IF(AND(ISNUMBER(SEARCH("Folio",$A931)),$D931&lt;&gt;""),1,"")</f>
        <v/>
      </c>
      <c r="U931">
        <f>IF($T931=1,COUNTIF($T$9:$T931,1),"")</f>
        <v/>
      </c>
      <c r="V931">
        <f>IF(AND(ISTEXT($A931),LEFT($A932,3)="Pan"),1,"")</f>
        <v/>
      </c>
    </row>
    <row r="932">
      <c r="S932">
        <f>IF(AND(ISTEXT($A932),ISNUMBER(SEARCH(" - ",$A932)),ISERROR(SEARCH("Folio",$A932)),$D932=""),TRIM($A932),$S931)</f>
        <v/>
      </c>
      <c r="T932">
        <f>IF(AND(ISNUMBER(SEARCH("Folio",$A932)),$D932&lt;&gt;""),1,"")</f>
        <v/>
      </c>
      <c r="U932">
        <f>IF($T932=1,COUNTIF($T$9:$T932,1),"")</f>
        <v/>
      </c>
      <c r="V932">
        <f>IF(AND(ISTEXT($A932),LEFT($A933,3)="Pan"),1,"")</f>
        <v/>
      </c>
    </row>
    <row r="933">
      <c r="S933">
        <f>IF(AND(ISTEXT($A933),ISNUMBER(SEARCH(" - ",$A933)),ISERROR(SEARCH("Folio",$A933)),$D933=""),TRIM($A933),$S932)</f>
        <v/>
      </c>
      <c r="T933">
        <f>IF(AND(ISNUMBER(SEARCH("Folio",$A933)),$D933&lt;&gt;""),1,"")</f>
        <v/>
      </c>
      <c r="U933">
        <f>IF($T933=1,COUNTIF($T$9:$T933,1),"")</f>
        <v/>
      </c>
      <c r="V933">
        <f>IF(AND(ISTEXT($A933),LEFT($A934,3)="Pan"),1,"")</f>
        <v/>
      </c>
    </row>
    <row r="934">
      <c r="S934">
        <f>IF(AND(ISTEXT($A934),ISNUMBER(SEARCH(" - ",$A934)),ISERROR(SEARCH("Folio",$A934)),$D934=""),TRIM($A934),$S933)</f>
        <v/>
      </c>
      <c r="T934">
        <f>IF(AND(ISNUMBER(SEARCH("Folio",$A934)),$D934&lt;&gt;""),1,"")</f>
        <v/>
      </c>
      <c r="U934">
        <f>IF($T934=1,COUNTIF($T$9:$T934,1),"")</f>
        <v/>
      </c>
      <c r="V934">
        <f>IF(AND(ISTEXT($A934),LEFT($A935,3)="Pan"),1,"")</f>
        <v/>
      </c>
    </row>
    <row r="935">
      <c r="S935">
        <f>IF(AND(ISTEXT($A935),ISNUMBER(SEARCH(" - ",$A935)),ISERROR(SEARCH("Folio",$A935)),$D935=""),TRIM($A935),$S934)</f>
        <v/>
      </c>
      <c r="T935">
        <f>IF(AND(ISNUMBER(SEARCH("Folio",$A935)),$D935&lt;&gt;""),1,"")</f>
        <v/>
      </c>
      <c r="U935">
        <f>IF($T935=1,COUNTIF($T$9:$T935,1),"")</f>
        <v/>
      </c>
      <c r="V935">
        <f>IF(AND(ISTEXT($A935),LEFT($A936,3)="Pan"),1,"")</f>
        <v/>
      </c>
    </row>
    <row r="936">
      <c r="S936">
        <f>IF(AND(ISTEXT($A936),ISNUMBER(SEARCH(" - ",$A936)),ISERROR(SEARCH("Folio",$A936)),$D936=""),TRIM($A936),$S935)</f>
        <v/>
      </c>
      <c r="T936">
        <f>IF(AND(ISNUMBER(SEARCH("Folio",$A936)),$D936&lt;&gt;""),1,"")</f>
        <v/>
      </c>
      <c r="U936">
        <f>IF($T936=1,COUNTIF($T$9:$T936,1),"")</f>
        <v/>
      </c>
      <c r="V936">
        <f>IF(AND(ISTEXT($A936),LEFT($A937,3)="Pan"),1,"")</f>
        <v/>
      </c>
    </row>
    <row r="937">
      <c r="S937">
        <f>IF(AND(ISTEXT($A937),ISNUMBER(SEARCH(" - ",$A937)),ISERROR(SEARCH("Folio",$A937)),$D937=""),TRIM($A937),$S936)</f>
        <v/>
      </c>
      <c r="T937">
        <f>IF(AND(ISNUMBER(SEARCH("Folio",$A937)),$D937&lt;&gt;""),1,"")</f>
        <v/>
      </c>
      <c r="U937">
        <f>IF($T937=1,COUNTIF($T$9:$T937,1),"")</f>
        <v/>
      </c>
      <c r="V937">
        <f>IF(AND(ISTEXT($A937),LEFT($A938,3)="Pan"),1,"")</f>
        <v/>
      </c>
    </row>
    <row r="938">
      <c r="S938">
        <f>IF(AND(ISTEXT($A938),ISNUMBER(SEARCH(" - ",$A938)),ISERROR(SEARCH("Folio",$A938)),$D938=""),TRIM($A938),$S937)</f>
        <v/>
      </c>
      <c r="T938">
        <f>IF(AND(ISNUMBER(SEARCH("Folio",$A938)),$D938&lt;&gt;""),1,"")</f>
        <v/>
      </c>
      <c r="U938">
        <f>IF($T938=1,COUNTIF($T$9:$T938,1),"")</f>
        <v/>
      </c>
      <c r="V938">
        <f>IF(AND(ISTEXT($A938),LEFT($A939,3)="Pan"),1,"")</f>
        <v/>
      </c>
    </row>
    <row r="939">
      <c r="S939">
        <f>IF(AND(ISTEXT($A939),ISNUMBER(SEARCH(" - ",$A939)),ISERROR(SEARCH("Folio",$A939)),$D939=""),TRIM($A939),$S938)</f>
        <v/>
      </c>
      <c r="T939">
        <f>IF(AND(ISNUMBER(SEARCH("Folio",$A939)),$D939&lt;&gt;""),1,"")</f>
        <v/>
      </c>
      <c r="U939">
        <f>IF($T939=1,COUNTIF($T$9:$T939,1),"")</f>
        <v/>
      </c>
      <c r="V939">
        <f>IF(AND(ISTEXT($A939),LEFT($A940,3)="Pan"),1,"")</f>
        <v/>
      </c>
    </row>
    <row r="940">
      <c r="S940">
        <f>IF(AND(ISTEXT($A940),ISNUMBER(SEARCH(" - ",$A940)),ISERROR(SEARCH("Folio",$A940)),$D940=""),TRIM($A940),$S939)</f>
        <v/>
      </c>
      <c r="T940">
        <f>IF(AND(ISNUMBER(SEARCH("Folio",$A940)),$D940&lt;&gt;""),1,"")</f>
        <v/>
      </c>
      <c r="U940">
        <f>IF($T940=1,COUNTIF($T$9:$T940,1),"")</f>
        <v/>
      </c>
      <c r="V940">
        <f>IF(AND(ISTEXT($A940),LEFT($A941,3)="Pan"),1,"")</f>
        <v/>
      </c>
    </row>
    <row r="941">
      <c r="S941">
        <f>IF(AND(ISTEXT($A941),ISNUMBER(SEARCH(" - ",$A941)),ISERROR(SEARCH("Folio",$A941)),$D941=""),TRIM($A941),$S940)</f>
        <v/>
      </c>
      <c r="T941">
        <f>IF(AND(ISNUMBER(SEARCH("Folio",$A941)),$D941&lt;&gt;""),1,"")</f>
        <v/>
      </c>
      <c r="U941">
        <f>IF($T941=1,COUNTIF($T$9:$T941,1),"")</f>
        <v/>
      </c>
      <c r="V941">
        <f>IF(AND(ISTEXT($A941),LEFT($A942,3)="Pan"),1,"")</f>
        <v/>
      </c>
    </row>
    <row r="942">
      <c r="S942">
        <f>IF(AND(ISTEXT($A942),ISNUMBER(SEARCH(" - ",$A942)),ISERROR(SEARCH("Folio",$A942)),$D942=""),TRIM($A942),$S941)</f>
        <v/>
      </c>
      <c r="T942">
        <f>IF(AND(ISNUMBER(SEARCH("Folio",$A942)),$D942&lt;&gt;""),1,"")</f>
        <v/>
      </c>
      <c r="U942">
        <f>IF($T942=1,COUNTIF($T$9:$T942,1),"")</f>
        <v/>
      </c>
      <c r="V942">
        <f>IF(AND(ISTEXT($A942),LEFT($A943,3)="Pan"),1,"")</f>
        <v/>
      </c>
    </row>
    <row r="943">
      <c r="S943">
        <f>IF(AND(ISTEXT($A943),ISNUMBER(SEARCH(" - ",$A943)),ISERROR(SEARCH("Folio",$A943)),$D943=""),TRIM($A943),$S942)</f>
        <v/>
      </c>
      <c r="T943">
        <f>IF(AND(ISNUMBER(SEARCH("Folio",$A943)),$D943&lt;&gt;""),1,"")</f>
        <v/>
      </c>
      <c r="U943">
        <f>IF($T943=1,COUNTIF($T$9:$T943,1),"")</f>
        <v/>
      </c>
      <c r="V943">
        <f>IF(AND(ISTEXT($A943),LEFT($A944,3)="Pan"),1,"")</f>
        <v/>
      </c>
    </row>
    <row r="944">
      <c r="S944">
        <f>IF(AND(ISTEXT($A944),ISNUMBER(SEARCH(" - ",$A944)),ISERROR(SEARCH("Folio",$A944)),$D944=""),TRIM($A944),$S943)</f>
        <v/>
      </c>
      <c r="T944">
        <f>IF(AND(ISNUMBER(SEARCH("Folio",$A944)),$D944&lt;&gt;""),1,"")</f>
        <v/>
      </c>
      <c r="U944">
        <f>IF($T944=1,COUNTIF($T$9:$T944,1),"")</f>
        <v/>
      </c>
      <c r="V944">
        <f>IF(AND(ISTEXT($A944),LEFT($A945,3)="Pan"),1,"")</f>
        <v/>
      </c>
    </row>
    <row r="945">
      <c r="S945">
        <f>IF(AND(ISTEXT($A945),ISNUMBER(SEARCH(" - ",$A945)),ISERROR(SEARCH("Folio",$A945)),$D945=""),TRIM($A945),$S944)</f>
        <v/>
      </c>
      <c r="T945">
        <f>IF(AND(ISNUMBER(SEARCH("Folio",$A945)),$D945&lt;&gt;""),1,"")</f>
        <v/>
      </c>
      <c r="U945">
        <f>IF($T945=1,COUNTIF($T$9:$T945,1),"")</f>
        <v/>
      </c>
      <c r="V945">
        <f>IF(AND(ISTEXT($A945),LEFT($A946,3)="Pan"),1,"")</f>
        <v/>
      </c>
    </row>
    <row r="946">
      <c r="S946">
        <f>IF(AND(ISTEXT($A946),ISNUMBER(SEARCH(" - ",$A946)),ISERROR(SEARCH("Folio",$A946)),$D946=""),TRIM($A946),$S945)</f>
        <v/>
      </c>
      <c r="T946">
        <f>IF(AND(ISNUMBER(SEARCH("Folio",$A946)),$D946&lt;&gt;""),1,"")</f>
        <v/>
      </c>
      <c r="U946">
        <f>IF($T946=1,COUNTIF($T$9:$T946,1),"")</f>
        <v/>
      </c>
      <c r="V946">
        <f>IF(AND(ISTEXT($A946),LEFT($A947,3)="Pan"),1,"")</f>
        <v/>
      </c>
    </row>
    <row r="947">
      <c r="S947">
        <f>IF(AND(ISTEXT($A947),ISNUMBER(SEARCH(" - ",$A947)),ISERROR(SEARCH("Folio",$A947)),$D947=""),TRIM($A947),$S946)</f>
        <v/>
      </c>
      <c r="T947">
        <f>IF(AND(ISNUMBER(SEARCH("Folio",$A947)),$D947&lt;&gt;""),1,"")</f>
        <v/>
      </c>
      <c r="U947">
        <f>IF($T947=1,COUNTIF($T$9:$T947,1),"")</f>
        <v/>
      </c>
      <c r="V947">
        <f>IF(AND(ISTEXT($A947),LEFT($A948,3)="Pan"),1,"")</f>
        <v/>
      </c>
    </row>
    <row r="948">
      <c r="S948">
        <f>IF(AND(ISTEXT($A948),ISNUMBER(SEARCH(" - ",$A948)),ISERROR(SEARCH("Folio",$A948)),$D948=""),TRIM($A948),$S947)</f>
        <v/>
      </c>
      <c r="T948">
        <f>IF(AND(ISNUMBER(SEARCH("Folio",$A948)),$D948&lt;&gt;""),1,"")</f>
        <v/>
      </c>
      <c r="U948">
        <f>IF($T948=1,COUNTIF($T$9:$T948,1),"")</f>
        <v/>
      </c>
      <c r="V948">
        <f>IF(AND(ISTEXT($A948),LEFT($A949,3)="Pan"),1,"")</f>
        <v/>
      </c>
    </row>
    <row r="949">
      <c r="S949">
        <f>IF(AND(ISTEXT($A949),ISNUMBER(SEARCH(" - ",$A949)),ISERROR(SEARCH("Folio",$A949)),$D949=""),TRIM($A949),$S948)</f>
        <v/>
      </c>
      <c r="T949">
        <f>IF(AND(ISNUMBER(SEARCH("Folio",$A949)),$D949&lt;&gt;""),1,"")</f>
        <v/>
      </c>
      <c r="U949">
        <f>IF($T949=1,COUNTIF($T$9:$T949,1),"")</f>
        <v/>
      </c>
      <c r="V949">
        <f>IF(AND(ISTEXT($A949),LEFT($A950,3)="Pan"),1,"")</f>
        <v/>
      </c>
    </row>
    <row r="950">
      <c r="S950">
        <f>IF(AND(ISTEXT($A950),ISNUMBER(SEARCH(" - ",$A950)),ISERROR(SEARCH("Folio",$A950)),$D950=""),TRIM($A950),$S949)</f>
        <v/>
      </c>
      <c r="T950">
        <f>IF(AND(ISNUMBER(SEARCH("Folio",$A950)),$D950&lt;&gt;""),1,"")</f>
        <v/>
      </c>
      <c r="U950">
        <f>IF($T950=1,COUNTIF($T$9:$T950,1),"")</f>
        <v/>
      </c>
      <c r="V950">
        <f>IF(AND(ISTEXT($A950),LEFT($A951,3)="Pan"),1,"")</f>
        <v/>
      </c>
    </row>
    <row r="951">
      <c r="S951">
        <f>IF(AND(ISTEXT($A951),ISNUMBER(SEARCH(" - ",$A951)),ISERROR(SEARCH("Folio",$A951)),$D951=""),TRIM($A951),$S950)</f>
        <v/>
      </c>
      <c r="T951">
        <f>IF(AND(ISNUMBER(SEARCH("Folio",$A951)),$D951&lt;&gt;""),1,"")</f>
        <v/>
      </c>
      <c r="U951">
        <f>IF($T951=1,COUNTIF($T$9:$T951,1),"")</f>
        <v/>
      </c>
      <c r="V951">
        <f>IF(AND(ISTEXT($A951),LEFT($A952,3)="Pan"),1,"")</f>
        <v/>
      </c>
    </row>
    <row r="952">
      <c r="S952">
        <f>IF(AND(ISTEXT($A952),ISNUMBER(SEARCH(" - ",$A952)),ISERROR(SEARCH("Folio",$A952)),$D952=""),TRIM($A952),$S951)</f>
        <v/>
      </c>
      <c r="T952">
        <f>IF(AND(ISNUMBER(SEARCH("Folio",$A952)),$D952&lt;&gt;""),1,"")</f>
        <v/>
      </c>
      <c r="U952">
        <f>IF($T952=1,COUNTIF($T$9:$T952,1),"")</f>
        <v/>
      </c>
      <c r="V952">
        <f>IF(AND(ISTEXT($A952),LEFT($A953,3)="Pan"),1,"")</f>
        <v/>
      </c>
    </row>
    <row r="953">
      <c r="S953">
        <f>IF(AND(ISTEXT($A953),ISNUMBER(SEARCH(" - ",$A953)),ISERROR(SEARCH("Folio",$A953)),$D953=""),TRIM($A953),$S952)</f>
        <v/>
      </c>
      <c r="T953">
        <f>IF(AND(ISNUMBER(SEARCH("Folio",$A953)),$D953&lt;&gt;""),1,"")</f>
        <v/>
      </c>
      <c r="U953">
        <f>IF($T953=1,COUNTIF($T$9:$T953,1),"")</f>
        <v/>
      </c>
      <c r="V953">
        <f>IF(AND(ISTEXT($A953),LEFT($A954,3)="Pan"),1,"")</f>
        <v/>
      </c>
    </row>
    <row r="954">
      <c r="S954">
        <f>IF(AND(ISTEXT($A954),ISNUMBER(SEARCH(" - ",$A954)),ISERROR(SEARCH("Folio",$A954)),$D954=""),TRIM($A954),$S953)</f>
        <v/>
      </c>
      <c r="T954">
        <f>IF(AND(ISNUMBER(SEARCH("Folio",$A954)),$D954&lt;&gt;""),1,"")</f>
        <v/>
      </c>
      <c r="U954">
        <f>IF($T954=1,COUNTIF($T$9:$T954,1),"")</f>
        <v/>
      </c>
      <c r="V954">
        <f>IF(AND(ISTEXT($A954),LEFT($A955,3)="Pan"),1,"")</f>
        <v/>
      </c>
    </row>
    <row r="955">
      <c r="S955">
        <f>IF(AND(ISTEXT($A955),ISNUMBER(SEARCH(" - ",$A955)),ISERROR(SEARCH("Folio",$A955)),$D955=""),TRIM($A955),$S954)</f>
        <v/>
      </c>
      <c r="T955">
        <f>IF(AND(ISNUMBER(SEARCH("Folio",$A955)),$D955&lt;&gt;""),1,"")</f>
        <v/>
      </c>
      <c r="U955">
        <f>IF($T955=1,COUNTIF($T$9:$T955,1),"")</f>
        <v/>
      </c>
      <c r="V955">
        <f>IF(AND(ISTEXT($A955),LEFT($A956,3)="Pan"),1,"")</f>
        <v/>
      </c>
    </row>
    <row r="956">
      <c r="S956">
        <f>IF(AND(ISTEXT($A956),ISNUMBER(SEARCH(" - ",$A956)),ISERROR(SEARCH("Folio",$A956)),$D956=""),TRIM($A956),$S955)</f>
        <v/>
      </c>
      <c r="T956">
        <f>IF(AND(ISNUMBER(SEARCH("Folio",$A956)),$D956&lt;&gt;""),1,"")</f>
        <v/>
      </c>
      <c r="U956">
        <f>IF($T956=1,COUNTIF($T$9:$T956,1),"")</f>
        <v/>
      </c>
      <c r="V956">
        <f>IF(AND(ISTEXT($A956),LEFT($A957,3)="Pan"),1,"")</f>
        <v/>
      </c>
    </row>
    <row r="957">
      <c r="S957">
        <f>IF(AND(ISTEXT($A957),ISNUMBER(SEARCH(" - ",$A957)),ISERROR(SEARCH("Folio",$A957)),$D957=""),TRIM($A957),$S956)</f>
        <v/>
      </c>
      <c r="T957">
        <f>IF(AND(ISNUMBER(SEARCH("Folio",$A957)),$D957&lt;&gt;""),1,"")</f>
        <v/>
      </c>
      <c r="U957">
        <f>IF($T957=1,COUNTIF($T$9:$T957,1),"")</f>
        <v/>
      </c>
      <c r="V957">
        <f>IF(AND(ISTEXT($A957),LEFT($A958,3)="Pan"),1,"")</f>
        <v/>
      </c>
    </row>
    <row r="958">
      <c r="S958">
        <f>IF(AND(ISTEXT($A958),ISNUMBER(SEARCH(" - ",$A958)),ISERROR(SEARCH("Folio",$A958)),$D958=""),TRIM($A958),$S957)</f>
        <v/>
      </c>
      <c r="T958">
        <f>IF(AND(ISNUMBER(SEARCH("Folio",$A958)),$D958&lt;&gt;""),1,"")</f>
        <v/>
      </c>
      <c r="U958">
        <f>IF($T958=1,COUNTIF($T$9:$T958,1),"")</f>
        <v/>
      </c>
      <c r="V958">
        <f>IF(AND(ISTEXT($A958),LEFT($A959,3)="Pan"),1,"")</f>
        <v/>
      </c>
    </row>
    <row r="959">
      <c r="S959">
        <f>IF(AND(ISTEXT($A959),ISNUMBER(SEARCH(" - ",$A959)),ISERROR(SEARCH("Folio",$A959)),$D959=""),TRIM($A959),$S958)</f>
        <v/>
      </c>
      <c r="T959">
        <f>IF(AND(ISNUMBER(SEARCH("Folio",$A959)),$D959&lt;&gt;""),1,"")</f>
        <v/>
      </c>
      <c r="U959">
        <f>IF($T959=1,COUNTIF($T$9:$T959,1),"")</f>
        <v/>
      </c>
      <c r="V959">
        <f>IF(AND(ISTEXT($A959),LEFT($A960,3)="Pan"),1,"")</f>
        <v/>
      </c>
    </row>
    <row r="960">
      <c r="S960">
        <f>IF(AND(ISTEXT($A960),ISNUMBER(SEARCH(" - ",$A960)),ISERROR(SEARCH("Folio",$A960)),$D960=""),TRIM($A960),$S959)</f>
        <v/>
      </c>
      <c r="T960">
        <f>IF(AND(ISNUMBER(SEARCH("Folio",$A960)),$D960&lt;&gt;""),1,"")</f>
        <v/>
      </c>
      <c r="U960">
        <f>IF($T960=1,COUNTIF($T$9:$T960,1),"")</f>
        <v/>
      </c>
      <c r="V960">
        <f>IF(AND(ISTEXT($A960),LEFT($A961,3)="Pan"),1,"")</f>
        <v/>
      </c>
    </row>
    <row r="961">
      <c r="S961">
        <f>IF(AND(ISTEXT($A961),ISNUMBER(SEARCH(" - ",$A961)),ISERROR(SEARCH("Folio",$A961)),$D961=""),TRIM($A961),$S960)</f>
        <v/>
      </c>
      <c r="T961">
        <f>IF(AND(ISNUMBER(SEARCH("Folio",$A961)),$D961&lt;&gt;""),1,"")</f>
        <v/>
      </c>
      <c r="U961">
        <f>IF($T961=1,COUNTIF($T$9:$T961,1),"")</f>
        <v/>
      </c>
      <c r="V961">
        <f>IF(AND(ISTEXT($A961),LEFT($A962,3)="Pan"),1,"")</f>
        <v/>
      </c>
    </row>
    <row r="962">
      <c r="S962">
        <f>IF(AND(ISTEXT($A962),ISNUMBER(SEARCH(" - ",$A962)),ISERROR(SEARCH("Folio",$A962)),$D962=""),TRIM($A962),$S961)</f>
        <v/>
      </c>
      <c r="T962">
        <f>IF(AND(ISNUMBER(SEARCH("Folio",$A962)),$D962&lt;&gt;""),1,"")</f>
        <v/>
      </c>
      <c r="U962">
        <f>IF($T962=1,COUNTIF($T$9:$T962,1),"")</f>
        <v/>
      </c>
      <c r="V962">
        <f>IF(AND(ISTEXT($A962),LEFT($A963,3)="Pan"),1,"")</f>
        <v/>
      </c>
    </row>
    <row r="963">
      <c r="S963">
        <f>IF(AND(ISTEXT($A963),ISNUMBER(SEARCH(" - ",$A963)),ISERROR(SEARCH("Folio",$A963)),$D963=""),TRIM($A963),$S962)</f>
        <v/>
      </c>
      <c r="T963">
        <f>IF(AND(ISNUMBER(SEARCH("Folio",$A963)),$D963&lt;&gt;""),1,"")</f>
        <v/>
      </c>
      <c r="U963">
        <f>IF($T963=1,COUNTIF($T$9:$T963,1),"")</f>
        <v/>
      </c>
      <c r="V963">
        <f>IF(AND(ISTEXT($A963),LEFT($A964,3)="Pan"),1,"")</f>
        <v/>
      </c>
    </row>
    <row r="964">
      <c r="S964">
        <f>IF(AND(ISTEXT($A964),ISNUMBER(SEARCH(" - ",$A964)),ISERROR(SEARCH("Folio",$A964)),$D964=""),TRIM($A964),$S963)</f>
        <v/>
      </c>
      <c r="T964">
        <f>IF(AND(ISNUMBER(SEARCH("Folio",$A964)),$D964&lt;&gt;""),1,"")</f>
        <v/>
      </c>
      <c r="U964">
        <f>IF($T964=1,COUNTIF($T$9:$T964,1),"")</f>
        <v/>
      </c>
      <c r="V964">
        <f>IF(AND(ISTEXT($A964),LEFT($A965,3)="Pan"),1,"")</f>
        <v/>
      </c>
    </row>
    <row r="965">
      <c r="S965">
        <f>IF(AND(ISTEXT($A965),ISNUMBER(SEARCH(" - ",$A965)),ISERROR(SEARCH("Folio",$A965)),$D965=""),TRIM($A965),$S964)</f>
        <v/>
      </c>
      <c r="T965">
        <f>IF(AND(ISNUMBER(SEARCH("Folio",$A965)),$D965&lt;&gt;""),1,"")</f>
        <v/>
      </c>
      <c r="U965">
        <f>IF($T965=1,COUNTIF($T$9:$T965,1),"")</f>
        <v/>
      </c>
      <c r="V965">
        <f>IF(AND(ISTEXT($A965),LEFT($A966,3)="Pan"),1,"")</f>
        <v/>
      </c>
    </row>
    <row r="966">
      <c r="S966">
        <f>IF(AND(ISTEXT($A966),ISNUMBER(SEARCH(" - ",$A966)),ISERROR(SEARCH("Folio",$A966)),$D966=""),TRIM($A966),$S965)</f>
        <v/>
      </c>
      <c r="T966">
        <f>IF(AND(ISNUMBER(SEARCH("Folio",$A966)),$D966&lt;&gt;""),1,"")</f>
        <v/>
      </c>
      <c r="U966">
        <f>IF($T966=1,COUNTIF($T$9:$T966,1),"")</f>
        <v/>
      </c>
      <c r="V966">
        <f>IF(AND(ISTEXT($A966),LEFT($A967,3)="Pan"),1,"")</f>
        <v/>
      </c>
    </row>
    <row r="967">
      <c r="S967">
        <f>IF(AND(ISTEXT($A967),ISNUMBER(SEARCH(" - ",$A967)),ISERROR(SEARCH("Folio",$A967)),$D967=""),TRIM($A967),$S966)</f>
        <v/>
      </c>
      <c r="T967">
        <f>IF(AND(ISNUMBER(SEARCH("Folio",$A967)),$D967&lt;&gt;""),1,"")</f>
        <v/>
      </c>
      <c r="U967">
        <f>IF($T967=1,COUNTIF($T$9:$T967,1),"")</f>
        <v/>
      </c>
      <c r="V967">
        <f>IF(AND(ISTEXT($A967),LEFT($A968,3)="Pan"),1,"")</f>
        <v/>
      </c>
    </row>
    <row r="968">
      <c r="S968">
        <f>IF(AND(ISTEXT($A968),ISNUMBER(SEARCH(" - ",$A968)),ISERROR(SEARCH("Folio",$A968)),$D968=""),TRIM($A968),$S967)</f>
        <v/>
      </c>
      <c r="T968">
        <f>IF(AND(ISNUMBER(SEARCH("Folio",$A968)),$D968&lt;&gt;""),1,"")</f>
        <v/>
      </c>
      <c r="U968">
        <f>IF($T968=1,COUNTIF($T$9:$T968,1),"")</f>
        <v/>
      </c>
      <c r="V968">
        <f>IF(AND(ISTEXT($A968),LEFT($A969,3)="Pan"),1,"")</f>
        <v/>
      </c>
    </row>
    <row r="969">
      <c r="S969">
        <f>IF(AND(ISTEXT($A969),ISNUMBER(SEARCH(" - ",$A969)),ISERROR(SEARCH("Folio",$A969)),$D969=""),TRIM($A969),$S968)</f>
        <v/>
      </c>
      <c r="T969">
        <f>IF(AND(ISNUMBER(SEARCH("Folio",$A969)),$D969&lt;&gt;""),1,"")</f>
        <v/>
      </c>
      <c r="U969">
        <f>IF($T969=1,COUNTIF($T$9:$T969,1),"")</f>
        <v/>
      </c>
      <c r="V969">
        <f>IF(AND(ISTEXT($A969),LEFT($A970,3)="Pan"),1,"")</f>
        <v/>
      </c>
    </row>
    <row r="970">
      <c r="S970">
        <f>IF(AND(ISTEXT($A970),ISNUMBER(SEARCH(" - ",$A970)),ISERROR(SEARCH("Folio",$A970)),$D970=""),TRIM($A970),$S969)</f>
        <v/>
      </c>
      <c r="T970">
        <f>IF(AND(ISNUMBER(SEARCH("Folio",$A970)),$D970&lt;&gt;""),1,"")</f>
        <v/>
      </c>
      <c r="U970">
        <f>IF($T970=1,COUNTIF($T$9:$T970,1),"")</f>
        <v/>
      </c>
      <c r="V970">
        <f>IF(AND(ISTEXT($A970),LEFT($A971,3)="Pan"),1,"")</f>
        <v/>
      </c>
    </row>
    <row r="971">
      <c r="S971">
        <f>IF(AND(ISTEXT($A971),ISNUMBER(SEARCH(" - ",$A971)),ISERROR(SEARCH("Folio",$A971)),$D971=""),TRIM($A971),$S970)</f>
        <v/>
      </c>
      <c r="T971">
        <f>IF(AND(ISNUMBER(SEARCH("Folio",$A971)),$D971&lt;&gt;""),1,"")</f>
        <v/>
      </c>
      <c r="U971">
        <f>IF($T971=1,COUNTIF($T$9:$T971,1),"")</f>
        <v/>
      </c>
      <c r="V971">
        <f>IF(AND(ISTEXT($A971),LEFT($A972,3)="Pan"),1,"")</f>
        <v/>
      </c>
    </row>
    <row r="972">
      <c r="S972">
        <f>IF(AND(ISTEXT($A972),ISNUMBER(SEARCH(" - ",$A972)),ISERROR(SEARCH("Folio",$A972)),$D972=""),TRIM($A972),$S971)</f>
        <v/>
      </c>
      <c r="T972">
        <f>IF(AND(ISNUMBER(SEARCH("Folio",$A972)),$D972&lt;&gt;""),1,"")</f>
        <v/>
      </c>
      <c r="U972">
        <f>IF($T972=1,COUNTIF($T$9:$T972,1),"")</f>
        <v/>
      </c>
      <c r="V972">
        <f>IF(AND(ISTEXT($A972),LEFT($A973,3)="Pan"),1,"")</f>
        <v/>
      </c>
    </row>
    <row r="973">
      <c r="S973">
        <f>IF(AND(ISTEXT($A973),ISNUMBER(SEARCH(" - ",$A973)),ISERROR(SEARCH("Folio",$A973)),$D973=""),TRIM($A973),$S972)</f>
        <v/>
      </c>
      <c r="T973">
        <f>IF(AND(ISNUMBER(SEARCH("Folio",$A973)),$D973&lt;&gt;""),1,"")</f>
        <v/>
      </c>
      <c r="U973">
        <f>IF($T973=1,COUNTIF($T$9:$T973,1),"")</f>
        <v/>
      </c>
      <c r="V973">
        <f>IF(AND(ISTEXT($A973),LEFT($A974,3)="Pan"),1,"")</f>
        <v/>
      </c>
    </row>
    <row r="974">
      <c r="S974">
        <f>IF(AND(ISTEXT($A974),ISNUMBER(SEARCH(" - ",$A974)),ISERROR(SEARCH("Folio",$A974)),$D974=""),TRIM($A974),$S973)</f>
        <v/>
      </c>
      <c r="T974">
        <f>IF(AND(ISNUMBER(SEARCH("Folio",$A974)),$D974&lt;&gt;""),1,"")</f>
        <v/>
      </c>
      <c r="U974">
        <f>IF($T974=1,COUNTIF($T$9:$T974,1),"")</f>
        <v/>
      </c>
      <c r="V974">
        <f>IF(AND(ISTEXT($A974),LEFT($A975,3)="Pan"),1,"")</f>
        <v/>
      </c>
    </row>
    <row r="975">
      <c r="S975">
        <f>IF(AND(ISTEXT($A975),ISNUMBER(SEARCH(" - ",$A975)),ISERROR(SEARCH("Folio",$A975)),$D975=""),TRIM($A975),$S974)</f>
        <v/>
      </c>
      <c r="T975">
        <f>IF(AND(ISNUMBER(SEARCH("Folio",$A975)),$D975&lt;&gt;""),1,"")</f>
        <v/>
      </c>
      <c r="U975">
        <f>IF($T975=1,COUNTIF($T$9:$T975,1),"")</f>
        <v/>
      </c>
      <c r="V975">
        <f>IF(AND(ISTEXT($A975),LEFT($A976,3)="Pan"),1,"")</f>
        <v/>
      </c>
    </row>
    <row r="976">
      <c r="S976">
        <f>IF(AND(ISTEXT($A976),ISNUMBER(SEARCH(" - ",$A976)),ISERROR(SEARCH("Folio",$A976)),$D976=""),TRIM($A976),$S975)</f>
        <v/>
      </c>
      <c r="T976">
        <f>IF(AND(ISNUMBER(SEARCH("Folio",$A976)),$D976&lt;&gt;""),1,"")</f>
        <v/>
      </c>
      <c r="U976">
        <f>IF($T976=1,COUNTIF($T$9:$T976,1),"")</f>
        <v/>
      </c>
      <c r="V976">
        <f>IF(AND(ISTEXT($A976),LEFT($A977,3)="Pan"),1,"")</f>
        <v/>
      </c>
    </row>
    <row r="977">
      <c r="S977">
        <f>IF(AND(ISTEXT($A977),ISNUMBER(SEARCH(" - ",$A977)),ISERROR(SEARCH("Folio",$A977)),$D977=""),TRIM($A977),$S976)</f>
        <v/>
      </c>
      <c r="T977">
        <f>IF(AND(ISNUMBER(SEARCH("Folio",$A977)),$D977&lt;&gt;""),1,"")</f>
        <v/>
      </c>
      <c r="U977">
        <f>IF($T977=1,COUNTIF($T$9:$T977,1),"")</f>
        <v/>
      </c>
      <c r="V977">
        <f>IF(AND(ISTEXT($A977),LEFT($A978,3)="Pan"),1,"")</f>
        <v/>
      </c>
    </row>
    <row r="978">
      <c r="S978">
        <f>IF(AND(ISTEXT($A978),ISNUMBER(SEARCH(" - ",$A978)),ISERROR(SEARCH("Folio",$A978)),$D978=""),TRIM($A978),$S977)</f>
        <v/>
      </c>
      <c r="T978">
        <f>IF(AND(ISNUMBER(SEARCH("Folio",$A978)),$D978&lt;&gt;""),1,"")</f>
        <v/>
      </c>
      <c r="U978">
        <f>IF($T978=1,COUNTIF($T$9:$T978,1),"")</f>
        <v/>
      </c>
      <c r="V978">
        <f>IF(AND(ISTEXT($A978),LEFT($A979,3)="Pan"),1,"")</f>
        <v/>
      </c>
    </row>
    <row r="979">
      <c r="S979">
        <f>IF(AND(ISTEXT($A979),ISNUMBER(SEARCH(" - ",$A979)),ISERROR(SEARCH("Folio",$A979)),$D979=""),TRIM($A979),$S978)</f>
        <v/>
      </c>
      <c r="T979">
        <f>IF(AND(ISNUMBER(SEARCH("Folio",$A979)),$D979&lt;&gt;""),1,"")</f>
        <v/>
      </c>
      <c r="U979">
        <f>IF($T979=1,COUNTIF($T$9:$T979,1),"")</f>
        <v/>
      </c>
      <c r="V979">
        <f>IF(AND(ISTEXT($A979),LEFT($A980,3)="Pan"),1,"")</f>
        <v/>
      </c>
    </row>
    <row r="980">
      <c r="S980">
        <f>IF(AND(ISTEXT($A980),ISNUMBER(SEARCH(" - ",$A980)),ISERROR(SEARCH("Folio",$A980)),$D980=""),TRIM($A980),$S979)</f>
        <v/>
      </c>
      <c r="T980">
        <f>IF(AND(ISNUMBER(SEARCH("Folio",$A980)),$D980&lt;&gt;""),1,"")</f>
        <v/>
      </c>
      <c r="U980">
        <f>IF($T980=1,COUNTIF($T$9:$T980,1),"")</f>
        <v/>
      </c>
      <c r="V980">
        <f>IF(AND(ISTEXT($A980),LEFT($A981,3)="Pan"),1,"")</f>
        <v/>
      </c>
    </row>
    <row r="981">
      <c r="S981">
        <f>IF(AND(ISTEXT($A981),ISNUMBER(SEARCH(" - ",$A981)),ISERROR(SEARCH("Folio",$A981)),$D981=""),TRIM($A981),$S980)</f>
        <v/>
      </c>
      <c r="T981">
        <f>IF(AND(ISNUMBER(SEARCH("Folio",$A981)),$D981&lt;&gt;""),1,"")</f>
        <v/>
      </c>
      <c r="U981">
        <f>IF($T981=1,COUNTIF($T$9:$T981,1),"")</f>
        <v/>
      </c>
      <c r="V981">
        <f>IF(AND(ISTEXT($A981),LEFT($A982,3)="Pan"),1,"")</f>
        <v/>
      </c>
    </row>
    <row r="982">
      <c r="S982">
        <f>IF(AND(ISTEXT($A982),ISNUMBER(SEARCH(" - ",$A982)),ISERROR(SEARCH("Folio",$A982)),$D982=""),TRIM($A982),$S981)</f>
        <v/>
      </c>
      <c r="T982">
        <f>IF(AND(ISNUMBER(SEARCH("Folio",$A982)),$D982&lt;&gt;""),1,"")</f>
        <v/>
      </c>
      <c r="U982">
        <f>IF($T982=1,COUNTIF($T$9:$T982,1),"")</f>
        <v/>
      </c>
      <c r="V982">
        <f>IF(AND(ISTEXT($A982),LEFT($A983,3)="Pan"),1,"")</f>
        <v/>
      </c>
    </row>
    <row r="983">
      <c r="S983">
        <f>IF(AND(ISTEXT($A983),ISNUMBER(SEARCH(" - ",$A983)),ISERROR(SEARCH("Folio",$A983)),$D983=""),TRIM($A983),$S982)</f>
        <v/>
      </c>
      <c r="T983">
        <f>IF(AND(ISNUMBER(SEARCH("Folio",$A983)),$D983&lt;&gt;""),1,"")</f>
        <v/>
      </c>
      <c r="U983">
        <f>IF($T983=1,COUNTIF($T$9:$T983,1),"")</f>
        <v/>
      </c>
      <c r="V983">
        <f>IF(AND(ISTEXT($A983),LEFT($A984,3)="Pan"),1,"")</f>
        <v/>
      </c>
    </row>
    <row r="984">
      <c r="S984">
        <f>IF(AND(ISTEXT($A984),ISNUMBER(SEARCH(" - ",$A984)),ISERROR(SEARCH("Folio",$A984)),$D984=""),TRIM($A984),$S983)</f>
        <v/>
      </c>
      <c r="T984">
        <f>IF(AND(ISNUMBER(SEARCH("Folio",$A984)),$D984&lt;&gt;""),1,"")</f>
        <v/>
      </c>
      <c r="U984">
        <f>IF($T984=1,COUNTIF($T$9:$T984,1),"")</f>
        <v/>
      </c>
      <c r="V984">
        <f>IF(AND(ISTEXT($A984),LEFT($A985,3)="Pan"),1,"")</f>
        <v/>
      </c>
    </row>
    <row r="985">
      <c r="S985">
        <f>IF(AND(ISTEXT($A985),ISNUMBER(SEARCH(" - ",$A985)),ISERROR(SEARCH("Folio",$A985)),$D985=""),TRIM($A985),$S984)</f>
        <v/>
      </c>
      <c r="T985">
        <f>IF(AND(ISNUMBER(SEARCH("Folio",$A985)),$D985&lt;&gt;""),1,"")</f>
        <v/>
      </c>
      <c r="U985">
        <f>IF($T985=1,COUNTIF($T$9:$T985,1),"")</f>
        <v/>
      </c>
      <c r="V985">
        <f>IF(AND(ISTEXT($A985),LEFT($A986,3)="Pan"),1,"")</f>
        <v/>
      </c>
    </row>
    <row r="986">
      <c r="S986">
        <f>IF(AND(ISTEXT($A986),ISNUMBER(SEARCH(" - ",$A986)),ISERROR(SEARCH("Folio",$A986)),$D986=""),TRIM($A986),$S985)</f>
        <v/>
      </c>
      <c r="T986">
        <f>IF(AND(ISNUMBER(SEARCH("Folio",$A986)),$D986&lt;&gt;""),1,"")</f>
        <v/>
      </c>
      <c r="U986">
        <f>IF($T986=1,COUNTIF($T$9:$T986,1),"")</f>
        <v/>
      </c>
      <c r="V986">
        <f>IF(AND(ISTEXT($A986),LEFT($A987,3)="Pan"),1,"")</f>
        <v/>
      </c>
    </row>
    <row r="987">
      <c r="S987">
        <f>IF(AND(ISTEXT($A987),ISNUMBER(SEARCH(" - ",$A987)),ISERROR(SEARCH("Folio",$A987)),$D987=""),TRIM($A987),$S986)</f>
        <v/>
      </c>
      <c r="T987">
        <f>IF(AND(ISNUMBER(SEARCH("Folio",$A987)),$D987&lt;&gt;""),1,"")</f>
        <v/>
      </c>
      <c r="U987">
        <f>IF($T987=1,COUNTIF($T$9:$T987,1),"")</f>
        <v/>
      </c>
      <c r="V987">
        <f>IF(AND(ISTEXT($A987),LEFT($A988,3)="Pan"),1,"")</f>
        <v/>
      </c>
    </row>
    <row r="988">
      <c r="S988">
        <f>IF(AND(ISTEXT($A988),ISNUMBER(SEARCH(" - ",$A988)),ISERROR(SEARCH("Folio",$A988)),$D988=""),TRIM($A988),$S987)</f>
        <v/>
      </c>
      <c r="T988">
        <f>IF(AND(ISNUMBER(SEARCH("Folio",$A988)),$D988&lt;&gt;""),1,"")</f>
        <v/>
      </c>
      <c r="U988">
        <f>IF($T988=1,COUNTIF($T$9:$T988,1),"")</f>
        <v/>
      </c>
      <c r="V988">
        <f>IF(AND(ISTEXT($A988),LEFT($A989,3)="Pan"),1,"")</f>
        <v/>
      </c>
    </row>
    <row r="989">
      <c r="S989">
        <f>IF(AND(ISTEXT($A989),ISNUMBER(SEARCH(" - ",$A989)),ISERROR(SEARCH("Folio",$A989)),$D989=""),TRIM($A989),$S988)</f>
        <v/>
      </c>
      <c r="T989">
        <f>IF(AND(ISNUMBER(SEARCH("Folio",$A989)),$D989&lt;&gt;""),1,"")</f>
        <v/>
      </c>
      <c r="U989">
        <f>IF($T989=1,COUNTIF($T$9:$T989,1),"")</f>
        <v/>
      </c>
      <c r="V989">
        <f>IF(AND(ISTEXT($A989),LEFT($A990,3)="Pan"),1,"")</f>
        <v/>
      </c>
    </row>
    <row r="990">
      <c r="S990">
        <f>IF(AND(ISTEXT($A990),ISNUMBER(SEARCH(" - ",$A990)),ISERROR(SEARCH("Folio",$A990)),$D990=""),TRIM($A990),$S989)</f>
        <v/>
      </c>
      <c r="T990">
        <f>IF(AND(ISNUMBER(SEARCH("Folio",$A990)),$D990&lt;&gt;""),1,"")</f>
        <v/>
      </c>
      <c r="U990">
        <f>IF($T990=1,COUNTIF($T$9:$T990,1),"")</f>
        <v/>
      </c>
      <c r="V990">
        <f>IF(AND(ISTEXT($A990),LEFT($A991,3)="Pan"),1,"")</f>
        <v/>
      </c>
    </row>
    <row r="991">
      <c r="S991">
        <f>IF(AND(ISTEXT($A991),ISNUMBER(SEARCH(" - ",$A991)),ISERROR(SEARCH("Folio",$A991)),$D991=""),TRIM($A991),$S990)</f>
        <v/>
      </c>
      <c r="T991">
        <f>IF(AND(ISNUMBER(SEARCH("Folio",$A991)),$D991&lt;&gt;""),1,"")</f>
        <v/>
      </c>
      <c r="U991">
        <f>IF($T991=1,COUNTIF($T$9:$T991,1),"")</f>
        <v/>
      </c>
      <c r="V991">
        <f>IF(AND(ISTEXT($A991),LEFT($A992,3)="Pan"),1,"")</f>
        <v/>
      </c>
    </row>
    <row r="992">
      <c r="S992">
        <f>IF(AND(ISTEXT($A992),ISNUMBER(SEARCH(" - ",$A992)),ISERROR(SEARCH("Folio",$A992)),$D992=""),TRIM($A992),$S991)</f>
        <v/>
      </c>
      <c r="T992">
        <f>IF(AND(ISNUMBER(SEARCH("Folio",$A992)),$D992&lt;&gt;""),1,"")</f>
        <v/>
      </c>
      <c r="U992">
        <f>IF($T992=1,COUNTIF($T$9:$T992,1),"")</f>
        <v/>
      </c>
      <c r="V992">
        <f>IF(AND(ISTEXT($A992),LEFT($A993,3)="Pan"),1,"")</f>
        <v/>
      </c>
    </row>
    <row r="993">
      <c r="S993">
        <f>IF(AND(ISTEXT($A993),ISNUMBER(SEARCH(" - ",$A993)),ISERROR(SEARCH("Folio",$A993)),$D993=""),TRIM($A993),$S992)</f>
        <v/>
      </c>
      <c r="T993">
        <f>IF(AND(ISNUMBER(SEARCH("Folio",$A993)),$D993&lt;&gt;""),1,"")</f>
        <v/>
      </c>
      <c r="U993">
        <f>IF($T993=1,COUNTIF($T$9:$T993,1),"")</f>
        <v/>
      </c>
      <c r="V993">
        <f>IF(AND(ISTEXT($A993),LEFT($A994,3)="Pan"),1,"")</f>
        <v/>
      </c>
    </row>
    <row r="994">
      <c r="S994">
        <f>IF(AND(ISTEXT($A994),ISNUMBER(SEARCH(" - ",$A994)),ISERROR(SEARCH("Folio",$A994)),$D994=""),TRIM($A994),$S993)</f>
        <v/>
      </c>
      <c r="T994">
        <f>IF(AND(ISNUMBER(SEARCH("Folio",$A994)),$D994&lt;&gt;""),1,"")</f>
        <v/>
      </c>
      <c r="U994">
        <f>IF($T994=1,COUNTIF($T$9:$T994,1),"")</f>
        <v/>
      </c>
      <c r="V994">
        <f>IF(AND(ISTEXT($A994),LEFT($A995,3)="Pan"),1,"")</f>
        <v/>
      </c>
    </row>
    <row r="995">
      <c r="S995">
        <f>IF(AND(ISTEXT($A995),ISNUMBER(SEARCH(" - ",$A995)),ISERROR(SEARCH("Folio",$A995)),$D995=""),TRIM($A995),$S994)</f>
        <v/>
      </c>
      <c r="T995">
        <f>IF(AND(ISNUMBER(SEARCH("Folio",$A995)),$D995&lt;&gt;""),1,"")</f>
        <v/>
      </c>
      <c r="U995">
        <f>IF($T995=1,COUNTIF($T$9:$T995,1),"")</f>
        <v/>
      </c>
      <c r="V995">
        <f>IF(AND(ISTEXT($A995),LEFT($A996,3)="Pan"),1,"")</f>
        <v/>
      </c>
    </row>
    <row r="996">
      <c r="S996">
        <f>IF(AND(ISTEXT($A996),ISNUMBER(SEARCH(" - ",$A996)),ISERROR(SEARCH("Folio",$A996)),$D996=""),TRIM($A996),$S995)</f>
        <v/>
      </c>
      <c r="T996">
        <f>IF(AND(ISNUMBER(SEARCH("Folio",$A996)),$D996&lt;&gt;""),1,"")</f>
        <v/>
      </c>
      <c r="U996">
        <f>IF($T996=1,COUNTIF($T$9:$T996,1),"")</f>
        <v/>
      </c>
      <c r="V996">
        <f>IF(AND(ISTEXT($A996),LEFT($A997,3)="Pan"),1,"")</f>
        <v/>
      </c>
    </row>
    <row r="997">
      <c r="S997">
        <f>IF(AND(ISTEXT($A997),ISNUMBER(SEARCH(" - ",$A997)),ISERROR(SEARCH("Folio",$A997)),$D997=""),TRIM($A997),$S996)</f>
        <v/>
      </c>
      <c r="T997">
        <f>IF(AND(ISNUMBER(SEARCH("Folio",$A997)),$D997&lt;&gt;""),1,"")</f>
        <v/>
      </c>
      <c r="U997">
        <f>IF($T997=1,COUNTIF($T$9:$T997,1),"")</f>
        <v/>
      </c>
      <c r="V997">
        <f>IF(AND(ISTEXT($A997),LEFT($A998,3)="Pan"),1,"")</f>
        <v/>
      </c>
    </row>
    <row r="998">
      <c r="S998">
        <f>IF(AND(ISTEXT($A998),ISNUMBER(SEARCH(" - ",$A998)),ISERROR(SEARCH("Folio",$A998)),$D998=""),TRIM($A998),$S997)</f>
        <v/>
      </c>
      <c r="T998">
        <f>IF(AND(ISNUMBER(SEARCH("Folio",$A998)),$D998&lt;&gt;""),1,"")</f>
        <v/>
      </c>
      <c r="U998">
        <f>IF($T998=1,COUNTIF($T$9:$T998,1),"")</f>
        <v/>
      </c>
      <c r="V998">
        <f>IF(AND(ISTEXT($A998),LEFT($A999,3)="Pan"),1,"")</f>
        <v/>
      </c>
    </row>
    <row r="999">
      <c r="S999">
        <f>IF(AND(ISTEXT($A999),ISNUMBER(SEARCH(" - ",$A999)),ISERROR(SEARCH("Folio",$A999)),$D999=""),TRIM($A999),$S998)</f>
        <v/>
      </c>
      <c r="T999">
        <f>IF(AND(ISNUMBER(SEARCH("Folio",$A999)),$D999&lt;&gt;""),1,"")</f>
        <v/>
      </c>
      <c r="U999">
        <f>IF($T999=1,COUNTIF($T$9:$T999,1),"")</f>
        <v/>
      </c>
      <c r="V999">
        <f>IF(AND(ISTEXT($A999),LEFT($A1000,3)="Pan"),1,"")</f>
        <v/>
      </c>
    </row>
    <row r="1000">
      <c r="S1000">
        <f>IF(AND(ISTEXT($A1000),ISNUMBER(SEARCH(" - ",$A1000)),ISERROR(SEARCH("Folio",$A1000)),$D1000=""),TRIM($A1000),$S999)</f>
        <v/>
      </c>
      <c r="T1000">
        <f>IF(AND(ISNUMBER(SEARCH("Folio",$A1000)),$D1000&lt;&gt;""),1,"")</f>
        <v/>
      </c>
      <c r="U1000">
        <f>IF($T1000=1,COUNTIF($T$9:$T1000,1),"")</f>
        <v/>
      </c>
      <c r="V1000">
        <f>IF(AND(ISTEXT($A1000),LEFT($A1001,3)="Pan"),1,"")</f>
        <v/>
      </c>
    </row>
    <row r="1001">
      <c r="S1001">
        <f>IF(AND(ISTEXT($A1001),ISNUMBER(SEARCH(" - ",$A1001)),ISERROR(SEARCH("Folio",$A1001)),$D1001=""),TRIM($A1001),$S1000)</f>
        <v/>
      </c>
      <c r="T1001">
        <f>IF(AND(ISNUMBER(SEARCH("Folio",$A1001)),$D1001&lt;&gt;""),1,"")</f>
        <v/>
      </c>
      <c r="U1001">
        <f>IF($T1001=1,COUNTIF($T$9:$T1001,1),"")</f>
        <v/>
      </c>
      <c r="V1001">
        <f>IF(AND(ISTEXT($A1001),LEFT($A1002,3)="Pan"),1,"")</f>
        <v/>
      </c>
    </row>
    <row r="1002">
      <c r="S1002">
        <f>IF(AND(ISTEXT($A1002),ISNUMBER(SEARCH(" - ",$A1002)),ISERROR(SEARCH("Folio",$A1002)),$D1002=""),TRIM($A1002),$S1001)</f>
        <v/>
      </c>
      <c r="T1002">
        <f>IF(AND(ISNUMBER(SEARCH("Folio",$A1002)),$D1002&lt;&gt;""),1,"")</f>
        <v/>
      </c>
      <c r="U1002">
        <f>IF($T1002=1,COUNTIF($T$9:$T1002,1),"")</f>
        <v/>
      </c>
      <c r="V1002">
        <f>IF(AND(ISTEXT($A1002),LEFT($A1003,3)="Pan"),1,"")</f>
        <v/>
      </c>
    </row>
    <row r="1003">
      <c r="S1003">
        <f>IF(AND(ISTEXT($A1003),ISNUMBER(SEARCH(" - ",$A1003)),ISERROR(SEARCH("Folio",$A1003)),$D1003=""),TRIM($A1003),$S1002)</f>
        <v/>
      </c>
      <c r="T1003">
        <f>IF(AND(ISNUMBER(SEARCH("Folio",$A1003)),$D1003&lt;&gt;""),1,"")</f>
        <v/>
      </c>
      <c r="U1003">
        <f>IF($T1003=1,COUNTIF($T$9:$T1003,1),"")</f>
        <v/>
      </c>
      <c r="V1003">
        <f>IF(AND(ISTEXT($A1003),LEFT($A1004,3)="Pan"),1,"")</f>
        <v/>
      </c>
    </row>
    <row r="1004">
      <c r="S1004">
        <f>IF(AND(ISTEXT($A1004),ISNUMBER(SEARCH(" - ",$A1004)),ISERROR(SEARCH("Folio",$A1004)),$D1004=""),TRIM($A1004),$S1003)</f>
        <v/>
      </c>
      <c r="T1004">
        <f>IF(AND(ISNUMBER(SEARCH("Folio",$A1004)),$D1004&lt;&gt;""),1,"")</f>
        <v/>
      </c>
      <c r="U1004">
        <f>IF($T1004=1,COUNTIF($T$9:$T1004,1),"")</f>
        <v/>
      </c>
      <c r="V1004">
        <f>IF(AND(ISTEXT($A1004),LEFT($A1005,3)="Pan"),1,"")</f>
        <v/>
      </c>
    </row>
    <row r="1005">
      <c r="S1005">
        <f>IF(AND(ISTEXT($A1005),ISNUMBER(SEARCH(" - ",$A1005)),ISERROR(SEARCH("Folio",$A1005)),$D1005=""),TRIM($A1005),$S1004)</f>
        <v/>
      </c>
      <c r="T1005">
        <f>IF(AND(ISNUMBER(SEARCH("Folio",$A1005)),$D1005&lt;&gt;""),1,"")</f>
        <v/>
      </c>
      <c r="U1005">
        <f>IF($T1005=1,COUNTIF($T$9:$T1005,1),"")</f>
        <v/>
      </c>
      <c r="V1005">
        <f>IF(AND(ISTEXT($A1005),LEFT($A1006,3)="Pan"),1,"")</f>
        <v/>
      </c>
    </row>
    <row r="1006">
      <c r="S1006">
        <f>IF(AND(ISTEXT($A1006),ISNUMBER(SEARCH(" - ",$A1006)),ISERROR(SEARCH("Folio",$A1006)),$D1006=""),TRIM($A1006),$S1005)</f>
        <v/>
      </c>
      <c r="T1006">
        <f>IF(AND(ISNUMBER(SEARCH("Folio",$A1006)),$D1006&lt;&gt;""),1,"")</f>
        <v/>
      </c>
      <c r="U1006">
        <f>IF($T1006=1,COUNTIF($T$9:$T1006,1),"")</f>
        <v/>
      </c>
      <c r="V1006">
        <f>IF(AND(ISTEXT($A1006),LEFT($A1007,3)="Pan"),1,"")</f>
        <v/>
      </c>
    </row>
    <row r="1007">
      <c r="S1007">
        <f>IF(AND(ISTEXT($A1007),ISNUMBER(SEARCH(" - ",$A1007)),ISERROR(SEARCH("Folio",$A1007)),$D1007=""),TRIM($A1007),$S1006)</f>
        <v/>
      </c>
      <c r="T1007">
        <f>IF(AND(ISNUMBER(SEARCH("Folio",$A1007)),$D1007&lt;&gt;""),1,"")</f>
        <v/>
      </c>
      <c r="U1007">
        <f>IF($T1007=1,COUNTIF($T$9:$T1007,1),"")</f>
        <v/>
      </c>
      <c r="V1007">
        <f>IF(AND(ISTEXT($A1007),LEFT($A1008,3)="Pan"),1,"")</f>
        <v/>
      </c>
    </row>
    <row r="1008">
      <c r="S1008">
        <f>IF(AND(ISTEXT($A1008),ISNUMBER(SEARCH(" - ",$A1008)),ISERROR(SEARCH("Folio",$A1008)),$D1008=""),TRIM($A1008),$S1007)</f>
        <v/>
      </c>
      <c r="T1008">
        <f>IF(AND(ISNUMBER(SEARCH("Folio",$A1008)),$D1008&lt;&gt;""),1,"")</f>
        <v/>
      </c>
      <c r="U1008">
        <f>IF($T1008=1,COUNTIF($T$9:$T1008,1),"")</f>
        <v/>
      </c>
      <c r="V1008">
        <f>IF(AND(ISTEXT($A1008),LEFT($A1009,3)="Pan"),1,"")</f>
        <v/>
      </c>
    </row>
    <row r="1009">
      <c r="S1009">
        <f>IF(AND(ISTEXT($A1009),ISNUMBER(SEARCH(" - ",$A1009)),ISERROR(SEARCH("Folio",$A1009)),$D1009=""),TRIM($A1009),$S1008)</f>
        <v/>
      </c>
      <c r="T1009">
        <f>IF(AND(ISNUMBER(SEARCH("Folio",$A1009)),$D1009&lt;&gt;""),1,"")</f>
        <v/>
      </c>
      <c r="U1009">
        <f>IF($T1009=1,COUNTIF($T$9:$T1009,1),"")</f>
        <v/>
      </c>
      <c r="V1009">
        <f>IF(AND(ISTEXT($A1009),LEFT($A1010,3)="Pan"),1,"")</f>
        <v/>
      </c>
    </row>
    <row r="1010">
      <c r="S1010">
        <f>IF(AND(ISTEXT($A1010),ISNUMBER(SEARCH(" - ",$A1010)),ISERROR(SEARCH("Folio",$A1010)),$D1010=""),TRIM($A1010),$S1009)</f>
        <v/>
      </c>
      <c r="T1010">
        <f>IF(AND(ISNUMBER(SEARCH("Folio",$A1010)),$D1010&lt;&gt;""),1,"")</f>
        <v/>
      </c>
      <c r="U1010">
        <f>IF($T1010=1,COUNTIF($T$9:$T1010,1),"")</f>
        <v/>
      </c>
      <c r="V1010">
        <f>IF(AND(ISTEXT($A1010),LEFT($A1011,3)="Pan"),1,"")</f>
        <v/>
      </c>
    </row>
    <row r="1011">
      <c r="S1011">
        <f>IF(AND(ISTEXT($A1011),ISNUMBER(SEARCH(" - ",$A1011)),ISERROR(SEARCH("Folio",$A1011)),$D1011=""),TRIM($A1011),$S1010)</f>
        <v/>
      </c>
      <c r="T1011">
        <f>IF(AND(ISNUMBER(SEARCH("Folio",$A1011)),$D1011&lt;&gt;""),1,"")</f>
        <v/>
      </c>
      <c r="U1011">
        <f>IF($T1011=1,COUNTIF($T$9:$T1011,1),"")</f>
        <v/>
      </c>
      <c r="V1011">
        <f>IF(AND(ISTEXT($A1011),LEFT($A1012,3)="Pan"),1,"")</f>
        <v/>
      </c>
    </row>
    <row r="1012">
      <c r="S1012">
        <f>IF(AND(ISTEXT($A1012),ISNUMBER(SEARCH(" - ",$A1012)),ISERROR(SEARCH("Folio",$A1012)),$D1012=""),TRIM($A1012),$S1011)</f>
        <v/>
      </c>
      <c r="T1012">
        <f>IF(AND(ISNUMBER(SEARCH("Folio",$A1012)),$D1012&lt;&gt;""),1,"")</f>
        <v/>
      </c>
      <c r="U1012">
        <f>IF($T1012=1,COUNTIF($T$9:$T1012,1),"")</f>
        <v/>
      </c>
      <c r="V1012">
        <f>IF(AND(ISTEXT($A1012),LEFT($A1013,3)="Pan"),1,"")</f>
        <v/>
      </c>
    </row>
    <row r="1013">
      <c r="S1013">
        <f>IF(AND(ISTEXT($A1013),ISNUMBER(SEARCH(" - ",$A1013)),ISERROR(SEARCH("Folio",$A1013)),$D1013=""),TRIM($A1013),$S1012)</f>
        <v/>
      </c>
      <c r="T1013">
        <f>IF(AND(ISNUMBER(SEARCH("Folio",$A1013)),$D1013&lt;&gt;""),1,"")</f>
        <v/>
      </c>
      <c r="U1013">
        <f>IF($T1013=1,COUNTIF($T$9:$T1013,1),"")</f>
        <v/>
      </c>
      <c r="V1013">
        <f>IF(AND(ISTEXT($A1013),LEFT($A1014,3)="Pan"),1,"")</f>
        <v/>
      </c>
    </row>
    <row r="1014">
      <c r="S1014">
        <f>IF(AND(ISTEXT($A1014),ISNUMBER(SEARCH(" - ",$A1014)),ISERROR(SEARCH("Folio",$A1014)),$D1014=""),TRIM($A1014),$S1013)</f>
        <v/>
      </c>
      <c r="T1014">
        <f>IF(AND(ISNUMBER(SEARCH("Folio",$A1014)),$D1014&lt;&gt;""),1,"")</f>
        <v/>
      </c>
      <c r="U1014">
        <f>IF($T1014=1,COUNTIF($T$9:$T1014,1),"")</f>
        <v/>
      </c>
      <c r="V1014">
        <f>IF(AND(ISTEXT($A1014),LEFT($A1015,3)="Pan"),1,"")</f>
        <v/>
      </c>
    </row>
    <row r="1015">
      <c r="S1015">
        <f>IF(AND(ISTEXT($A1015),ISNUMBER(SEARCH(" - ",$A1015)),ISERROR(SEARCH("Folio",$A1015)),$D1015=""),TRIM($A1015),$S1014)</f>
        <v/>
      </c>
      <c r="T1015">
        <f>IF(AND(ISNUMBER(SEARCH("Folio",$A1015)),$D1015&lt;&gt;""),1,"")</f>
        <v/>
      </c>
      <c r="U1015">
        <f>IF($T1015=1,COUNTIF($T$9:$T1015,1),"")</f>
        <v/>
      </c>
      <c r="V1015">
        <f>IF(AND(ISTEXT($A1015),LEFT($A1016,3)="Pan"),1,"")</f>
        <v/>
      </c>
    </row>
    <row r="1016">
      <c r="S1016">
        <f>IF(AND(ISTEXT($A1016),ISNUMBER(SEARCH(" - ",$A1016)),ISERROR(SEARCH("Folio",$A1016)),$D1016=""),TRIM($A1016),$S1015)</f>
        <v/>
      </c>
      <c r="T1016">
        <f>IF(AND(ISNUMBER(SEARCH("Folio",$A1016)),$D1016&lt;&gt;""),1,"")</f>
        <v/>
      </c>
      <c r="U1016">
        <f>IF($T1016=1,COUNTIF($T$9:$T1016,1),"")</f>
        <v/>
      </c>
      <c r="V1016">
        <f>IF(AND(ISTEXT($A1016),LEFT($A1017,3)="Pan"),1,"")</f>
        <v/>
      </c>
    </row>
    <row r="1017">
      <c r="S1017">
        <f>IF(AND(ISTEXT($A1017),ISNUMBER(SEARCH(" - ",$A1017)),ISERROR(SEARCH("Folio",$A1017)),$D1017=""),TRIM($A1017),$S1016)</f>
        <v/>
      </c>
      <c r="T1017">
        <f>IF(AND(ISNUMBER(SEARCH("Folio",$A1017)),$D1017&lt;&gt;""),1,"")</f>
        <v/>
      </c>
      <c r="U1017">
        <f>IF($T1017=1,COUNTIF($T$9:$T1017,1),"")</f>
        <v/>
      </c>
      <c r="V1017">
        <f>IF(AND(ISTEXT($A1017),LEFT($A1018,3)="Pan"),1,"")</f>
        <v/>
      </c>
    </row>
    <row r="1018">
      <c r="S1018">
        <f>IF(AND(ISTEXT($A1018),ISNUMBER(SEARCH(" - ",$A1018)),ISERROR(SEARCH("Folio",$A1018)),$D1018=""),TRIM($A1018),$S1017)</f>
        <v/>
      </c>
      <c r="T1018">
        <f>IF(AND(ISNUMBER(SEARCH("Folio",$A1018)),$D1018&lt;&gt;""),1,"")</f>
        <v/>
      </c>
      <c r="U1018">
        <f>IF($T1018=1,COUNTIF($T$9:$T1018,1),"")</f>
        <v/>
      </c>
      <c r="V1018">
        <f>IF(AND(ISTEXT($A1018),LEFT($A1019,3)="Pan"),1,"")</f>
        <v/>
      </c>
    </row>
    <row r="1019">
      <c r="S1019">
        <f>IF(AND(ISTEXT($A1019),ISNUMBER(SEARCH(" - ",$A1019)),ISERROR(SEARCH("Folio",$A1019)),$D1019=""),TRIM($A1019),$S1018)</f>
        <v/>
      </c>
      <c r="T1019">
        <f>IF(AND(ISNUMBER(SEARCH("Folio",$A1019)),$D1019&lt;&gt;""),1,"")</f>
        <v/>
      </c>
      <c r="U1019">
        <f>IF($T1019=1,COUNTIF($T$9:$T1019,1),"")</f>
        <v/>
      </c>
      <c r="V1019">
        <f>IF(AND(ISTEXT($A1019),LEFT($A1020,3)="Pan"),1,"")</f>
        <v/>
      </c>
    </row>
    <row r="1020">
      <c r="S1020">
        <f>IF(AND(ISTEXT($A1020),ISNUMBER(SEARCH(" - ",$A1020)),ISERROR(SEARCH("Folio",$A1020)),$D1020=""),TRIM($A1020),$S1019)</f>
        <v/>
      </c>
      <c r="T1020">
        <f>IF(AND(ISNUMBER(SEARCH("Folio",$A1020)),$D1020&lt;&gt;""),1,"")</f>
        <v/>
      </c>
      <c r="U1020">
        <f>IF($T1020=1,COUNTIF($T$9:$T1020,1),"")</f>
        <v/>
      </c>
      <c r="V1020">
        <f>IF(AND(ISTEXT($A1020),LEFT($A1021,3)="Pan"),1,"")</f>
        <v/>
      </c>
    </row>
    <row r="1021">
      <c r="S1021">
        <f>IF(AND(ISTEXT($A1021),ISNUMBER(SEARCH(" - ",$A1021)),ISERROR(SEARCH("Folio",$A1021)),$D1021=""),TRIM($A1021),$S1020)</f>
        <v/>
      </c>
      <c r="T1021">
        <f>IF(AND(ISNUMBER(SEARCH("Folio",$A1021)),$D1021&lt;&gt;""),1,"")</f>
        <v/>
      </c>
      <c r="U1021">
        <f>IF($T1021=1,COUNTIF($T$9:$T1021,1),"")</f>
        <v/>
      </c>
      <c r="V1021">
        <f>IF(AND(ISTEXT($A1021),LEFT($A1022,3)="Pan"),1,"")</f>
        <v/>
      </c>
    </row>
    <row r="1022">
      <c r="S1022">
        <f>IF(AND(ISTEXT($A1022),ISNUMBER(SEARCH(" - ",$A1022)),ISERROR(SEARCH("Folio",$A1022)),$D1022=""),TRIM($A1022),$S1021)</f>
        <v/>
      </c>
      <c r="T1022">
        <f>IF(AND(ISNUMBER(SEARCH("Folio",$A1022)),$D1022&lt;&gt;""),1,"")</f>
        <v/>
      </c>
      <c r="U1022">
        <f>IF($T1022=1,COUNTIF($T$9:$T1022,1),"")</f>
        <v/>
      </c>
      <c r="V1022">
        <f>IF(AND(ISTEXT($A1022),LEFT($A1023,3)="Pan"),1,"")</f>
        <v/>
      </c>
    </row>
    <row r="1023">
      <c r="S1023">
        <f>IF(AND(ISTEXT($A1023),ISNUMBER(SEARCH(" - ",$A1023)),ISERROR(SEARCH("Folio",$A1023)),$D1023=""),TRIM($A1023),$S1022)</f>
        <v/>
      </c>
      <c r="T1023">
        <f>IF(AND(ISNUMBER(SEARCH("Folio",$A1023)),$D1023&lt;&gt;""),1,"")</f>
        <v/>
      </c>
      <c r="U1023">
        <f>IF($T1023=1,COUNTIF($T$9:$T1023,1),"")</f>
        <v/>
      </c>
      <c r="V1023">
        <f>IF(AND(ISTEXT($A1023),LEFT($A1024,3)="Pan"),1,"")</f>
        <v/>
      </c>
    </row>
    <row r="1024">
      <c r="S1024">
        <f>IF(AND(ISTEXT($A1024),ISNUMBER(SEARCH(" - ",$A1024)),ISERROR(SEARCH("Folio",$A1024)),$D1024=""),TRIM($A1024),$S1023)</f>
        <v/>
      </c>
      <c r="T1024">
        <f>IF(AND(ISNUMBER(SEARCH("Folio",$A1024)),$D1024&lt;&gt;""),1,"")</f>
        <v/>
      </c>
      <c r="U1024">
        <f>IF($T1024=1,COUNTIF($T$9:$T1024,1),"")</f>
        <v/>
      </c>
      <c r="V1024">
        <f>IF(AND(ISTEXT($A1024),LEFT($A1025,3)="Pan"),1,"")</f>
        <v/>
      </c>
    </row>
    <row r="1025">
      <c r="S1025">
        <f>IF(AND(ISTEXT($A1025),ISNUMBER(SEARCH(" - ",$A1025)),ISERROR(SEARCH("Folio",$A1025)),$D1025=""),TRIM($A1025),$S1024)</f>
        <v/>
      </c>
      <c r="T1025">
        <f>IF(AND(ISNUMBER(SEARCH("Folio",$A1025)),$D1025&lt;&gt;""),1,"")</f>
        <v/>
      </c>
      <c r="U1025">
        <f>IF($T1025=1,COUNTIF($T$9:$T1025,1),"")</f>
        <v/>
      </c>
      <c r="V1025">
        <f>IF(AND(ISTEXT($A1025),LEFT($A1026,3)="Pan"),1,"")</f>
        <v/>
      </c>
    </row>
    <row r="1026">
      <c r="S1026">
        <f>IF(AND(ISTEXT($A1026),ISNUMBER(SEARCH(" - ",$A1026)),ISERROR(SEARCH("Folio",$A1026)),$D1026=""),TRIM($A1026),$S1025)</f>
        <v/>
      </c>
      <c r="T1026">
        <f>IF(AND(ISNUMBER(SEARCH("Folio",$A1026)),$D1026&lt;&gt;""),1,"")</f>
        <v/>
      </c>
      <c r="U1026">
        <f>IF($T1026=1,COUNTIF($T$9:$T1026,1),"")</f>
        <v/>
      </c>
      <c r="V1026">
        <f>IF(AND(ISTEXT($A1026),LEFT($A1027,3)="Pan"),1,"")</f>
        <v/>
      </c>
    </row>
    <row r="1027">
      <c r="S1027">
        <f>IF(AND(ISTEXT($A1027),ISNUMBER(SEARCH(" - ",$A1027)),ISERROR(SEARCH("Folio",$A1027)),$D1027=""),TRIM($A1027),$S1026)</f>
        <v/>
      </c>
      <c r="T1027">
        <f>IF(AND(ISNUMBER(SEARCH("Folio",$A1027)),$D1027&lt;&gt;""),1,"")</f>
        <v/>
      </c>
      <c r="U1027">
        <f>IF($T1027=1,COUNTIF($T$9:$T1027,1),"")</f>
        <v/>
      </c>
      <c r="V1027">
        <f>IF(AND(ISTEXT($A1027),LEFT($A1028,3)="Pan"),1,"")</f>
        <v/>
      </c>
    </row>
    <row r="1028">
      <c r="S1028">
        <f>IF(AND(ISTEXT($A1028),ISNUMBER(SEARCH(" - ",$A1028)),ISERROR(SEARCH("Folio",$A1028)),$D1028=""),TRIM($A1028),$S1027)</f>
        <v/>
      </c>
      <c r="T1028">
        <f>IF(AND(ISNUMBER(SEARCH("Folio",$A1028)),$D1028&lt;&gt;""),1,"")</f>
        <v/>
      </c>
      <c r="U1028">
        <f>IF($T1028=1,COUNTIF($T$9:$T1028,1),"")</f>
        <v/>
      </c>
      <c r="V1028">
        <f>IF(AND(ISTEXT($A1028),LEFT($A1029,3)="Pan"),1,"")</f>
        <v/>
      </c>
    </row>
    <row r="1029">
      <c r="S1029">
        <f>IF(AND(ISTEXT($A1029),ISNUMBER(SEARCH(" - ",$A1029)),ISERROR(SEARCH("Folio",$A1029)),$D1029=""),TRIM($A1029),$S1028)</f>
        <v/>
      </c>
      <c r="T1029">
        <f>IF(AND(ISNUMBER(SEARCH("Folio",$A1029)),$D1029&lt;&gt;""),1,"")</f>
        <v/>
      </c>
      <c r="U1029">
        <f>IF($T1029=1,COUNTIF($T$9:$T1029,1),"")</f>
        <v/>
      </c>
      <c r="V1029">
        <f>IF(AND(ISTEXT($A1029),LEFT($A1030,3)="Pan"),1,"")</f>
        <v/>
      </c>
    </row>
    <row r="1030">
      <c r="S1030">
        <f>IF(AND(ISTEXT($A1030),ISNUMBER(SEARCH(" - ",$A1030)),ISERROR(SEARCH("Folio",$A1030)),$D1030=""),TRIM($A1030),$S1029)</f>
        <v/>
      </c>
      <c r="T1030">
        <f>IF(AND(ISNUMBER(SEARCH("Folio",$A1030)),$D1030&lt;&gt;""),1,"")</f>
        <v/>
      </c>
      <c r="U1030">
        <f>IF($T1030=1,COUNTIF($T$9:$T1030,1),"")</f>
        <v/>
      </c>
      <c r="V1030">
        <f>IF(AND(ISTEXT($A1030),LEFT($A1031,3)="Pan"),1,"")</f>
        <v/>
      </c>
    </row>
    <row r="1031">
      <c r="S1031">
        <f>IF(AND(ISTEXT($A1031),ISNUMBER(SEARCH(" - ",$A1031)),ISERROR(SEARCH("Folio",$A1031)),$D1031=""),TRIM($A1031),$S1030)</f>
        <v/>
      </c>
      <c r="T1031">
        <f>IF(AND(ISNUMBER(SEARCH("Folio",$A1031)),$D1031&lt;&gt;""),1,"")</f>
        <v/>
      </c>
      <c r="U1031">
        <f>IF($T1031=1,COUNTIF($T$9:$T1031,1),"")</f>
        <v/>
      </c>
      <c r="V1031">
        <f>IF(AND(ISTEXT($A1031),LEFT($A1032,3)="Pan"),1,"")</f>
        <v/>
      </c>
    </row>
    <row r="1032">
      <c r="S1032">
        <f>IF(AND(ISTEXT($A1032),ISNUMBER(SEARCH(" - ",$A1032)),ISERROR(SEARCH("Folio",$A1032)),$D1032=""),TRIM($A1032),$S1031)</f>
        <v/>
      </c>
      <c r="T1032">
        <f>IF(AND(ISNUMBER(SEARCH("Folio",$A1032)),$D1032&lt;&gt;""),1,"")</f>
        <v/>
      </c>
      <c r="U1032">
        <f>IF($T1032=1,COUNTIF($T$9:$T1032,1),"")</f>
        <v/>
      </c>
      <c r="V1032">
        <f>IF(AND(ISTEXT($A1032),LEFT($A1033,3)="Pan"),1,"")</f>
        <v/>
      </c>
    </row>
    <row r="1033">
      <c r="S1033">
        <f>IF(AND(ISTEXT($A1033),ISNUMBER(SEARCH(" - ",$A1033)),ISERROR(SEARCH("Folio",$A1033)),$D1033=""),TRIM($A1033),$S1032)</f>
        <v/>
      </c>
      <c r="T1033">
        <f>IF(AND(ISNUMBER(SEARCH("Folio",$A1033)),$D1033&lt;&gt;""),1,"")</f>
        <v/>
      </c>
      <c r="U1033">
        <f>IF($T1033=1,COUNTIF($T$9:$T1033,1),"")</f>
        <v/>
      </c>
      <c r="V1033">
        <f>IF(AND(ISTEXT($A1033),LEFT($A1034,3)="Pan"),1,"")</f>
        <v/>
      </c>
    </row>
    <row r="1034">
      <c r="S1034">
        <f>IF(AND(ISTEXT($A1034),ISNUMBER(SEARCH(" - ",$A1034)),ISERROR(SEARCH("Folio",$A1034)),$D1034=""),TRIM($A1034),$S1033)</f>
        <v/>
      </c>
      <c r="T1034">
        <f>IF(AND(ISNUMBER(SEARCH("Folio",$A1034)),$D1034&lt;&gt;""),1,"")</f>
        <v/>
      </c>
      <c r="U1034">
        <f>IF($T1034=1,COUNTIF($T$9:$T1034,1),"")</f>
        <v/>
      </c>
      <c r="V1034">
        <f>IF(AND(ISTEXT($A1034),LEFT($A1035,3)="Pan"),1,"")</f>
        <v/>
      </c>
    </row>
    <row r="1035">
      <c r="S1035">
        <f>IF(AND(ISTEXT($A1035),ISNUMBER(SEARCH(" - ",$A1035)),ISERROR(SEARCH("Folio",$A1035)),$D1035=""),TRIM($A1035),$S1034)</f>
        <v/>
      </c>
      <c r="T1035">
        <f>IF(AND(ISNUMBER(SEARCH("Folio",$A1035)),$D1035&lt;&gt;""),1,"")</f>
        <v/>
      </c>
      <c r="U1035">
        <f>IF($T1035=1,COUNTIF($T$9:$T1035,1),"")</f>
        <v/>
      </c>
      <c r="V1035">
        <f>IF(AND(ISTEXT($A1035),LEFT($A1036,3)="Pan"),1,"")</f>
        <v/>
      </c>
    </row>
    <row r="1036">
      <c r="S1036">
        <f>IF(AND(ISTEXT($A1036),ISNUMBER(SEARCH(" - ",$A1036)),ISERROR(SEARCH("Folio",$A1036)),$D1036=""),TRIM($A1036),$S1035)</f>
        <v/>
      </c>
      <c r="T1036">
        <f>IF(AND(ISNUMBER(SEARCH("Folio",$A1036)),$D1036&lt;&gt;""),1,"")</f>
        <v/>
      </c>
      <c r="U1036">
        <f>IF($T1036=1,COUNTIF($T$9:$T1036,1),"")</f>
        <v/>
      </c>
      <c r="V1036">
        <f>IF(AND(ISTEXT($A1036),LEFT($A1037,3)="Pan"),1,"")</f>
        <v/>
      </c>
    </row>
    <row r="1037">
      <c r="S1037">
        <f>IF(AND(ISTEXT($A1037),ISNUMBER(SEARCH(" - ",$A1037)),ISERROR(SEARCH("Folio",$A1037)),$D1037=""),TRIM($A1037),$S1036)</f>
        <v/>
      </c>
      <c r="T1037">
        <f>IF(AND(ISNUMBER(SEARCH("Folio",$A1037)),$D1037&lt;&gt;""),1,"")</f>
        <v/>
      </c>
      <c r="U1037">
        <f>IF($T1037=1,COUNTIF($T$9:$T1037,1),"")</f>
        <v/>
      </c>
      <c r="V1037">
        <f>IF(AND(ISTEXT($A1037),LEFT($A1038,3)="Pan"),1,"")</f>
        <v/>
      </c>
    </row>
    <row r="1038">
      <c r="S1038">
        <f>IF(AND(ISTEXT($A1038),ISNUMBER(SEARCH(" - ",$A1038)),ISERROR(SEARCH("Folio",$A1038)),$D1038=""),TRIM($A1038),$S1037)</f>
        <v/>
      </c>
      <c r="T1038">
        <f>IF(AND(ISNUMBER(SEARCH("Folio",$A1038)),$D1038&lt;&gt;""),1,"")</f>
        <v/>
      </c>
      <c r="U1038">
        <f>IF($T1038=1,COUNTIF($T$9:$T1038,1),"")</f>
        <v/>
      </c>
      <c r="V1038">
        <f>IF(AND(ISTEXT($A1038),LEFT($A1039,3)="Pan"),1,"")</f>
        <v/>
      </c>
    </row>
    <row r="1039">
      <c r="S1039">
        <f>IF(AND(ISTEXT($A1039),ISNUMBER(SEARCH(" - ",$A1039)),ISERROR(SEARCH("Folio",$A1039)),$D1039=""),TRIM($A1039),$S1038)</f>
        <v/>
      </c>
      <c r="T1039">
        <f>IF(AND(ISNUMBER(SEARCH("Folio",$A1039)),$D1039&lt;&gt;""),1,"")</f>
        <v/>
      </c>
      <c r="U1039">
        <f>IF($T1039=1,COUNTIF($T$9:$T1039,1),"")</f>
        <v/>
      </c>
      <c r="V1039">
        <f>IF(AND(ISTEXT($A1039),LEFT($A1040,3)="Pan"),1,"")</f>
        <v/>
      </c>
    </row>
    <row r="1040">
      <c r="S1040">
        <f>IF(AND(ISTEXT($A1040),ISNUMBER(SEARCH(" - ",$A1040)),ISERROR(SEARCH("Folio",$A1040)),$D1040=""),TRIM($A1040),$S1039)</f>
        <v/>
      </c>
      <c r="T1040">
        <f>IF(AND(ISNUMBER(SEARCH("Folio",$A1040)),$D1040&lt;&gt;""),1,"")</f>
        <v/>
      </c>
      <c r="U1040">
        <f>IF($T1040=1,COUNTIF($T$9:$T1040,1),"")</f>
        <v/>
      </c>
      <c r="V1040">
        <f>IF(AND(ISTEXT($A1040),LEFT($A1041,3)="Pan"),1,"")</f>
        <v/>
      </c>
    </row>
    <row r="1041">
      <c r="S1041">
        <f>IF(AND(ISTEXT($A1041),ISNUMBER(SEARCH(" - ",$A1041)),ISERROR(SEARCH("Folio",$A1041)),$D1041=""),TRIM($A1041),$S1040)</f>
        <v/>
      </c>
      <c r="T1041">
        <f>IF(AND(ISNUMBER(SEARCH("Folio",$A1041)),$D1041&lt;&gt;""),1,"")</f>
        <v/>
      </c>
      <c r="U1041">
        <f>IF($T1041=1,COUNTIF($T$9:$T1041,1),"")</f>
        <v/>
      </c>
      <c r="V1041">
        <f>IF(AND(ISTEXT($A1041),LEFT($A1042,3)="Pan"),1,"")</f>
        <v/>
      </c>
    </row>
    <row r="1042">
      <c r="S1042">
        <f>IF(AND(ISTEXT($A1042),ISNUMBER(SEARCH(" - ",$A1042)),ISERROR(SEARCH("Folio",$A1042)),$D1042=""),TRIM($A1042),$S1041)</f>
        <v/>
      </c>
      <c r="T1042">
        <f>IF(AND(ISNUMBER(SEARCH("Folio",$A1042)),$D1042&lt;&gt;""),1,"")</f>
        <v/>
      </c>
      <c r="U1042">
        <f>IF($T1042=1,COUNTIF($T$9:$T1042,1),"")</f>
        <v/>
      </c>
      <c r="V1042">
        <f>IF(AND(ISTEXT($A1042),LEFT($A1043,3)="Pan"),1,"")</f>
        <v/>
      </c>
    </row>
    <row r="1043">
      <c r="S1043">
        <f>IF(AND(ISTEXT($A1043),ISNUMBER(SEARCH(" - ",$A1043)),ISERROR(SEARCH("Folio",$A1043)),$D1043=""),TRIM($A1043),$S1042)</f>
        <v/>
      </c>
      <c r="T1043">
        <f>IF(AND(ISNUMBER(SEARCH("Folio",$A1043)),$D1043&lt;&gt;""),1,"")</f>
        <v/>
      </c>
      <c r="U1043">
        <f>IF($T1043=1,COUNTIF($T$9:$T1043,1),"")</f>
        <v/>
      </c>
      <c r="V1043">
        <f>IF(AND(ISTEXT($A1043),LEFT($A1044,3)="Pan"),1,"")</f>
        <v/>
      </c>
    </row>
    <row r="1044">
      <c r="S1044">
        <f>IF(AND(ISTEXT($A1044),ISNUMBER(SEARCH(" - ",$A1044)),ISERROR(SEARCH("Folio",$A1044)),$D1044=""),TRIM($A1044),$S1043)</f>
        <v/>
      </c>
      <c r="T1044">
        <f>IF(AND(ISNUMBER(SEARCH("Folio",$A1044)),$D1044&lt;&gt;""),1,"")</f>
        <v/>
      </c>
      <c r="U1044">
        <f>IF($T1044=1,COUNTIF($T$9:$T1044,1),"")</f>
        <v/>
      </c>
      <c r="V1044">
        <f>IF(AND(ISTEXT($A1044),LEFT($A1045,3)="Pan"),1,"")</f>
        <v/>
      </c>
    </row>
    <row r="1045">
      <c r="S1045">
        <f>IF(AND(ISTEXT($A1045),ISNUMBER(SEARCH(" - ",$A1045)),ISERROR(SEARCH("Folio",$A1045)),$D1045=""),TRIM($A1045),$S1044)</f>
        <v/>
      </c>
      <c r="T1045">
        <f>IF(AND(ISNUMBER(SEARCH("Folio",$A1045)),$D1045&lt;&gt;""),1,"")</f>
        <v/>
      </c>
      <c r="U1045">
        <f>IF($T1045=1,COUNTIF($T$9:$T1045,1),"")</f>
        <v/>
      </c>
      <c r="V1045">
        <f>IF(AND(ISTEXT($A1045),LEFT($A1046,3)="Pan"),1,"")</f>
        <v/>
      </c>
    </row>
    <row r="1046">
      <c r="S1046">
        <f>IF(AND(ISTEXT($A1046),ISNUMBER(SEARCH(" - ",$A1046)),ISERROR(SEARCH("Folio",$A1046)),$D1046=""),TRIM($A1046),$S1045)</f>
        <v/>
      </c>
      <c r="T1046">
        <f>IF(AND(ISNUMBER(SEARCH("Folio",$A1046)),$D1046&lt;&gt;""),1,"")</f>
        <v/>
      </c>
      <c r="U1046">
        <f>IF($T1046=1,COUNTIF($T$9:$T1046,1),"")</f>
        <v/>
      </c>
      <c r="V1046">
        <f>IF(AND(ISTEXT($A1046),LEFT($A1047,3)="Pan"),1,"")</f>
        <v/>
      </c>
    </row>
    <row r="1047">
      <c r="S1047">
        <f>IF(AND(ISTEXT($A1047),ISNUMBER(SEARCH(" - ",$A1047)),ISERROR(SEARCH("Folio",$A1047)),$D1047=""),TRIM($A1047),$S1046)</f>
        <v/>
      </c>
      <c r="T1047">
        <f>IF(AND(ISNUMBER(SEARCH("Folio",$A1047)),$D1047&lt;&gt;""),1,"")</f>
        <v/>
      </c>
      <c r="U1047">
        <f>IF($T1047=1,COUNTIF($T$9:$T1047,1),"")</f>
        <v/>
      </c>
      <c r="V1047">
        <f>IF(AND(ISTEXT($A1047),LEFT($A1048,3)="Pan"),1,"")</f>
        <v/>
      </c>
    </row>
    <row r="1048">
      <c r="S1048">
        <f>IF(AND(ISTEXT($A1048),ISNUMBER(SEARCH(" - ",$A1048)),ISERROR(SEARCH("Folio",$A1048)),$D1048=""),TRIM($A1048),$S1047)</f>
        <v/>
      </c>
      <c r="T1048">
        <f>IF(AND(ISNUMBER(SEARCH("Folio",$A1048)),$D1048&lt;&gt;""),1,"")</f>
        <v/>
      </c>
      <c r="U1048">
        <f>IF($T1048=1,COUNTIF($T$9:$T1048,1),"")</f>
        <v/>
      </c>
      <c r="V1048">
        <f>IF(AND(ISTEXT($A1048),LEFT($A1049,3)="Pan"),1,"")</f>
        <v/>
      </c>
    </row>
    <row r="1049">
      <c r="S1049">
        <f>IF(AND(ISTEXT($A1049),ISNUMBER(SEARCH(" - ",$A1049)),ISERROR(SEARCH("Folio",$A1049)),$D1049=""),TRIM($A1049),$S1048)</f>
        <v/>
      </c>
      <c r="T1049">
        <f>IF(AND(ISNUMBER(SEARCH("Folio",$A1049)),$D1049&lt;&gt;""),1,"")</f>
        <v/>
      </c>
      <c r="U1049">
        <f>IF($T1049=1,COUNTIF($T$9:$T1049,1),"")</f>
        <v/>
      </c>
      <c r="V1049">
        <f>IF(AND(ISTEXT($A1049),LEFT($A1050,3)="Pan"),1,"")</f>
        <v/>
      </c>
    </row>
    <row r="1050">
      <c r="S1050">
        <f>IF(AND(ISTEXT($A1050),ISNUMBER(SEARCH(" - ",$A1050)),ISERROR(SEARCH("Folio",$A1050)),$D1050=""),TRIM($A1050),$S1049)</f>
        <v/>
      </c>
      <c r="T1050">
        <f>IF(AND(ISNUMBER(SEARCH("Folio",$A1050)),$D1050&lt;&gt;""),1,"")</f>
        <v/>
      </c>
      <c r="U1050">
        <f>IF($T1050=1,COUNTIF($T$9:$T1050,1),"")</f>
        <v/>
      </c>
      <c r="V1050">
        <f>IF(AND(ISTEXT($A1050),LEFT($A1051,3)="Pan"),1,"")</f>
        <v/>
      </c>
    </row>
    <row r="1051">
      <c r="S1051">
        <f>IF(AND(ISTEXT($A1051),ISNUMBER(SEARCH(" - ",$A1051)),ISERROR(SEARCH("Folio",$A1051)),$D1051=""),TRIM($A1051),$S1050)</f>
        <v/>
      </c>
      <c r="T1051">
        <f>IF(AND(ISNUMBER(SEARCH("Folio",$A1051)),$D1051&lt;&gt;""),1,"")</f>
        <v/>
      </c>
      <c r="U1051">
        <f>IF($T1051=1,COUNTIF($T$9:$T1051,1),"")</f>
        <v/>
      </c>
      <c r="V1051">
        <f>IF(AND(ISTEXT($A1051),LEFT($A1052,3)="Pan"),1,"")</f>
        <v/>
      </c>
    </row>
    <row r="1052">
      <c r="S1052">
        <f>IF(AND(ISTEXT($A1052),ISNUMBER(SEARCH(" - ",$A1052)),ISERROR(SEARCH("Folio",$A1052)),$D1052=""),TRIM($A1052),$S1051)</f>
        <v/>
      </c>
      <c r="T1052">
        <f>IF(AND(ISNUMBER(SEARCH("Folio",$A1052)),$D1052&lt;&gt;""),1,"")</f>
        <v/>
      </c>
      <c r="U1052">
        <f>IF($T1052=1,COUNTIF($T$9:$T1052,1),"")</f>
        <v/>
      </c>
      <c r="V1052">
        <f>IF(AND(ISTEXT($A1052),LEFT($A1053,3)="Pan"),1,"")</f>
        <v/>
      </c>
    </row>
    <row r="1053">
      <c r="S1053">
        <f>IF(AND(ISTEXT($A1053),ISNUMBER(SEARCH(" - ",$A1053)),ISERROR(SEARCH("Folio",$A1053)),$D1053=""),TRIM($A1053),$S1052)</f>
        <v/>
      </c>
      <c r="T1053">
        <f>IF(AND(ISNUMBER(SEARCH("Folio",$A1053)),$D1053&lt;&gt;""),1,"")</f>
        <v/>
      </c>
      <c r="U1053">
        <f>IF($T1053=1,COUNTIF($T$9:$T1053,1),"")</f>
        <v/>
      </c>
      <c r="V1053">
        <f>IF(AND(ISTEXT($A1053),LEFT($A1054,3)="Pan"),1,"")</f>
        <v/>
      </c>
    </row>
    <row r="1054">
      <c r="S1054">
        <f>IF(AND(ISTEXT($A1054),ISNUMBER(SEARCH(" - ",$A1054)),ISERROR(SEARCH("Folio",$A1054)),$D1054=""),TRIM($A1054),$S1053)</f>
        <v/>
      </c>
      <c r="T1054">
        <f>IF(AND(ISNUMBER(SEARCH("Folio",$A1054)),$D1054&lt;&gt;""),1,"")</f>
        <v/>
      </c>
      <c r="U1054">
        <f>IF($T1054=1,COUNTIF($T$9:$T1054,1),"")</f>
        <v/>
      </c>
      <c r="V1054">
        <f>IF(AND(ISTEXT($A1054),LEFT($A1055,3)="Pan"),1,"")</f>
        <v/>
      </c>
    </row>
    <row r="1055">
      <c r="S1055">
        <f>IF(AND(ISTEXT($A1055),ISNUMBER(SEARCH(" - ",$A1055)),ISERROR(SEARCH("Folio",$A1055)),$D1055=""),TRIM($A1055),$S1054)</f>
        <v/>
      </c>
      <c r="T1055">
        <f>IF(AND(ISNUMBER(SEARCH("Folio",$A1055)),$D1055&lt;&gt;""),1,"")</f>
        <v/>
      </c>
      <c r="U1055">
        <f>IF($T1055=1,COUNTIF($T$9:$T1055,1),"")</f>
        <v/>
      </c>
      <c r="V1055">
        <f>IF(AND(ISTEXT($A1055),LEFT($A1056,3)="Pan"),1,"")</f>
        <v/>
      </c>
    </row>
    <row r="1056">
      <c r="S1056">
        <f>IF(AND(ISTEXT($A1056),ISNUMBER(SEARCH(" - ",$A1056)),ISERROR(SEARCH("Folio",$A1056)),$D1056=""),TRIM($A1056),$S1055)</f>
        <v/>
      </c>
      <c r="T1056">
        <f>IF(AND(ISNUMBER(SEARCH("Folio",$A1056)),$D1056&lt;&gt;""),1,"")</f>
        <v/>
      </c>
      <c r="U1056">
        <f>IF($T1056=1,COUNTIF($T$9:$T1056,1),"")</f>
        <v/>
      </c>
      <c r="V1056">
        <f>IF(AND(ISTEXT($A1056),LEFT($A1057,3)="Pan"),1,"")</f>
        <v/>
      </c>
    </row>
    <row r="1057">
      <c r="S1057">
        <f>IF(AND(ISTEXT($A1057),ISNUMBER(SEARCH(" - ",$A1057)),ISERROR(SEARCH("Folio",$A1057)),$D1057=""),TRIM($A1057),$S1056)</f>
        <v/>
      </c>
      <c r="T1057">
        <f>IF(AND(ISNUMBER(SEARCH("Folio",$A1057)),$D1057&lt;&gt;""),1,"")</f>
        <v/>
      </c>
      <c r="U1057">
        <f>IF($T1057=1,COUNTIF($T$9:$T1057,1),"")</f>
        <v/>
      </c>
      <c r="V1057">
        <f>IF(AND(ISTEXT($A1057),LEFT($A1058,3)="Pan"),1,"")</f>
        <v/>
      </c>
    </row>
    <row r="1058">
      <c r="S1058">
        <f>IF(AND(ISTEXT($A1058),ISNUMBER(SEARCH(" - ",$A1058)),ISERROR(SEARCH("Folio",$A1058)),$D1058=""),TRIM($A1058),$S1057)</f>
        <v/>
      </c>
      <c r="T1058">
        <f>IF(AND(ISNUMBER(SEARCH("Folio",$A1058)),$D1058&lt;&gt;""),1,"")</f>
        <v/>
      </c>
      <c r="U1058">
        <f>IF($T1058=1,COUNTIF($T$9:$T1058,1),"")</f>
        <v/>
      </c>
      <c r="V1058">
        <f>IF(AND(ISTEXT($A1058),LEFT($A1059,3)="Pan"),1,"")</f>
        <v/>
      </c>
    </row>
    <row r="1059">
      <c r="S1059">
        <f>IF(AND(ISTEXT($A1059),ISNUMBER(SEARCH(" - ",$A1059)),ISERROR(SEARCH("Folio",$A1059)),$D1059=""),TRIM($A1059),$S1058)</f>
        <v/>
      </c>
      <c r="T1059">
        <f>IF(AND(ISNUMBER(SEARCH("Folio",$A1059)),$D1059&lt;&gt;""),1,"")</f>
        <v/>
      </c>
      <c r="U1059">
        <f>IF($T1059=1,COUNTIF($T$9:$T1059,1),"")</f>
        <v/>
      </c>
      <c r="V1059">
        <f>IF(AND(ISTEXT($A1059),LEFT($A1060,3)="Pan"),1,"")</f>
        <v/>
      </c>
    </row>
    <row r="1060">
      <c r="S1060">
        <f>IF(AND(ISTEXT($A1060),ISNUMBER(SEARCH(" - ",$A1060)),ISERROR(SEARCH("Folio",$A1060)),$D1060=""),TRIM($A1060),$S1059)</f>
        <v/>
      </c>
      <c r="T1060">
        <f>IF(AND(ISNUMBER(SEARCH("Folio",$A1060)),$D1060&lt;&gt;""),1,"")</f>
        <v/>
      </c>
      <c r="U1060">
        <f>IF($T1060=1,COUNTIF($T$9:$T1060,1),"")</f>
        <v/>
      </c>
      <c r="V1060">
        <f>IF(AND(ISTEXT($A1060),LEFT($A1061,3)="Pan"),1,"")</f>
        <v/>
      </c>
    </row>
    <row r="1061">
      <c r="S1061">
        <f>IF(AND(ISTEXT($A1061),ISNUMBER(SEARCH(" - ",$A1061)),ISERROR(SEARCH("Folio",$A1061)),$D1061=""),TRIM($A1061),$S1060)</f>
        <v/>
      </c>
      <c r="T1061">
        <f>IF(AND(ISNUMBER(SEARCH("Folio",$A1061)),$D1061&lt;&gt;""),1,"")</f>
        <v/>
      </c>
      <c r="U1061">
        <f>IF($T1061=1,COUNTIF($T$9:$T1061,1),"")</f>
        <v/>
      </c>
      <c r="V1061">
        <f>IF(AND(ISTEXT($A1061),LEFT($A1062,3)="Pan"),1,"")</f>
        <v/>
      </c>
    </row>
    <row r="1062">
      <c r="S1062">
        <f>IF(AND(ISTEXT($A1062),ISNUMBER(SEARCH(" - ",$A1062)),ISERROR(SEARCH("Folio",$A1062)),$D1062=""),TRIM($A1062),$S1061)</f>
        <v/>
      </c>
      <c r="T1062">
        <f>IF(AND(ISNUMBER(SEARCH("Folio",$A1062)),$D1062&lt;&gt;""),1,"")</f>
        <v/>
      </c>
      <c r="U1062">
        <f>IF($T1062=1,COUNTIF($T$9:$T1062,1),"")</f>
        <v/>
      </c>
      <c r="V1062">
        <f>IF(AND(ISTEXT($A1062),LEFT($A1063,3)="Pan"),1,"")</f>
        <v/>
      </c>
    </row>
    <row r="1063">
      <c r="S1063">
        <f>IF(AND(ISTEXT($A1063),ISNUMBER(SEARCH(" - ",$A1063)),ISERROR(SEARCH("Folio",$A1063)),$D1063=""),TRIM($A1063),$S1062)</f>
        <v/>
      </c>
      <c r="T1063">
        <f>IF(AND(ISNUMBER(SEARCH("Folio",$A1063)),$D1063&lt;&gt;""),1,"")</f>
        <v/>
      </c>
      <c r="U1063">
        <f>IF($T1063=1,COUNTIF($T$9:$T1063,1),"")</f>
        <v/>
      </c>
      <c r="V1063">
        <f>IF(AND(ISTEXT($A1063),LEFT($A1064,3)="Pan"),1,"")</f>
        <v/>
      </c>
    </row>
    <row r="1064">
      <c r="S1064">
        <f>IF(AND(ISTEXT($A1064),ISNUMBER(SEARCH(" - ",$A1064)),ISERROR(SEARCH("Folio",$A1064)),$D1064=""),TRIM($A1064),$S1063)</f>
        <v/>
      </c>
      <c r="T1064">
        <f>IF(AND(ISNUMBER(SEARCH("Folio",$A1064)),$D1064&lt;&gt;""),1,"")</f>
        <v/>
      </c>
      <c r="U1064">
        <f>IF($T1064=1,COUNTIF($T$9:$T1064,1),"")</f>
        <v/>
      </c>
      <c r="V1064">
        <f>IF(AND(ISTEXT($A1064),LEFT($A1065,3)="Pan"),1,"")</f>
        <v/>
      </c>
    </row>
    <row r="1065">
      <c r="S1065">
        <f>IF(AND(ISTEXT($A1065),ISNUMBER(SEARCH(" - ",$A1065)),ISERROR(SEARCH("Folio",$A1065)),$D1065=""),TRIM($A1065),$S1064)</f>
        <v/>
      </c>
      <c r="T1065">
        <f>IF(AND(ISNUMBER(SEARCH("Folio",$A1065)),$D1065&lt;&gt;""),1,"")</f>
        <v/>
      </c>
      <c r="U1065">
        <f>IF($T1065=1,COUNTIF($T$9:$T1065,1),"")</f>
        <v/>
      </c>
      <c r="V1065">
        <f>IF(AND(ISTEXT($A1065),LEFT($A1066,3)="Pan"),1,"")</f>
        <v/>
      </c>
    </row>
    <row r="1066">
      <c r="S1066">
        <f>IF(AND(ISTEXT($A1066),ISNUMBER(SEARCH(" - ",$A1066)),ISERROR(SEARCH("Folio",$A1066)),$D1066=""),TRIM($A1066),$S1065)</f>
        <v/>
      </c>
      <c r="T1066">
        <f>IF(AND(ISNUMBER(SEARCH("Folio",$A1066)),$D1066&lt;&gt;""),1,"")</f>
        <v/>
      </c>
      <c r="U1066">
        <f>IF($T1066=1,COUNTIF($T$9:$T1066,1),"")</f>
        <v/>
      </c>
      <c r="V1066">
        <f>IF(AND(ISTEXT($A1066),LEFT($A1067,3)="Pan"),1,"")</f>
        <v/>
      </c>
    </row>
    <row r="1067">
      <c r="S1067">
        <f>IF(AND(ISTEXT($A1067),ISNUMBER(SEARCH(" - ",$A1067)),ISERROR(SEARCH("Folio",$A1067)),$D1067=""),TRIM($A1067),$S1066)</f>
        <v/>
      </c>
      <c r="T1067">
        <f>IF(AND(ISNUMBER(SEARCH("Folio",$A1067)),$D1067&lt;&gt;""),1,"")</f>
        <v/>
      </c>
      <c r="U1067">
        <f>IF($T1067=1,COUNTIF($T$9:$T1067,1),"")</f>
        <v/>
      </c>
      <c r="V1067">
        <f>IF(AND(ISTEXT($A1067),LEFT($A1068,3)="Pan"),1,"")</f>
        <v/>
      </c>
    </row>
    <row r="1068">
      <c r="S1068">
        <f>IF(AND(ISTEXT($A1068),ISNUMBER(SEARCH(" - ",$A1068)),ISERROR(SEARCH("Folio",$A1068)),$D1068=""),TRIM($A1068),$S1067)</f>
        <v/>
      </c>
      <c r="T1068">
        <f>IF(AND(ISNUMBER(SEARCH("Folio",$A1068)),$D1068&lt;&gt;""),1,"")</f>
        <v/>
      </c>
      <c r="U1068">
        <f>IF($T1068=1,COUNTIF($T$9:$T1068,1),"")</f>
        <v/>
      </c>
      <c r="V1068">
        <f>IF(AND(ISTEXT($A1068),LEFT($A1069,3)="Pan"),1,"")</f>
        <v/>
      </c>
    </row>
    <row r="1069">
      <c r="S1069">
        <f>IF(AND(ISTEXT($A1069),ISNUMBER(SEARCH(" - ",$A1069)),ISERROR(SEARCH("Folio",$A1069)),$D1069=""),TRIM($A1069),$S1068)</f>
        <v/>
      </c>
      <c r="T1069">
        <f>IF(AND(ISNUMBER(SEARCH("Folio",$A1069)),$D1069&lt;&gt;""),1,"")</f>
        <v/>
      </c>
      <c r="U1069">
        <f>IF($T1069=1,COUNTIF($T$9:$T1069,1),"")</f>
        <v/>
      </c>
      <c r="V1069">
        <f>IF(AND(ISTEXT($A1069),LEFT($A1070,3)="Pan"),1,"")</f>
        <v/>
      </c>
    </row>
    <row r="1070">
      <c r="S1070">
        <f>IF(AND(ISTEXT($A1070),ISNUMBER(SEARCH(" - ",$A1070)),ISERROR(SEARCH("Folio",$A1070)),$D1070=""),TRIM($A1070),$S1069)</f>
        <v/>
      </c>
      <c r="T1070">
        <f>IF(AND(ISNUMBER(SEARCH("Folio",$A1070)),$D1070&lt;&gt;""),1,"")</f>
        <v/>
      </c>
      <c r="U1070">
        <f>IF($T1070=1,COUNTIF($T$9:$T1070,1),"")</f>
        <v/>
      </c>
      <c r="V1070">
        <f>IF(AND(ISTEXT($A1070),LEFT($A1071,3)="Pan"),1,"")</f>
        <v/>
      </c>
    </row>
    <row r="1071">
      <c r="S1071">
        <f>IF(AND(ISTEXT($A1071),ISNUMBER(SEARCH(" - ",$A1071)),ISERROR(SEARCH("Folio",$A1071)),$D1071=""),TRIM($A1071),$S1070)</f>
        <v/>
      </c>
      <c r="T1071">
        <f>IF(AND(ISNUMBER(SEARCH("Folio",$A1071)),$D1071&lt;&gt;""),1,"")</f>
        <v/>
      </c>
      <c r="U1071">
        <f>IF($T1071=1,COUNTIF($T$9:$T1071,1),"")</f>
        <v/>
      </c>
      <c r="V1071">
        <f>IF(AND(ISTEXT($A1071),LEFT($A1072,3)="Pan"),1,"")</f>
        <v/>
      </c>
    </row>
    <row r="1072">
      <c r="S1072">
        <f>IF(AND(ISTEXT($A1072),ISNUMBER(SEARCH(" - ",$A1072)),ISERROR(SEARCH("Folio",$A1072)),$D1072=""),TRIM($A1072),$S1071)</f>
        <v/>
      </c>
      <c r="T1072">
        <f>IF(AND(ISNUMBER(SEARCH("Folio",$A1072)),$D1072&lt;&gt;""),1,"")</f>
        <v/>
      </c>
      <c r="U1072">
        <f>IF($T1072=1,COUNTIF($T$9:$T1072,1),"")</f>
        <v/>
      </c>
      <c r="V1072">
        <f>IF(AND(ISTEXT($A1072),LEFT($A1073,3)="Pan"),1,"")</f>
        <v/>
      </c>
    </row>
    <row r="1073">
      <c r="S1073">
        <f>IF(AND(ISTEXT($A1073),ISNUMBER(SEARCH(" - ",$A1073)),ISERROR(SEARCH("Folio",$A1073)),$D1073=""),TRIM($A1073),$S1072)</f>
        <v/>
      </c>
      <c r="T1073">
        <f>IF(AND(ISNUMBER(SEARCH("Folio",$A1073)),$D1073&lt;&gt;""),1,"")</f>
        <v/>
      </c>
      <c r="U1073">
        <f>IF($T1073=1,COUNTIF($T$9:$T1073,1),"")</f>
        <v/>
      </c>
      <c r="V1073">
        <f>IF(AND(ISTEXT($A1073),LEFT($A1074,3)="Pan"),1,"")</f>
        <v/>
      </c>
    </row>
    <row r="1074">
      <c r="S1074">
        <f>IF(AND(ISTEXT($A1074),ISNUMBER(SEARCH(" - ",$A1074)),ISERROR(SEARCH("Folio",$A1074)),$D1074=""),TRIM($A1074),$S1073)</f>
        <v/>
      </c>
      <c r="T1074">
        <f>IF(AND(ISNUMBER(SEARCH("Folio",$A1074)),$D1074&lt;&gt;""),1,"")</f>
        <v/>
      </c>
      <c r="U1074">
        <f>IF($T1074=1,COUNTIF($T$9:$T1074,1),"")</f>
        <v/>
      </c>
      <c r="V1074">
        <f>IF(AND(ISTEXT($A1074),LEFT($A1075,3)="Pan"),1,"")</f>
        <v/>
      </c>
    </row>
    <row r="1075">
      <c r="S1075">
        <f>IF(AND(ISTEXT($A1075),ISNUMBER(SEARCH(" - ",$A1075)),ISERROR(SEARCH("Folio",$A1075)),$D1075=""),TRIM($A1075),$S1074)</f>
        <v/>
      </c>
      <c r="T1075">
        <f>IF(AND(ISNUMBER(SEARCH("Folio",$A1075)),$D1075&lt;&gt;""),1,"")</f>
        <v/>
      </c>
      <c r="U1075">
        <f>IF($T1075=1,COUNTIF($T$9:$T1075,1),"")</f>
        <v/>
      </c>
      <c r="V1075">
        <f>IF(AND(ISTEXT($A1075),LEFT($A1076,3)="Pan"),1,"")</f>
        <v/>
      </c>
    </row>
    <row r="1076">
      <c r="S1076">
        <f>IF(AND(ISTEXT($A1076),ISNUMBER(SEARCH(" - ",$A1076)),ISERROR(SEARCH("Folio",$A1076)),$D1076=""),TRIM($A1076),$S1075)</f>
        <v/>
      </c>
      <c r="T1076">
        <f>IF(AND(ISNUMBER(SEARCH("Folio",$A1076)),$D1076&lt;&gt;""),1,"")</f>
        <v/>
      </c>
      <c r="U1076">
        <f>IF($T1076=1,COUNTIF($T$9:$T1076,1),"")</f>
        <v/>
      </c>
      <c r="V1076">
        <f>IF(AND(ISTEXT($A1076),LEFT($A1077,3)="Pan"),1,"")</f>
        <v/>
      </c>
    </row>
    <row r="1077">
      <c r="S1077">
        <f>IF(AND(ISTEXT($A1077),ISNUMBER(SEARCH(" - ",$A1077)),ISERROR(SEARCH("Folio",$A1077)),$D1077=""),TRIM($A1077),$S1076)</f>
        <v/>
      </c>
      <c r="T1077">
        <f>IF(AND(ISNUMBER(SEARCH("Folio",$A1077)),$D1077&lt;&gt;""),1,"")</f>
        <v/>
      </c>
      <c r="U1077">
        <f>IF($T1077=1,COUNTIF($T$9:$T1077,1),"")</f>
        <v/>
      </c>
      <c r="V1077">
        <f>IF(AND(ISTEXT($A1077),LEFT($A1078,3)="Pan"),1,"")</f>
        <v/>
      </c>
    </row>
    <row r="1078">
      <c r="S1078">
        <f>IF(AND(ISTEXT($A1078),ISNUMBER(SEARCH(" - ",$A1078)),ISERROR(SEARCH("Folio",$A1078)),$D1078=""),TRIM($A1078),$S1077)</f>
        <v/>
      </c>
      <c r="T1078">
        <f>IF(AND(ISNUMBER(SEARCH("Folio",$A1078)),$D1078&lt;&gt;""),1,"")</f>
        <v/>
      </c>
      <c r="U1078">
        <f>IF($T1078=1,COUNTIF($T$9:$T1078,1),"")</f>
        <v/>
      </c>
      <c r="V1078">
        <f>IF(AND(ISTEXT($A1078),LEFT($A1079,3)="Pan"),1,"")</f>
        <v/>
      </c>
    </row>
    <row r="1079">
      <c r="S1079">
        <f>IF(AND(ISTEXT($A1079),ISNUMBER(SEARCH(" - ",$A1079)),ISERROR(SEARCH("Folio",$A1079)),$D1079=""),TRIM($A1079),$S1078)</f>
        <v/>
      </c>
      <c r="T1079">
        <f>IF(AND(ISNUMBER(SEARCH("Folio",$A1079)),$D1079&lt;&gt;""),1,"")</f>
        <v/>
      </c>
      <c r="U1079">
        <f>IF($T1079=1,COUNTIF($T$9:$T1079,1),"")</f>
        <v/>
      </c>
      <c r="V1079">
        <f>IF(AND(ISTEXT($A1079),LEFT($A1080,3)="Pan"),1,"")</f>
        <v/>
      </c>
    </row>
    <row r="1080">
      <c r="S1080">
        <f>IF(AND(ISTEXT($A1080),ISNUMBER(SEARCH(" - ",$A1080)),ISERROR(SEARCH("Folio",$A1080)),$D1080=""),TRIM($A1080),$S1079)</f>
        <v/>
      </c>
      <c r="T1080">
        <f>IF(AND(ISNUMBER(SEARCH("Folio",$A1080)),$D1080&lt;&gt;""),1,"")</f>
        <v/>
      </c>
      <c r="U1080">
        <f>IF($T1080=1,COUNTIF($T$9:$T1080,1),"")</f>
        <v/>
      </c>
      <c r="V1080">
        <f>IF(AND(ISTEXT($A1080),LEFT($A1081,3)="Pan"),1,"")</f>
        <v/>
      </c>
    </row>
    <row r="1081">
      <c r="S1081">
        <f>IF(AND(ISTEXT($A1081),ISNUMBER(SEARCH(" - ",$A1081)),ISERROR(SEARCH("Folio",$A1081)),$D1081=""),TRIM($A1081),$S1080)</f>
        <v/>
      </c>
      <c r="T1081">
        <f>IF(AND(ISNUMBER(SEARCH("Folio",$A1081)),$D1081&lt;&gt;""),1,"")</f>
        <v/>
      </c>
      <c r="U1081">
        <f>IF($T1081=1,COUNTIF($T$9:$T1081,1),"")</f>
        <v/>
      </c>
      <c r="V1081">
        <f>IF(AND(ISTEXT($A1081),LEFT($A1082,3)="Pan"),1,"")</f>
        <v/>
      </c>
    </row>
    <row r="1082">
      <c r="S1082">
        <f>IF(AND(ISTEXT($A1082),ISNUMBER(SEARCH(" - ",$A1082)),ISERROR(SEARCH("Folio",$A1082)),$D1082=""),TRIM($A1082),$S1081)</f>
        <v/>
      </c>
      <c r="T1082">
        <f>IF(AND(ISNUMBER(SEARCH("Folio",$A1082)),$D1082&lt;&gt;""),1,"")</f>
        <v/>
      </c>
      <c r="U1082">
        <f>IF($T1082=1,COUNTIF($T$9:$T1082,1),"")</f>
        <v/>
      </c>
      <c r="V1082">
        <f>IF(AND(ISTEXT($A1082),LEFT($A1083,3)="Pan"),1,"")</f>
        <v/>
      </c>
    </row>
    <row r="1083">
      <c r="S1083">
        <f>IF(AND(ISTEXT($A1083),ISNUMBER(SEARCH(" - ",$A1083)),ISERROR(SEARCH("Folio",$A1083)),$D1083=""),TRIM($A1083),$S1082)</f>
        <v/>
      </c>
      <c r="T1083">
        <f>IF(AND(ISNUMBER(SEARCH("Folio",$A1083)),$D1083&lt;&gt;""),1,"")</f>
        <v/>
      </c>
      <c r="U1083">
        <f>IF($T1083=1,COUNTIF($T$9:$T1083,1),"")</f>
        <v/>
      </c>
      <c r="V1083">
        <f>IF(AND(ISTEXT($A1083),LEFT($A1084,3)="Pan"),1,"")</f>
        <v/>
      </c>
    </row>
    <row r="1084">
      <c r="S1084">
        <f>IF(AND(ISTEXT($A1084),ISNUMBER(SEARCH(" - ",$A1084)),ISERROR(SEARCH("Folio",$A1084)),$D1084=""),TRIM($A1084),$S1083)</f>
        <v/>
      </c>
      <c r="T1084">
        <f>IF(AND(ISNUMBER(SEARCH("Folio",$A1084)),$D1084&lt;&gt;""),1,"")</f>
        <v/>
      </c>
      <c r="U1084">
        <f>IF($T1084=1,COUNTIF($T$9:$T1084,1),"")</f>
        <v/>
      </c>
      <c r="V1084">
        <f>IF(AND(ISTEXT($A1084),LEFT($A1085,3)="Pan"),1,"")</f>
        <v/>
      </c>
    </row>
    <row r="1085">
      <c r="S1085">
        <f>IF(AND(ISTEXT($A1085),ISNUMBER(SEARCH(" - ",$A1085)),ISERROR(SEARCH("Folio",$A1085)),$D1085=""),TRIM($A1085),$S1084)</f>
        <v/>
      </c>
      <c r="T1085">
        <f>IF(AND(ISNUMBER(SEARCH("Folio",$A1085)),$D1085&lt;&gt;""),1,"")</f>
        <v/>
      </c>
      <c r="U1085">
        <f>IF($T1085=1,COUNTIF($T$9:$T1085,1),"")</f>
        <v/>
      </c>
      <c r="V1085">
        <f>IF(AND(ISTEXT($A1085),LEFT($A1086,3)="Pan"),1,"")</f>
        <v/>
      </c>
    </row>
    <row r="1086">
      <c r="S1086">
        <f>IF(AND(ISTEXT($A1086),ISNUMBER(SEARCH(" - ",$A1086)),ISERROR(SEARCH("Folio",$A1086)),$D1086=""),TRIM($A1086),$S1085)</f>
        <v/>
      </c>
      <c r="T1086">
        <f>IF(AND(ISNUMBER(SEARCH("Folio",$A1086)),$D1086&lt;&gt;""),1,"")</f>
        <v/>
      </c>
      <c r="U1086">
        <f>IF($T1086=1,COUNTIF($T$9:$T1086,1),"")</f>
        <v/>
      </c>
      <c r="V1086">
        <f>IF(AND(ISTEXT($A1086),LEFT($A1087,3)="Pan"),1,"")</f>
        <v/>
      </c>
    </row>
    <row r="1087">
      <c r="S1087">
        <f>IF(AND(ISTEXT($A1087),ISNUMBER(SEARCH(" - ",$A1087)),ISERROR(SEARCH("Folio",$A1087)),$D1087=""),TRIM($A1087),$S1086)</f>
        <v/>
      </c>
      <c r="T1087">
        <f>IF(AND(ISNUMBER(SEARCH("Folio",$A1087)),$D1087&lt;&gt;""),1,"")</f>
        <v/>
      </c>
      <c r="U1087">
        <f>IF($T1087=1,COUNTIF($T$9:$T1087,1),"")</f>
        <v/>
      </c>
      <c r="V1087">
        <f>IF(AND(ISTEXT($A1087),LEFT($A1088,3)="Pan"),1,"")</f>
        <v/>
      </c>
    </row>
    <row r="1088">
      <c r="S1088">
        <f>IF(AND(ISTEXT($A1088),ISNUMBER(SEARCH(" - ",$A1088)),ISERROR(SEARCH("Folio",$A1088)),$D1088=""),TRIM($A1088),$S1087)</f>
        <v/>
      </c>
      <c r="T1088">
        <f>IF(AND(ISNUMBER(SEARCH("Folio",$A1088)),$D1088&lt;&gt;""),1,"")</f>
        <v/>
      </c>
      <c r="U1088">
        <f>IF($T1088=1,COUNTIF($T$9:$T1088,1),"")</f>
        <v/>
      </c>
      <c r="V1088">
        <f>IF(AND(ISTEXT($A1088),LEFT($A1089,3)="Pan"),1,"")</f>
        <v/>
      </c>
    </row>
    <row r="1089">
      <c r="S1089">
        <f>IF(AND(ISTEXT($A1089),ISNUMBER(SEARCH(" - ",$A1089)),ISERROR(SEARCH("Folio",$A1089)),$D1089=""),TRIM($A1089),$S1088)</f>
        <v/>
      </c>
      <c r="T1089">
        <f>IF(AND(ISNUMBER(SEARCH("Folio",$A1089)),$D1089&lt;&gt;""),1,"")</f>
        <v/>
      </c>
      <c r="U1089">
        <f>IF($T1089=1,COUNTIF($T$9:$T1089,1),"")</f>
        <v/>
      </c>
      <c r="V1089">
        <f>IF(AND(ISTEXT($A1089),LEFT($A1090,3)="Pan"),1,"")</f>
        <v/>
      </c>
    </row>
    <row r="1090">
      <c r="S1090">
        <f>IF(AND(ISTEXT($A1090),ISNUMBER(SEARCH(" - ",$A1090)),ISERROR(SEARCH("Folio",$A1090)),$D1090=""),TRIM($A1090),$S1089)</f>
        <v/>
      </c>
      <c r="T1090">
        <f>IF(AND(ISNUMBER(SEARCH("Folio",$A1090)),$D1090&lt;&gt;""),1,"")</f>
        <v/>
      </c>
      <c r="U1090">
        <f>IF($T1090=1,COUNTIF($T$9:$T1090,1),"")</f>
        <v/>
      </c>
      <c r="V1090">
        <f>IF(AND(ISTEXT($A1090),LEFT($A1091,3)="Pan"),1,"")</f>
        <v/>
      </c>
    </row>
    <row r="1091">
      <c r="S1091">
        <f>IF(AND(ISTEXT($A1091),ISNUMBER(SEARCH(" - ",$A1091)),ISERROR(SEARCH("Folio",$A1091)),$D1091=""),TRIM($A1091),$S1090)</f>
        <v/>
      </c>
      <c r="T1091">
        <f>IF(AND(ISNUMBER(SEARCH("Folio",$A1091)),$D1091&lt;&gt;""),1,"")</f>
        <v/>
      </c>
      <c r="U1091">
        <f>IF($T1091=1,COUNTIF($T$9:$T1091,1),"")</f>
        <v/>
      </c>
      <c r="V1091">
        <f>IF(AND(ISTEXT($A1091),LEFT($A1092,3)="Pan"),1,"")</f>
        <v/>
      </c>
    </row>
    <row r="1092">
      <c r="S1092">
        <f>IF(AND(ISTEXT($A1092),ISNUMBER(SEARCH(" - ",$A1092)),ISERROR(SEARCH("Folio",$A1092)),$D1092=""),TRIM($A1092),$S1091)</f>
        <v/>
      </c>
      <c r="T1092">
        <f>IF(AND(ISNUMBER(SEARCH("Folio",$A1092)),$D1092&lt;&gt;""),1,"")</f>
        <v/>
      </c>
      <c r="U1092">
        <f>IF($T1092=1,COUNTIF($T$9:$T1092,1),"")</f>
        <v/>
      </c>
      <c r="V1092">
        <f>IF(AND(ISTEXT($A1092),LEFT($A1093,3)="Pan"),1,"")</f>
        <v/>
      </c>
    </row>
    <row r="1093">
      <c r="S1093">
        <f>IF(AND(ISTEXT($A1093),ISNUMBER(SEARCH(" - ",$A1093)),ISERROR(SEARCH("Folio",$A1093)),$D1093=""),TRIM($A1093),$S1092)</f>
        <v/>
      </c>
      <c r="T1093">
        <f>IF(AND(ISNUMBER(SEARCH("Folio",$A1093)),$D1093&lt;&gt;""),1,"")</f>
        <v/>
      </c>
      <c r="U1093">
        <f>IF($T1093=1,COUNTIF($T$9:$T1093,1),"")</f>
        <v/>
      </c>
      <c r="V1093">
        <f>IF(AND(ISTEXT($A1093),LEFT($A1094,3)="Pan"),1,"")</f>
        <v/>
      </c>
    </row>
    <row r="1094">
      <c r="S1094">
        <f>IF(AND(ISTEXT($A1094),ISNUMBER(SEARCH(" - ",$A1094)),ISERROR(SEARCH("Folio",$A1094)),$D1094=""),TRIM($A1094),$S1093)</f>
        <v/>
      </c>
      <c r="T1094">
        <f>IF(AND(ISNUMBER(SEARCH("Folio",$A1094)),$D1094&lt;&gt;""),1,"")</f>
        <v/>
      </c>
      <c r="U1094">
        <f>IF($T1094=1,COUNTIF($T$9:$T1094,1),"")</f>
        <v/>
      </c>
      <c r="V1094">
        <f>IF(AND(ISTEXT($A1094),LEFT($A1095,3)="Pan"),1,"")</f>
        <v/>
      </c>
    </row>
    <row r="1095">
      <c r="S1095">
        <f>IF(AND(ISTEXT($A1095),ISNUMBER(SEARCH(" - ",$A1095)),ISERROR(SEARCH("Folio",$A1095)),$D1095=""),TRIM($A1095),$S1094)</f>
        <v/>
      </c>
      <c r="T1095">
        <f>IF(AND(ISNUMBER(SEARCH("Folio",$A1095)),$D1095&lt;&gt;""),1,"")</f>
        <v/>
      </c>
      <c r="U1095">
        <f>IF($T1095=1,COUNTIF($T$9:$T1095,1),"")</f>
        <v/>
      </c>
      <c r="V1095">
        <f>IF(AND(ISTEXT($A1095),LEFT($A1096,3)="Pan"),1,"")</f>
        <v/>
      </c>
    </row>
    <row r="1096">
      <c r="S1096">
        <f>IF(AND(ISTEXT($A1096),ISNUMBER(SEARCH(" - ",$A1096)),ISERROR(SEARCH("Folio",$A1096)),$D1096=""),TRIM($A1096),$S1095)</f>
        <v/>
      </c>
      <c r="T1096">
        <f>IF(AND(ISNUMBER(SEARCH("Folio",$A1096)),$D1096&lt;&gt;""),1,"")</f>
        <v/>
      </c>
      <c r="U1096">
        <f>IF($T1096=1,COUNTIF($T$9:$T1096,1),"")</f>
        <v/>
      </c>
      <c r="V1096">
        <f>IF(AND(ISTEXT($A1096),LEFT($A1097,3)="Pan"),1,"")</f>
        <v/>
      </c>
    </row>
    <row r="1097">
      <c r="S1097">
        <f>IF(AND(ISTEXT($A1097),ISNUMBER(SEARCH(" - ",$A1097)),ISERROR(SEARCH("Folio",$A1097)),$D1097=""),TRIM($A1097),$S1096)</f>
        <v/>
      </c>
      <c r="T1097">
        <f>IF(AND(ISNUMBER(SEARCH("Folio",$A1097)),$D1097&lt;&gt;""),1,"")</f>
        <v/>
      </c>
      <c r="U1097">
        <f>IF($T1097=1,COUNTIF($T$9:$T1097,1),"")</f>
        <v/>
      </c>
      <c r="V1097">
        <f>IF(AND(ISTEXT($A1097),LEFT($A1098,3)="Pan"),1,"")</f>
        <v/>
      </c>
    </row>
    <row r="1098">
      <c r="S1098">
        <f>IF(AND(ISTEXT($A1098),ISNUMBER(SEARCH(" - ",$A1098)),ISERROR(SEARCH("Folio",$A1098)),$D1098=""),TRIM($A1098),$S1097)</f>
        <v/>
      </c>
      <c r="T1098">
        <f>IF(AND(ISNUMBER(SEARCH("Folio",$A1098)),$D1098&lt;&gt;""),1,"")</f>
        <v/>
      </c>
      <c r="U1098">
        <f>IF($T1098=1,COUNTIF($T$9:$T1098,1),"")</f>
        <v/>
      </c>
      <c r="V1098">
        <f>IF(AND(ISTEXT($A1098),LEFT($A1099,3)="Pan"),1,"")</f>
        <v/>
      </c>
    </row>
    <row r="1099">
      <c r="S1099">
        <f>IF(AND(ISTEXT($A1099),ISNUMBER(SEARCH(" - ",$A1099)),ISERROR(SEARCH("Folio",$A1099)),$D1099=""),TRIM($A1099),$S1098)</f>
        <v/>
      </c>
      <c r="T1099">
        <f>IF(AND(ISNUMBER(SEARCH("Folio",$A1099)),$D1099&lt;&gt;""),1,"")</f>
        <v/>
      </c>
      <c r="U1099">
        <f>IF($T1099=1,COUNTIF($T$9:$T1099,1),"")</f>
        <v/>
      </c>
      <c r="V1099">
        <f>IF(AND(ISTEXT($A1099),LEFT($A1100,3)="Pan"),1,"")</f>
        <v/>
      </c>
    </row>
    <row r="1100">
      <c r="S1100">
        <f>IF(AND(ISTEXT($A1100),ISNUMBER(SEARCH(" - ",$A1100)),ISERROR(SEARCH("Folio",$A1100)),$D1100=""),TRIM($A1100),$S1099)</f>
        <v/>
      </c>
      <c r="T1100">
        <f>IF(AND(ISNUMBER(SEARCH("Folio",$A1100)),$D1100&lt;&gt;""),1,"")</f>
        <v/>
      </c>
      <c r="U1100">
        <f>IF($T1100=1,COUNTIF($T$9:$T1100,1),"")</f>
        <v/>
      </c>
      <c r="V1100">
        <f>IF(AND(ISTEXT($A1100),LEFT($A1101,3)="Pan"),1,"")</f>
        <v/>
      </c>
    </row>
    <row r="1101">
      <c r="S1101">
        <f>IF(AND(ISTEXT($A1101),ISNUMBER(SEARCH(" - ",$A1101)),ISERROR(SEARCH("Folio",$A1101)),$D1101=""),TRIM($A1101),$S1100)</f>
        <v/>
      </c>
      <c r="T1101">
        <f>IF(AND(ISNUMBER(SEARCH("Folio",$A1101)),$D1101&lt;&gt;""),1,"")</f>
        <v/>
      </c>
      <c r="U1101">
        <f>IF($T1101=1,COUNTIF($T$9:$T1101,1),"")</f>
        <v/>
      </c>
      <c r="V1101">
        <f>IF(AND(ISTEXT($A1101),LEFT($A1102,3)="Pan"),1,"")</f>
        <v/>
      </c>
    </row>
    <row r="1102">
      <c r="S1102">
        <f>IF(AND(ISTEXT($A1102),ISNUMBER(SEARCH(" - ",$A1102)),ISERROR(SEARCH("Folio",$A1102)),$D1102=""),TRIM($A1102),$S1101)</f>
        <v/>
      </c>
      <c r="T1102">
        <f>IF(AND(ISNUMBER(SEARCH("Folio",$A1102)),$D1102&lt;&gt;""),1,"")</f>
        <v/>
      </c>
      <c r="U1102">
        <f>IF($T1102=1,COUNTIF($T$9:$T1102,1),"")</f>
        <v/>
      </c>
      <c r="V1102">
        <f>IF(AND(ISTEXT($A1102),LEFT($A1103,3)="Pan"),1,"")</f>
        <v/>
      </c>
    </row>
    <row r="1103">
      <c r="S1103">
        <f>IF(AND(ISTEXT($A1103),ISNUMBER(SEARCH(" - ",$A1103)),ISERROR(SEARCH("Folio",$A1103)),$D1103=""),TRIM($A1103),$S1102)</f>
        <v/>
      </c>
      <c r="T1103">
        <f>IF(AND(ISNUMBER(SEARCH("Folio",$A1103)),$D1103&lt;&gt;""),1,"")</f>
        <v/>
      </c>
      <c r="U1103">
        <f>IF($T1103=1,COUNTIF($T$9:$T1103,1),"")</f>
        <v/>
      </c>
      <c r="V1103">
        <f>IF(AND(ISTEXT($A1103),LEFT($A1104,3)="Pan"),1,"")</f>
        <v/>
      </c>
    </row>
    <row r="1104">
      <c r="S1104">
        <f>IF(AND(ISTEXT($A1104),ISNUMBER(SEARCH(" - ",$A1104)),ISERROR(SEARCH("Folio",$A1104)),$D1104=""),TRIM($A1104),$S1103)</f>
        <v/>
      </c>
      <c r="T1104">
        <f>IF(AND(ISNUMBER(SEARCH("Folio",$A1104)),$D1104&lt;&gt;""),1,"")</f>
        <v/>
      </c>
      <c r="U1104">
        <f>IF($T1104=1,COUNTIF($T$9:$T1104,1),"")</f>
        <v/>
      </c>
      <c r="V1104">
        <f>IF(AND(ISTEXT($A1104),LEFT($A1105,3)="Pan"),1,"")</f>
        <v/>
      </c>
    </row>
    <row r="1105">
      <c r="S1105">
        <f>IF(AND(ISTEXT($A1105),ISNUMBER(SEARCH(" - ",$A1105)),ISERROR(SEARCH("Folio",$A1105)),$D1105=""),TRIM($A1105),$S1104)</f>
        <v/>
      </c>
      <c r="T1105">
        <f>IF(AND(ISNUMBER(SEARCH("Folio",$A1105)),$D1105&lt;&gt;""),1,"")</f>
        <v/>
      </c>
      <c r="U1105">
        <f>IF($T1105=1,COUNTIF($T$9:$T1105,1),"")</f>
        <v/>
      </c>
      <c r="V1105">
        <f>IF(AND(ISTEXT($A1105),LEFT($A1106,3)="Pan"),1,"")</f>
        <v/>
      </c>
    </row>
    <row r="1106">
      <c r="S1106">
        <f>IF(AND(ISTEXT($A1106),ISNUMBER(SEARCH(" - ",$A1106)),ISERROR(SEARCH("Folio",$A1106)),$D1106=""),TRIM($A1106),$S1105)</f>
        <v/>
      </c>
      <c r="T1106">
        <f>IF(AND(ISNUMBER(SEARCH("Folio",$A1106)),$D1106&lt;&gt;""),1,"")</f>
        <v/>
      </c>
      <c r="U1106">
        <f>IF($T1106=1,COUNTIF($T$9:$T1106,1),"")</f>
        <v/>
      </c>
      <c r="V1106">
        <f>IF(AND(ISTEXT($A1106),LEFT($A1107,3)="Pan"),1,"")</f>
        <v/>
      </c>
    </row>
    <row r="1107">
      <c r="S1107">
        <f>IF(AND(ISTEXT($A1107),ISNUMBER(SEARCH(" - ",$A1107)),ISERROR(SEARCH("Folio",$A1107)),$D1107=""),TRIM($A1107),$S1106)</f>
        <v/>
      </c>
      <c r="T1107">
        <f>IF(AND(ISNUMBER(SEARCH("Folio",$A1107)),$D1107&lt;&gt;""),1,"")</f>
        <v/>
      </c>
      <c r="U1107">
        <f>IF($T1107=1,COUNTIF($T$9:$T1107,1),"")</f>
        <v/>
      </c>
      <c r="V1107">
        <f>IF(AND(ISTEXT($A1107),LEFT($A1108,3)="Pan"),1,"")</f>
        <v/>
      </c>
    </row>
    <row r="1108">
      <c r="S1108">
        <f>IF(AND(ISTEXT($A1108),ISNUMBER(SEARCH(" - ",$A1108)),ISERROR(SEARCH("Folio",$A1108)),$D1108=""),TRIM($A1108),$S1107)</f>
        <v/>
      </c>
      <c r="T1108">
        <f>IF(AND(ISNUMBER(SEARCH("Folio",$A1108)),$D1108&lt;&gt;""),1,"")</f>
        <v/>
      </c>
      <c r="U1108">
        <f>IF($T1108=1,COUNTIF($T$9:$T1108,1),"")</f>
        <v/>
      </c>
      <c r="V1108">
        <f>IF(AND(ISTEXT($A1108),LEFT($A1109,3)="Pan"),1,"")</f>
        <v/>
      </c>
    </row>
    <row r="1109">
      <c r="S1109">
        <f>IF(AND(ISTEXT($A1109),ISNUMBER(SEARCH(" - ",$A1109)),ISERROR(SEARCH("Folio",$A1109)),$D1109=""),TRIM($A1109),$S1108)</f>
        <v/>
      </c>
      <c r="T1109">
        <f>IF(AND(ISNUMBER(SEARCH("Folio",$A1109)),$D1109&lt;&gt;""),1,"")</f>
        <v/>
      </c>
      <c r="U1109">
        <f>IF($T1109=1,COUNTIF($T$9:$T1109,1),"")</f>
        <v/>
      </c>
      <c r="V1109">
        <f>IF(AND(ISTEXT($A1109),LEFT($A1110,3)="Pan"),1,"")</f>
        <v/>
      </c>
    </row>
    <row r="1110">
      <c r="S1110">
        <f>IF(AND(ISTEXT($A1110),ISNUMBER(SEARCH(" - ",$A1110)),ISERROR(SEARCH("Folio",$A1110)),$D1110=""),TRIM($A1110),$S1109)</f>
        <v/>
      </c>
      <c r="T1110">
        <f>IF(AND(ISNUMBER(SEARCH("Folio",$A1110)),$D1110&lt;&gt;""),1,"")</f>
        <v/>
      </c>
      <c r="U1110">
        <f>IF($T1110=1,COUNTIF($T$9:$T1110,1),"")</f>
        <v/>
      </c>
      <c r="V1110">
        <f>IF(AND(ISTEXT($A1110),LEFT($A1111,3)="Pan"),1,"")</f>
        <v/>
      </c>
    </row>
    <row r="1111">
      <c r="S1111">
        <f>IF(AND(ISTEXT($A1111),ISNUMBER(SEARCH(" - ",$A1111)),ISERROR(SEARCH("Folio",$A1111)),$D1111=""),TRIM($A1111),$S1110)</f>
        <v/>
      </c>
      <c r="T1111">
        <f>IF(AND(ISNUMBER(SEARCH("Folio",$A1111)),$D1111&lt;&gt;""),1,"")</f>
        <v/>
      </c>
      <c r="U1111">
        <f>IF($T1111=1,COUNTIF($T$9:$T1111,1),"")</f>
        <v/>
      </c>
      <c r="V1111">
        <f>IF(AND(ISTEXT($A1111),LEFT($A1112,3)="Pan"),1,"")</f>
        <v/>
      </c>
    </row>
    <row r="1112">
      <c r="S1112">
        <f>IF(AND(ISTEXT($A1112),ISNUMBER(SEARCH(" - ",$A1112)),ISERROR(SEARCH("Folio",$A1112)),$D1112=""),TRIM($A1112),$S1111)</f>
        <v/>
      </c>
      <c r="T1112">
        <f>IF(AND(ISNUMBER(SEARCH("Folio",$A1112)),$D1112&lt;&gt;""),1,"")</f>
        <v/>
      </c>
      <c r="U1112">
        <f>IF($T1112=1,COUNTIF($T$9:$T1112,1),"")</f>
        <v/>
      </c>
      <c r="V1112">
        <f>IF(AND(ISTEXT($A1112),LEFT($A1113,3)="Pan"),1,"")</f>
        <v/>
      </c>
    </row>
    <row r="1113">
      <c r="S1113">
        <f>IF(AND(ISTEXT($A1113),ISNUMBER(SEARCH(" - ",$A1113)),ISERROR(SEARCH("Folio",$A1113)),$D1113=""),TRIM($A1113),$S1112)</f>
        <v/>
      </c>
      <c r="T1113">
        <f>IF(AND(ISNUMBER(SEARCH("Folio",$A1113)),$D1113&lt;&gt;""),1,"")</f>
        <v/>
      </c>
      <c r="U1113">
        <f>IF($T1113=1,COUNTIF($T$9:$T1113,1),"")</f>
        <v/>
      </c>
      <c r="V1113">
        <f>IF(AND(ISTEXT($A1113),LEFT($A1114,3)="Pan"),1,"")</f>
        <v/>
      </c>
    </row>
    <row r="1114">
      <c r="S1114">
        <f>IF(AND(ISTEXT($A1114),ISNUMBER(SEARCH(" - ",$A1114)),ISERROR(SEARCH("Folio",$A1114)),$D1114=""),TRIM($A1114),$S1113)</f>
        <v/>
      </c>
      <c r="T1114">
        <f>IF(AND(ISNUMBER(SEARCH("Folio",$A1114)),$D1114&lt;&gt;""),1,"")</f>
        <v/>
      </c>
      <c r="U1114">
        <f>IF($T1114=1,COUNTIF($T$9:$T1114,1),"")</f>
        <v/>
      </c>
      <c r="V1114">
        <f>IF(AND(ISTEXT($A1114),LEFT($A1115,3)="Pan"),1,"")</f>
        <v/>
      </c>
    </row>
    <row r="1115">
      <c r="S1115">
        <f>IF(AND(ISTEXT($A1115),ISNUMBER(SEARCH(" - ",$A1115)),ISERROR(SEARCH("Folio",$A1115)),$D1115=""),TRIM($A1115),$S1114)</f>
        <v/>
      </c>
      <c r="T1115">
        <f>IF(AND(ISNUMBER(SEARCH("Folio",$A1115)),$D1115&lt;&gt;""),1,"")</f>
        <v/>
      </c>
      <c r="U1115">
        <f>IF($T1115=1,COUNTIF($T$9:$T1115,1),"")</f>
        <v/>
      </c>
      <c r="V1115">
        <f>IF(AND(ISTEXT($A1115),LEFT($A1116,3)="Pan"),1,"")</f>
        <v/>
      </c>
    </row>
    <row r="1116">
      <c r="S1116">
        <f>IF(AND(ISTEXT($A1116),ISNUMBER(SEARCH(" - ",$A1116)),ISERROR(SEARCH("Folio",$A1116)),$D1116=""),TRIM($A1116),$S1115)</f>
        <v/>
      </c>
      <c r="T1116">
        <f>IF(AND(ISNUMBER(SEARCH("Folio",$A1116)),$D1116&lt;&gt;""),1,"")</f>
        <v/>
      </c>
      <c r="U1116">
        <f>IF($T1116=1,COUNTIF($T$9:$T1116,1),"")</f>
        <v/>
      </c>
      <c r="V1116">
        <f>IF(AND(ISTEXT($A1116),LEFT($A1117,3)="Pan"),1,"")</f>
        <v/>
      </c>
    </row>
    <row r="1117">
      <c r="S1117">
        <f>IF(AND(ISTEXT($A1117),ISNUMBER(SEARCH(" - ",$A1117)),ISERROR(SEARCH("Folio",$A1117)),$D1117=""),TRIM($A1117),$S1116)</f>
        <v/>
      </c>
      <c r="T1117">
        <f>IF(AND(ISNUMBER(SEARCH("Folio",$A1117)),$D1117&lt;&gt;""),1,"")</f>
        <v/>
      </c>
      <c r="U1117">
        <f>IF($T1117=1,COUNTIF($T$9:$T1117,1),"")</f>
        <v/>
      </c>
      <c r="V1117">
        <f>IF(AND(ISTEXT($A1117),LEFT($A1118,3)="Pan"),1,"")</f>
        <v/>
      </c>
    </row>
    <row r="1118">
      <c r="S1118">
        <f>IF(AND(ISTEXT($A1118),ISNUMBER(SEARCH(" - ",$A1118)),ISERROR(SEARCH("Folio",$A1118)),$D1118=""),TRIM($A1118),$S1117)</f>
        <v/>
      </c>
      <c r="T1118">
        <f>IF(AND(ISNUMBER(SEARCH("Folio",$A1118)),$D1118&lt;&gt;""),1,"")</f>
        <v/>
      </c>
      <c r="U1118">
        <f>IF($T1118=1,COUNTIF($T$9:$T1118,1),"")</f>
        <v/>
      </c>
      <c r="V1118">
        <f>IF(AND(ISTEXT($A1118),LEFT($A1119,3)="Pan"),1,"")</f>
        <v/>
      </c>
    </row>
    <row r="1119">
      <c r="S1119">
        <f>IF(AND(ISTEXT($A1119),ISNUMBER(SEARCH(" - ",$A1119)),ISERROR(SEARCH("Folio",$A1119)),$D1119=""),TRIM($A1119),$S1118)</f>
        <v/>
      </c>
      <c r="T1119">
        <f>IF(AND(ISNUMBER(SEARCH("Folio",$A1119)),$D1119&lt;&gt;""),1,"")</f>
        <v/>
      </c>
      <c r="U1119">
        <f>IF($T1119=1,COUNTIF($T$9:$T1119,1),"")</f>
        <v/>
      </c>
      <c r="V1119">
        <f>IF(AND(ISTEXT($A1119),LEFT($A1120,3)="Pan"),1,"")</f>
        <v/>
      </c>
    </row>
    <row r="1120">
      <c r="S1120">
        <f>IF(AND(ISTEXT($A1120),ISNUMBER(SEARCH(" - ",$A1120)),ISERROR(SEARCH("Folio",$A1120)),$D1120=""),TRIM($A1120),$S1119)</f>
        <v/>
      </c>
      <c r="T1120">
        <f>IF(AND(ISNUMBER(SEARCH("Folio",$A1120)),$D1120&lt;&gt;""),1,"")</f>
        <v/>
      </c>
      <c r="U1120">
        <f>IF($T1120=1,COUNTIF($T$9:$T1120,1),"")</f>
        <v/>
      </c>
      <c r="V1120">
        <f>IF(AND(ISTEXT($A1120),LEFT($A1121,3)="Pan"),1,"")</f>
        <v/>
      </c>
    </row>
    <row r="1121">
      <c r="S1121">
        <f>IF(AND(ISTEXT($A1121),ISNUMBER(SEARCH(" - ",$A1121)),ISERROR(SEARCH("Folio",$A1121)),$D1121=""),TRIM($A1121),$S1120)</f>
        <v/>
      </c>
      <c r="T1121">
        <f>IF(AND(ISNUMBER(SEARCH("Folio",$A1121)),$D1121&lt;&gt;""),1,"")</f>
        <v/>
      </c>
      <c r="U1121">
        <f>IF($T1121=1,COUNTIF($T$9:$T1121,1),"")</f>
        <v/>
      </c>
      <c r="V1121">
        <f>IF(AND(ISTEXT($A1121),LEFT($A1122,3)="Pan"),1,"")</f>
        <v/>
      </c>
    </row>
    <row r="1122">
      <c r="S1122">
        <f>IF(AND(ISTEXT($A1122),ISNUMBER(SEARCH(" - ",$A1122)),ISERROR(SEARCH("Folio",$A1122)),$D1122=""),TRIM($A1122),$S1121)</f>
        <v/>
      </c>
      <c r="T1122">
        <f>IF(AND(ISNUMBER(SEARCH("Folio",$A1122)),$D1122&lt;&gt;""),1,"")</f>
        <v/>
      </c>
      <c r="U1122">
        <f>IF($T1122=1,COUNTIF($T$9:$T1122,1),"")</f>
        <v/>
      </c>
      <c r="V1122">
        <f>IF(AND(ISTEXT($A1122),LEFT($A1123,3)="Pan"),1,"")</f>
        <v/>
      </c>
    </row>
    <row r="1123">
      <c r="S1123">
        <f>IF(AND(ISTEXT($A1123),ISNUMBER(SEARCH(" - ",$A1123)),ISERROR(SEARCH("Folio",$A1123)),$D1123=""),TRIM($A1123),$S1122)</f>
        <v/>
      </c>
      <c r="T1123">
        <f>IF(AND(ISNUMBER(SEARCH("Folio",$A1123)),$D1123&lt;&gt;""),1,"")</f>
        <v/>
      </c>
      <c r="U1123">
        <f>IF($T1123=1,COUNTIF($T$9:$T1123,1),"")</f>
        <v/>
      </c>
      <c r="V1123">
        <f>IF(AND(ISTEXT($A1123),LEFT($A1124,3)="Pan"),1,"")</f>
        <v/>
      </c>
    </row>
    <row r="1124">
      <c r="S1124">
        <f>IF(AND(ISTEXT($A1124),ISNUMBER(SEARCH(" - ",$A1124)),ISERROR(SEARCH("Folio",$A1124)),$D1124=""),TRIM($A1124),$S1123)</f>
        <v/>
      </c>
      <c r="T1124">
        <f>IF(AND(ISNUMBER(SEARCH("Folio",$A1124)),$D1124&lt;&gt;""),1,"")</f>
        <v/>
      </c>
      <c r="U1124">
        <f>IF($T1124=1,COUNTIF($T$9:$T1124,1),"")</f>
        <v/>
      </c>
      <c r="V1124">
        <f>IF(AND(ISTEXT($A1124),LEFT($A1125,3)="Pan"),1,"")</f>
        <v/>
      </c>
    </row>
    <row r="1125">
      <c r="S1125">
        <f>IF(AND(ISTEXT($A1125),ISNUMBER(SEARCH(" - ",$A1125)),ISERROR(SEARCH("Folio",$A1125)),$D1125=""),TRIM($A1125),$S1124)</f>
        <v/>
      </c>
      <c r="T1125">
        <f>IF(AND(ISNUMBER(SEARCH("Folio",$A1125)),$D1125&lt;&gt;""),1,"")</f>
        <v/>
      </c>
      <c r="U1125">
        <f>IF($T1125=1,COUNTIF($T$9:$T1125,1),"")</f>
        <v/>
      </c>
      <c r="V1125">
        <f>IF(AND(ISTEXT($A1125),LEFT($A1126,3)="Pan"),1,"")</f>
        <v/>
      </c>
    </row>
    <row r="1126">
      <c r="S1126">
        <f>IF(AND(ISTEXT($A1126),ISNUMBER(SEARCH(" - ",$A1126)),ISERROR(SEARCH("Folio",$A1126)),$D1126=""),TRIM($A1126),$S1125)</f>
        <v/>
      </c>
      <c r="T1126">
        <f>IF(AND(ISNUMBER(SEARCH("Folio",$A1126)),$D1126&lt;&gt;""),1,"")</f>
        <v/>
      </c>
      <c r="U1126">
        <f>IF($T1126=1,COUNTIF($T$9:$T1126,1),"")</f>
        <v/>
      </c>
      <c r="V1126">
        <f>IF(AND(ISTEXT($A1126),LEFT($A1127,3)="Pan"),1,"")</f>
        <v/>
      </c>
    </row>
    <row r="1127">
      <c r="S1127">
        <f>IF(AND(ISTEXT($A1127),ISNUMBER(SEARCH(" - ",$A1127)),ISERROR(SEARCH("Folio",$A1127)),$D1127=""),TRIM($A1127),$S1126)</f>
        <v/>
      </c>
      <c r="T1127">
        <f>IF(AND(ISNUMBER(SEARCH("Folio",$A1127)),$D1127&lt;&gt;""),1,"")</f>
        <v/>
      </c>
      <c r="U1127">
        <f>IF($T1127=1,COUNTIF($T$9:$T1127,1),"")</f>
        <v/>
      </c>
      <c r="V1127">
        <f>IF(AND(ISTEXT($A1127),LEFT($A1128,3)="Pan"),1,"")</f>
        <v/>
      </c>
    </row>
    <row r="1128">
      <c r="S1128">
        <f>IF(AND(ISTEXT($A1128),ISNUMBER(SEARCH(" - ",$A1128)),ISERROR(SEARCH("Folio",$A1128)),$D1128=""),TRIM($A1128),$S1127)</f>
        <v/>
      </c>
      <c r="T1128">
        <f>IF(AND(ISNUMBER(SEARCH("Folio",$A1128)),$D1128&lt;&gt;""),1,"")</f>
        <v/>
      </c>
      <c r="U1128">
        <f>IF($T1128=1,COUNTIF($T$9:$T1128,1),"")</f>
        <v/>
      </c>
      <c r="V1128">
        <f>IF(AND(ISTEXT($A1128),LEFT($A1129,3)="Pan"),1,"")</f>
        <v/>
      </c>
    </row>
    <row r="1129">
      <c r="S1129">
        <f>IF(AND(ISTEXT($A1129),ISNUMBER(SEARCH(" - ",$A1129)),ISERROR(SEARCH("Folio",$A1129)),$D1129=""),TRIM($A1129),$S1128)</f>
        <v/>
      </c>
      <c r="T1129">
        <f>IF(AND(ISNUMBER(SEARCH("Folio",$A1129)),$D1129&lt;&gt;""),1,"")</f>
        <v/>
      </c>
      <c r="U1129">
        <f>IF($T1129=1,COUNTIF($T$9:$T1129,1),"")</f>
        <v/>
      </c>
      <c r="V1129">
        <f>IF(AND(ISTEXT($A1129),LEFT($A1130,3)="Pan"),1,"")</f>
        <v/>
      </c>
    </row>
    <row r="1130">
      <c r="S1130">
        <f>IF(AND(ISTEXT($A1130),ISNUMBER(SEARCH(" - ",$A1130)),ISERROR(SEARCH("Folio",$A1130)),$D1130=""),TRIM($A1130),$S1129)</f>
        <v/>
      </c>
      <c r="T1130">
        <f>IF(AND(ISNUMBER(SEARCH("Folio",$A1130)),$D1130&lt;&gt;""),1,"")</f>
        <v/>
      </c>
      <c r="U1130">
        <f>IF($T1130=1,COUNTIF($T$9:$T1130,1),"")</f>
        <v/>
      </c>
      <c r="V1130">
        <f>IF(AND(ISTEXT($A1130),LEFT($A1131,3)="Pan"),1,"")</f>
        <v/>
      </c>
    </row>
    <row r="1131">
      <c r="S1131">
        <f>IF(AND(ISTEXT($A1131),ISNUMBER(SEARCH(" - ",$A1131)),ISERROR(SEARCH("Folio",$A1131)),$D1131=""),TRIM($A1131),$S1130)</f>
        <v/>
      </c>
      <c r="T1131">
        <f>IF(AND(ISNUMBER(SEARCH("Folio",$A1131)),$D1131&lt;&gt;""),1,"")</f>
        <v/>
      </c>
      <c r="U1131">
        <f>IF($T1131=1,COUNTIF($T$9:$T1131,1),"")</f>
        <v/>
      </c>
      <c r="V1131">
        <f>IF(AND(ISTEXT($A1131),LEFT($A1132,3)="Pan"),1,"")</f>
        <v/>
      </c>
    </row>
    <row r="1132">
      <c r="S1132">
        <f>IF(AND(ISTEXT($A1132),ISNUMBER(SEARCH(" - ",$A1132)),ISERROR(SEARCH("Folio",$A1132)),$D1132=""),TRIM($A1132),$S1131)</f>
        <v/>
      </c>
      <c r="T1132">
        <f>IF(AND(ISNUMBER(SEARCH("Folio",$A1132)),$D1132&lt;&gt;""),1,"")</f>
        <v/>
      </c>
      <c r="U1132">
        <f>IF($T1132=1,COUNTIF($T$9:$T1132,1),"")</f>
        <v/>
      </c>
      <c r="V1132">
        <f>IF(AND(ISTEXT($A1132),LEFT($A1133,3)="Pan"),1,"")</f>
        <v/>
      </c>
    </row>
    <row r="1133">
      <c r="S1133">
        <f>IF(AND(ISTEXT($A1133),ISNUMBER(SEARCH(" - ",$A1133)),ISERROR(SEARCH("Folio",$A1133)),$D1133=""),TRIM($A1133),$S1132)</f>
        <v/>
      </c>
      <c r="T1133">
        <f>IF(AND(ISNUMBER(SEARCH("Folio",$A1133)),$D1133&lt;&gt;""),1,"")</f>
        <v/>
      </c>
      <c r="U1133">
        <f>IF($T1133=1,COUNTIF($T$9:$T1133,1),"")</f>
        <v/>
      </c>
      <c r="V1133">
        <f>IF(AND(ISTEXT($A1133),LEFT($A1134,3)="Pan"),1,"")</f>
        <v/>
      </c>
    </row>
    <row r="1134">
      <c r="S1134">
        <f>IF(AND(ISTEXT($A1134),ISNUMBER(SEARCH(" - ",$A1134)),ISERROR(SEARCH("Folio",$A1134)),$D1134=""),TRIM($A1134),$S1133)</f>
        <v/>
      </c>
      <c r="T1134">
        <f>IF(AND(ISNUMBER(SEARCH("Folio",$A1134)),$D1134&lt;&gt;""),1,"")</f>
        <v/>
      </c>
      <c r="U1134">
        <f>IF($T1134=1,COUNTIF($T$9:$T1134,1),"")</f>
        <v/>
      </c>
      <c r="V1134">
        <f>IF(AND(ISTEXT($A1134),LEFT($A1135,3)="Pan"),1,"")</f>
        <v/>
      </c>
    </row>
    <row r="1135">
      <c r="S1135">
        <f>IF(AND(ISTEXT($A1135),ISNUMBER(SEARCH(" - ",$A1135)),ISERROR(SEARCH("Folio",$A1135)),$D1135=""),TRIM($A1135),$S1134)</f>
        <v/>
      </c>
      <c r="T1135">
        <f>IF(AND(ISNUMBER(SEARCH("Folio",$A1135)),$D1135&lt;&gt;""),1,"")</f>
        <v/>
      </c>
      <c r="U1135">
        <f>IF($T1135=1,COUNTIF($T$9:$T1135,1),"")</f>
        <v/>
      </c>
      <c r="V1135">
        <f>IF(AND(ISTEXT($A1135),LEFT($A1136,3)="Pan"),1,"")</f>
        <v/>
      </c>
    </row>
    <row r="1136">
      <c r="S1136">
        <f>IF(AND(ISTEXT($A1136),ISNUMBER(SEARCH(" - ",$A1136)),ISERROR(SEARCH("Folio",$A1136)),$D1136=""),TRIM($A1136),$S1135)</f>
        <v/>
      </c>
      <c r="T1136">
        <f>IF(AND(ISNUMBER(SEARCH("Folio",$A1136)),$D1136&lt;&gt;""),1,"")</f>
        <v/>
      </c>
      <c r="U1136">
        <f>IF($T1136=1,COUNTIF($T$9:$T1136,1),"")</f>
        <v/>
      </c>
      <c r="V1136">
        <f>IF(AND(ISTEXT($A1136),LEFT($A1137,3)="Pan"),1,"")</f>
        <v/>
      </c>
    </row>
    <row r="1137">
      <c r="S1137">
        <f>IF(AND(ISTEXT($A1137),ISNUMBER(SEARCH(" - ",$A1137)),ISERROR(SEARCH("Folio",$A1137)),$D1137=""),TRIM($A1137),$S1136)</f>
        <v/>
      </c>
      <c r="T1137">
        <f>IF(AND(ISNUMBER(SEARCH("Folio",$A1137)),$D1137&lt;&gt;""),1,"")</f>
        <v/>
      </c>
      <c r="U1137">
        <f>IF($T1137=1,COUNTIF($T$9:$T1137,1),"")</f>
        <v/>
      </c>
      <c r="V1137">
        <f>IF(AND(ISTEXT($A1137),LEFT($A1138,3)="Pan"),1,"")</f>
        <v/>
      </c>
    </row>
    <row r="1138">
      <c r="S1138">
        <f>IF(AND(ISTEXT($A1138),ISNUMBER(SEARCH(" - ",$A1138)),ISERROR(SEARCH("Folio",$A1138)),$D1138=""),TRIM($A1138),$S1137)</f>
        <v/>
      </c>
      <c r="T1138">
        <f>IF(AND(ISNUMBER(SEARCH("Folio",$A1138)),$D1138&lt;&gt;""),1,"")</f>
        <v/>
      </c>
      <c r="U1138">
        <f>IF($T1138=1,COUNTIF($T$9:$T1138,1),"")</f>
        <v/>
      </c>
      <c r="V1138">
        <f>IF(AND(ISTEXT($A1138),LEFT($A1139,3)="Pan"),1,"")</f>
        <v/>
      </c>
    </row>
    <row r="1139">
      <c r="S1139">
        <f>IF(AND(ISTEXT($A1139),ISNUMBER(SEARCH(" - ",$A1139)),ISERROR(SEARCH("Folio",$A1139)),$D1139=""),TRIM($A1139),$S1138)</f>
        <v/>
      </c>
      <c r="T1139">
        <f>IF(AND(ISNUMBER(SEARCH("Folio",$A1139)),$D1139&lt;&gt;""),1,"")</f>
        <v/>
      </c>
      <c r="U1139">
        <f>IF($T1139=1,COUNTIF($T$9:$T1139,1),"")</f>
        <v/>
      </c>
      <c r="V1139">
        <f>IF(AND(ISTEXT($A1139),LEFT($A1140,3)="Pan"),1,"")</f>
        <v/>
      </c>
    </row>
    <row r="1140">
      <c r="S1140">
        <f>IF(AND(ISTEXT($A1140),ISNUMBER(SEARCH(" - ",$A1140)),ISERROR(SEARCH("Folio",$A1140)),$D1140=""),TRIM($A1140),$S1139)</f>
        <v/>
      </c>
      <c r="T1140">
        <f>IF(AND(ISNUMBER(SEARCH("Folio",$A1140)),$D1140&lt;&gt;""),1,"")</f>
        <v/>
      </c>
      <c r="U1140">
        <f>IF($T1140=1,COUNTIF($T$9:$T1140,1),"")</f>
        <v/>
      </c>
      <c r="V1140">
        <f>IF(AND(ISTEXT($A1140),LEFT($A1141,3)="Pan"),1,"")</f>
        <v/>
      </c>
    </row>
    <row r="1141">
      <c r="S1141">
        <f>IF(AND(ISTEXT($A1141),ISNUMBER(SEARCH(" - ",$A1141)),ISERROR(SEARCH("Folio",$A1141)),$D1141=""),TRIM($A1141),$S1140)</f>
        <v/>
      </c>
      <c r="T1141">
        <f>IF(AND(ISNUMBER(SEARCH("Folio",$A1141)),$D1141&lt;&gt;""),1,"")</f>
        <v/>
      </c>
      <c r="U1141">
        <f>IF($T1141=1,COUNTIF($T$9:$T1141,1),"")</f>
        <v/>
      </c>
      <c r="V1141">
        <f>IF(AND(ISTEXT($A1141),LEFT($A1142,3)="Pan"),1,"")</f>
        <v/>
      </c>
    </row>
    <row r="1142">
      <c r="S1142">
        <f>IF(AND(ISTEXT($A1142),ISNUMBER(SEARCH(" - ",$A1142)),ISERROR(SEARCH("Folio",$A1142)),$D1142=""),TRIM($A1142),$S1141)</f>
        <v/>
      </c>
      <c r="T1142">
        <f>IF(AND(ISNUMBER(SEARCH("Folio",$A1142)),$D1142&lt;&gt;""),1,"")</f>
        <v/>
      </c>
      <c r="U1142">
        <f>IF($T1142=1,COUNTIF($T$9:$T1142,1),"")</f>
        <v/>
      </c>
      <c r="V1142">
        <f>IF(AND(ISTEXT($A1142),LEFT($A1143,3)="Pan"),1,"")</f>
        <v/>
      </c>
    </row>
    <row r="1143">
      <c r="S1143">
        <f>IF(AND(ISTEXT($A1143),ISNUMBER(SEARCH(" - ",$A1143)),ISERROR(SEARCH("Folio",$A1143)),$D1143=""),TRIM($A1143),$S1142)</f>
        <v/>
      </c>
      <c r="T1143">
        <f>IF(AND(ISNUMBER(SEARCH("Folio",$A1143)),$D1143&lt;&gt;""),1,"")</f>
        <v/>
      </c>
      <c r="U1143">
        <f>IF($T1143=1,COUNTIF($T$9:$T1143,1),"")</f>
        <v/>
      </c>
      <c r="V1143">
        <f>IF(AND(ISTEXT($A1143),LEFT($A1144,3)="Pan"),1,"")</f>
        <v/>
      </c>
    </row>
    <row r="1144">
      <c r="S1144">
        <f>IF(AND(ISTEXT($A1144),ISNUMBER(SEARCH(" - ",$A1144)),ISERROR(SEARCH("Folio",$A1144)),$D1144=""),TRIM($A1144),$S1143)</f>
        <v/>
      </c>
      <c r="T1144">
        <f>IF(AND(ISNUMBER(SEARCH("Folio",$A1144)),$D1144&lt;&gt;""),1,"")</f>
        <v/>
      </c>
      <c r="U1144">
        <f>IF($T1144=1,COUNTIF($T$9:$T1144,1),"")</f>
        <v/>
      </c>
      <c r="V1144">
        <f>IF(AND(ISTEXT($A1144),LEFT($A1145,3)="Pan"),1,"")</f>
        <v/>
      </c>
    </row>
    <row r="1145">
      <c r="S1145">
        <f>IF(AND(ISTEXT($A1145),ISNUMBER(SEARCH(" - ",$A1145)),ISERROR(SEARCH("Folio",$A1145)),$D1145=""),TRIM($A1145),$S1144)</f>
        <v/>
      </c>
      <c r="T1145">
        <f>IF(AND(ISNUMBER(SEARCH("Folio",$A1145)),$D1145&lt;&gt;""),1,"")</f>
        <v/>
      </c>
      <c r="U1145">
        <f>IF($T1145=1,COUNTIF($T$9:$T1145,1),"")</f>
        <v/>
      </c>
      <c r="V1145">
        <f>IF(AND(ISTEXT($A1145),LEFT($A1146,3)="Pan"),1,"")</f>
        <v/>
      </c>
    </row>
    <row r="1146">
      <c r="S1146">
        <f>IF(AND(ISTEXT($A1146),ISNUMBER(SEARCH(" - ",$A1146)),ISERROR(SEARCH("Folio",$A1146)),$D1146=""),TRIM($A1146),$S1145)</f>
        <v/>
      </c>
      <c r="T1146">
        <f>IF(AND(ISNUMBER(SEARCH("Folio",$A1146)),$D1146&lt;&gt;""),1,"")</f>
        <v/>
      </c>
      <c r="U1146">
        <f>IF($T1146=1,COUNTIF($T$9:$T1146,1),"")</f>
        <v/>
      </c>
      <c r="V1146">
        <f>IF(AND(ISTEXT($A1146),LEFT($A1147,3)="Pan"),1,"")</f>
        <v/>
      </c>
    </row>
    <row r="1147">
      <c r="S1147">
        <f>IF(AND(ISTEXT($A1147),ISNUMBER(SEARCH(" - ",$A1147)),ISERROR(SEARCH("Folio",$A1147)),$D1147=""),TRIM($A1147),$S1146)</f>
        <v/>
      </c>
      <c r="T1147">
        <f>IF(AND(ISNUMBER(SEARCH("Folio",$A1147)),$D1147&lt;&gt;""),1,"")</f>
        <v/>
      </c>
      <c r="U1147">
        <f>IF($T1147=1,COUNTIF($T$9:$T1147,1),"")</f>
        <v/>
      </c>
      <c r="V1147">
        <f>IF(AND(ISTEXT($A1147),LEFT($A1148,3)="Pan"),1,"")</f>
        <v/>
      </c>
    </row>
    <row r="1148">
      <c r="S1148">
        <f>IF(AND(ISTEXT($A1148),ISNUMBER(SEARCH(" - ",$A1148)),ISERROR(SEARCH("Folio",$A1148)),$D1148=""),TRIM($A1148),$S1147)</f>
        <v/>
      </c>
      <c r="T1148">
        <f>IF(AND(ISNUMBER(SEARCH("Folio",$A1148)),$D1148&lt;&gt;""),1,"")</f>
        <v/>
      </c>
      <c r="U1148">
        <f>IF($T1148=1,COUNTIF($T$9:$T1148,1),"")</f>
        <v/>
      </c>
      <c r="V1148">
        <f>IF(AND(ISTEXT($A1148),LEFT($A1149,3)="Pan"),1,"")</f>
        <v/>
      </c>
    </row>
    <row r="1149">
      <c r="S1149">
        <f>IF(AND(ISTEXT($A1149),ISNUMBER(SEARCH(" - ",$A1149)),ISERROR(SEARCH("Folio",$A1149)),$D1149=""),TRIM($A1149),$S1148)</f>
        <v/>
      </c>
      <c r="T1149">
        <f>IF(AND(ISNUMBER(SEARCH("Folio",$A1149)),$D1149&lt;&gt;""),1,"")</f>
        <v/>
      </c>
      <c r="U1149">
        <f>IF($T1149=1,COUNTIF($T$9:$T1149,1),"")</f>
        <v/>
      </c>
      <c r="V1149">
        <f>IF(AND(ISTEXT($A1149),LEFT($A1150,3)="Pan"),1,"")</f>
        <v/>
      </c>
    </row>
    <row r="1150">
      <c r="S1150">
        <f>IF(AND(ISTEXT($A1150),ISNUMBER(SEARCH(" - ",$A1150)),ISERROR(SEARCH("Folio",$A1150)),$D1150=""),TRIM($A1150),$S1149)</f>
        <v/>
      </c>
      <c r="T1150">
        <f>IF(AND(ISNUMBER(SEARCH("Folio",$A1150)),$D1150&lt;&gt;""),1,"")</f>
        <v/>
      </c>
      <c r="U1150">
        <f>IF($T1150=1,COUNTIF($T$9:$T1150,1),"")</f>
        <v/>
      </c>
      <c r="V1150">
        <f>IF(AND(ISTEXT($A1150),LEFT($A1151,3)="Pan"),1,"")</f>
        <v/>
      </c>
    </row>
    <row r="1151">
      <c r="S1151">
        <f>IF(AND(ISTEXT($A1151),ISNUMBER(SEARCH(" - ",$A1151)),ISERROR(SEARCH("Folio",$A1151)),$D1151=""),TRIM($A1151),$S1150)</f>
        <v/>
      </c>
      <c r="T1151">
        <f>IF(AND(ISNUMBER(SEARCH("Folio",$A1151)),$D1151&lt;&gt;""),1,"")</f>
        <v/>
      </c>
      <c r="U1151">
        <f>IF($T1151=1,COUNTIF($T$9:$T1151,1),"")</f>
        <v/>
      </c>
      <c r="V1151">
        <f>IF(AND(ISTEXT($A1151),LEFT($A1152,3)="Pan"),1,"")</f>
        <v/>
      </c>
    </row>
    <row r="1152">
      <c r="S1152">
        <f>IF(AND(ISTEXT($A1152),ISNUMBER(SEARCH(" - ",$A1152)),ISERROR(SEARCH("Folio",$A1152)),$D1152=""),TRIM($A1152),$S1151)</f>
        <v/>
      </c>
      <c r="T1152">
        <f>IF(AND(ISNUMBER(SEARCH("Folio",$A1152)),$D1152&lt;&gt;""),1,"")</f>
        <v/>
      </c>
      <c r="U1152">
        <f>IF($T1152=1,COUNTIF($T$9:$T1152,1),"")</f>
        <v/>
      </c>
      <c r="V1152">
        <f>IF(AND(ISTEXT($A1152),LEFT($A1153,3)="Pan"),1,"")</f>
        <v/>
      </c>
    </row>
    <row r="1153">
      <c r="S1153">
        <f>IF(AND(ISTEXT($A1153),ISNUMBER(SEARCH(" - ",$A1153)),ISERROR(SEARCH("Folio",$A1153)),$D1153=""),TRIM($A1153),$S1152)</f>
        <v/>
      </c>
      <c r="T1153">
        <f>IF(AND(ISNUMBER(SEARCH("Folio",$A1153)),$D1153&lt;&gt;""),1,"")</f>
        <v/>
      </c>
      <c r="U1153">
        <f>IF($T1153=1,COUNTIF($T$9:$T1153,1),"")</f>
        <v/>
      </c>
      <c r="V1153">
        <f>IF(AND(ISTEXT($A1153),LEFT($A1154,3)="Pan"),1,"")</f>
        <v/>
      </c>
    </row>
    <row r="1154">
      <c r="S1154">
        <f>IF(AND(ISTEXT($A1154),ISNUMBER(SEARCH(" - ",$A1154)),ISERROR(SEARCH("Folio",$A1154)),$D1154=""),TRIM($A1154),$S1153)</f>
        <v/>
      </c>
      <c r="T1154">
        <f>IF(AND(ISNUMBER(SEARCH("Folio",$A1154)),$D1154&lt;&gt;""),1,"")</f>
        <v/>
      </c>
      <c r="U1154">
        <f>IF($T1154=1,COUNTIF($T$9:$T1154,1),"")</f>
        <v/>
      </c>
      <c r="V1154">
        <f>IF(AND(ISTEXT($A1154),LEFT($A1155,3)="Pan"),1,"")</f>
        <v/>
      </c>
    </row>
    <row r="1155">
      <c r="S1155">
        <f>IF(AND(ISTEXT($A1155),ISNUMBER(SEARCH(" - ",$A1155)),ISERROR(SEARCH("Folio",$A1155)),$D1155=""),TRIM($A1155),$S1154)</f>
        <v/>
      </c>
      <c r="T1155">
        <f>IF(AND(ISNUMBER(SEARCH("Folio",$A1155)),$D1155&lt;&gt;""),1,"")</f>
        <v/>
      </c>
      <c r="U1155">
        <f>IF($T1155=1,COUNTIF($T$9:$T1155,1),"")</f>
        <v/>
      </c>
      <c r="V1155">
        <f>IF(AND(ISTEXT($A1155),LEFT($A1156,3)="Pan"),1,"")</f>
        <v/>
      </c>
    </row>
    <row r="1156">
      <c r="S1156">
        <f>IF(AND(ISTEXT($A1156),ISNUMBER(SEARCH(" - ",$A1156)),ISERROR(SEARCH("Folio",$A1156)),$D1156=""),TRIM($A1156),$S1155)</f>
        <v/>
      </c>
      <c r="T1156">
        <f>IF(AND(ISNUMBER(SEARCH("Folio",$A1156)),$D1156&lt;&gt;""),1,"")</f>
        <v/>
      </c>
      <c r="U1156">
        <f>IF($T1156=1,COUNTIF($T$9:$T1156,1),"")</f>
        <v/>
      </c>
      <c r="V1156">
        <f>IF(AND(ISTEXT($A1156),LEFT($A1157,3)="Pan"),1,"")</f>
        <v/>
      </c>
    </row>
    <row r="1157">
      <c r="S1157">
        <f>IF(AND(ISTEXT($A1157),ISNUMBER(SEARCH(" - ",$A1157)),ISERROR(SEARCH("Folio",$A1157)),$D1157=""),TRIM($A1157),$S1156)</f>
        <v/>
      </c>
      <c r="T1157">
        <f>IF(AND(ISNUMBER(SEARCH("Folio",$A1157)),$D1157&lt;&gt;""),1,"")</f>
        <v/>
      </c>
      <c r="U1157">
        <f>IF($T1157=1,COUNTIF($T$9:$T1157,1),"")</f>
        <v/>
      </c>
      <c r="V1157">
        <f>IF(AND(ISTEXT($A1157),LEFT($A1158,3)="Pan"),1,"")</f>
        <v/>
      </c>
    </row>
    <row r="1158">
      <c r="S1158">
        <f>IF(AND(ISTEXT($A1158),ISNUMBER(SEARCH(" - ",$A1158)),ISERROR(SEARCH("Folio",$A1158)),$D1158=""),TRIM($A1158),$S1157)</f>
        <v/>
      </c>
      <c r="T1158">
        <f>IF(AND(ISNUMBER(SEARCH("Folio",$A1158)),$D1158&lt;&gt;""),1,"")</f>
        <v/>
      </c>
      <c r="U1158">
        <f>IF($T1158=1,COUNTIF($T$9:$T1158,1),"")</f>
        <v/>
      </c>
      <c r="V1158">
        <f>IF(AND(ISTEXT($A1158),LEFT($A1159,3)="Pan"),1,"")</f>
        <v/>
      </c>
    </row>
    <row r="1159">
      <c r="S1159">
        <f>IF(AND(ISTEXT($A1159),ISNUMBER(SEARCH(" - ",$A1159)),ISERROR(SEARCH("Folio",$A1159)),$D1159=""),TRIM($A1159),$S1158)</f>
        <v/>
      </c>
      <c r="T1159">
        <f>IF(AND(ISNUMBER(SEARCH("Folio",$A1159)),$D1159&lt;&gt;""),1,"")</f>
        <v/>
      </c>
      <c r="U1159">
        <f>IF($T1159=1,COUNTIF($T$9:$T1159,1),"")</f>
        <v/>
      </c>
      <c r="V1159">
        <f>IF(AND(ISTEXT($A1159),LEFT($A1160,3)="Pan"),1,"")</f>
        <v/>
      </c>
    </row>
    <row r="1160">
      <c r="S1160">
        <f>IF(AND(ISTEXT($A1160),ISNUMBER(SEARCH(" - ",$A1160)),ISERROR(SEARCH("Folio",$A1160)),$D1160=""),TRIM($A1160),$S1159)</f>
        <v/>
      </c>
      <c r="T1160">
        <f>IF(AND(ISNUMBER(SEARCH("Folio",$A1160)),$D1160&lt;&gt;""),1,"")</f>
        <v/>
      </c>
      <c r="U1160">
        <f>IF($T1160=1,COUNTIF($T$9:$T1160,1),"")</f>
        <v/>
      </c>
      <c r="V1160">
        <f>IF(AND(ISTEXT($A1160),LEFT($A1161,3)="Pan"),1,"")</f>
        <v/>
      </c>
    </row>
    <row r="1161">
      <c r="S1161">
        <f>IF(AND(ISTEXT($A1161),ISNUMBER(SEARCH(" - ",$A1161)),ISERROR(SEARCH("Folio",$A1161)),$D1161=""),TRIM($A1161),$S1160)</f>
        <v/>
      </c>
      <c r="T1161">
        <f>IF(AND(ISNUMBER(SEARCH("Folio",$A1161)),$D1161&lt;&gt;""),1,"")</f>
        <v/>
      </c>
      <c r="U1161">
        <f>IF($T1161=1,COUNTIF($T$9:$T1161,1),"")</f>
        <v/>
      </c>
      <c r="V1161">
        <f>IF(AND(ISTEXT($A1161),LEFT($A1162,3)="Pan"),1,"")</f>
        <v/>
      </c>
    </row>
    <row r="1162">
      <c r="S1162">
        <f>IF(AND(ISTEXT($A1162),ISNUMBER(SEARCH(" - ",$A1162)),ISERROR(SEARCH("Folio",$A1162)),$D1162=""),TRIM($A1162),$S1161)</f>
        <v/>
      </c>
      <c r="T1162">
        <f>IF(AND(ISNUMBER(SEARCH("Folio",$A1162)),$D1162&lt;&gt;""),1,"")</f>
        <v/>
      </c>
      <c r="U1162">
        <f>IF($T1162=1,COUNTIF($T$9:$T1162,1),"")</f>
        <v/>
      </c>
      <c r="V1162">
        <f>IF(AND(ISTEXT($A1162),LEFT($A1163,3)="Pan"),1,"")</f>
        <v/>
      </c>
    </row>
    <row r="1163">
      <c r="S1163">
        <f>IF(AND(ISTEXT($A1163),ISNUMBER(SEARCH(" - ",$A1163)),ISERROR(SEARCH("Folio",$A1163)),$D1163=""),TRIM($A1163),$S1162)</f>
        <v/>
      </c>
      <c r="T1163">
        <f>IF(AND(ISNUMBER(SEARCH("Folio",$A1163)),$D1163&lt;&gt;""),1,"")</f>
        <v/>
      </c>
      <c r="U1163">
        <f>IF($T1163=1,COUNTIF($T$9:$T1163,1),"")</f>
        <v/>
      </c>
      <c r="V1163">
        <f>IF(AND(ISTEXT($A1163),LEFT($A1164,3)="Pan"),1,"")</f>
        <v/>
      </c>
    </row>
    <row r="1164">
      <c r="S1164">
        <f>IF(AND(ISTEXT($A1164),ISNUMBER(SEARCH(" - ",$A1164)),ISERROR(SEARCH("Folio",$A1164)),$D1164=""),TRIM($A1164),$S1163)</f>
        <v/>
      </c>
      <c r="T1164">
        <f>IF(AND(ISNUMBER(SEARCH("Folio",$A1164)),$D1164&lt;&gt;""),1,"")</f>
        <v/>
      </c>
      <c r="U1164">
        <f>IF($T1164=1,COUNTIF($T$9:$T1164,1),"")</f>
        <v/>
      </c>
      <c r="V1164">
        <f>IF(AND(ISTEXT($A1164),LEFT($A1165,3)="Pan"),1,"")</f>
        <v/>
      </c>
    </row>
    <row r="1165">
      <c r="S1165">
        <f>IF(AND(ISTEXT($A1165),ISNUMBER(SEARCH(" - ",$A1165)),ISERROR(SEARCH("Folio",$A1165)),$D1165=""),TRIM($A1165),$S1164)</f>
        <v/>
      </c>
      <c r="T1165">
        <f>IF(AND(ISNUMBER(SEARCH("Folio",$A1165)),$D1165&lt;&gt;""),1,"")</f>
        <v/>
      </c>
      <c r="U1165">
        <f>IF($T1165=1,COUNTIF($T$9:$T1165,1),"")</f>
        <v/>
      </c>
      <c r="V1165">
        <f>IF(AND(ISTEXT($A1165),LEFT($A1166,3)="Pan"),1,"")</f>
        <v/>
      </c>
    </row>
    <row r="1166">
      <c r="S1166">
        <f>IF(AND(ISTEXT($A1166),ISNUMBER(SEARCH(" - ",$A1166)),ISERROR(SEARCH("Folio",$A1166)),$D1166=""),TRIM($A1166),$S1165)</f>
        <v/>
      </c>
      <c r="T1166">
        <f>IF(AND(ISNUMBER(SEARCH("Folio",$A1166)),$D1166&lt;&gt;""),1,"")</f>
        <v/>
      </c>
      <c r="U1166">
        <f>IF($T1166=1,COUNTIF($T$9:$T1166,1),"")</f>
        <v/>
      </c>
      <c r="V1166">
        <f>IF(AND(ISTEXT($A1166),LEFT($A1167,3)="Pan"),1,"")</f>
        <v/>
      </c>
    </row>
    <row r="1167">
      <c r="S1167">
        <f>IF(AND(ISTEXT($A1167),ISNUMBER(SEARCH(" - ",$A1167)),ISERROR(SEARCH("Folio",$A1167)),$D1167=""),TRIM($A1167),$S1166)</f>
        <v/>
      </c>
      <c r="T1167">
        <f>IF(AND(ISNUMBER(SEARCH("Folio",$A1167)),$D1167&lt;&gt;""),1,"")</f>
        <v/>
      </c>
      <c r="U1167">
        <f>IF($T1167=1,COUNTIF($T$9:$T1167,1),"")</f>
        <v/>
      </c>
      <c r="V1167">
        <f>IF(AND(ISTEXT($A1167),LEFT($A1168,3)="Pan"),1,"")</f>
        <v/>
      </c>
    </row>
    <row r="1168">
      <c r="S1168">
        <f>IF(AND(ISTEXT($A1168),ISNUMBER(SEARCH(" - ",$A1168)),ISERROR(SEARCH("Folio",$A1168)),$D1168=""),TRIM($A1168),$S1167)</f>
        <v/>
      </c>
      <c r="T1168">
        <f>IF(AND(ISNUMBER(SEARCH("Folio",$A1168)),$D1168&lt;&gt;""),1,"")</f>
        <v/>
      </c>
      <c r="U1168">
        <f>IF($T1168=1,COUNTIF($T$9:$T1168,1),"")</f>
        <v/>
      </c>
      <c r="V1168">
        <f>IF(AND(ISTEXT($A1168),LEFT($A1169,3)="Pan"),1,"")</f>
        <v/>
      </c>
    </row>
    <row r="1169">
      <c r="S1169">
        <f>IF(AND(ISTEXT($A1169),ISNUMBER(SEARCH(" - ",$A1169)),ISERROR(SEARCH("Folio",$A1169)),$D1169=""),TRIM($A1169),$S1168)</f>
        <v/>
      </c>
      <c r="T1169">
        <f>IF(AND(ISNUMBER(SEARCH("Folio",$A1169)),$D1169&lt;&gt;""),1,"")</f>
        <v/>
      </c>
      <c r="U1169">
        <f>IF($T1169=1,COUNTIF($T$9:$T1169,1),"")</f>
        <v/>
      </c>
      <c r="V1169">
        <f>IF(AND(ISTEXT($A1169),LEFT($A1170,3)="Pan"),1,"")</f>
        <v/>
      </c>
    </row>
    <row r="1170">
      <c r="S1170">
        <f>IF(AND(ISTEXT($A1170),ISNUMBER(SEARCH(" - ",$A1170)),ISERROR(SEARCH("Folio",$A1170)),$D1170=""),TRIM($A1170),$S1169)</f>
        <v/>
      </c>
      <c r="T1170">
        <f>IF(AND(ISNUMBER(SEARCH("Folio",$A1170)),$D1170&lt;&gt;""),1,"")</f>
        <v/>
      </c>
      <c r="U1170">
        <f>IF($T1170=1,COUNTIF($T$9:$T1170,1),"")</f>
        <v/>
      </c>
      <c r="V1170">
        <f>IF(AND(ISTEXT($A1170),LEFT($A1171,3)="Pan"),1,"")</f>
        <v/>
      </c>
    </row>
    <row r="1171">
      <c r="S1171">
        <f>IF(AND(ISTEXT($A1171),ISNUMBER(SEARCH(" - ",$A1171)),ISERROR(SEARCH("Folio",$A1171)),$D1171=""),TRIM($A1171),$S1170)</f>
        <v/>
      </c>
      <c r="T1171">
        <f>IF(AND(ISNUMBER(SEARCH("Folio",$A1171)),$D1171&lt;&gt;""),1,"")</f>
        <v/>
      </c>
      <c r="U1171">
        <f>IF($T1171=1,COUNTIF($T$9:$T1171,1),"")</f>
        <v/>
      </c>
      <c r="V1171">
        <f>IF(AND(ISTEXT($A1171),LEFT($A1172,3)="Pan"),1,"")</f>
        <v/>
      </c>
    </row>
    <row r="1172">
      <c r="S1172">
        <f>IF(AND(ISTEXT($A1172),ISNUMBER(SEARCH(" - ",$A1172)),ISERROR(SEARCH("Folio",$A1172)),$D1172=""),TRIM($A1172),$S1171)</f>
        <v/>
      </c>
      <c r="T1172">
        <f>IF(AND(ISNUMBER(SEARCH("Folio",$A1172)),$D1172&lt;&gt;""),1,"")</f>
        <v/>
      </c>
      <c r="U1172">
        <f>IF($T1172=1,COUNTIF($T$9:$T1172,1),"")</f>
        <v/>
      </c>
      <c r="V1172">
        <f>IF(AND(ISTEXT($A1172),LEFT($A1173,3)="Pan"),1,"")</f>
        <v/>
      </c>
    </row>
    <row r="1173">
      <c r="S1173">
        <f>IF(AND(ISTEXT($A1173),ISNUMBER(SEARCH(" - ",$A1173)),ISERROR(SEARCH("Folio",$A1173)),$D1173=""),TRIM($A1173),$S1172)</f>
        <v/>
      </c>
      <c r="T1173">
        <f>IF(AND(ISNUMBER(SEARCH("Folio",$A1173)),$D1173&lt;&gt;""),1,"")</f>
        <v/>
      </c>
      <c r="U1173">
        <f>IF($T1173=1,COUNTIF($T$9:$T1173,1),"")</f>
        <v/>
      </c>
      <c r="V1173">
        <f>IF(AND(ISTEXT($A1173),LEFT($A1174,3)="Pan"),1,"")</f>
        <v/>
      </c>
    </row>
    <row r="1174">
      <c r="S1174">
        <f>IF(AND(ISTEXT($A1174),ISNUMBER(SEARCH(" - ",$A1174)),ISERROR(SEARCH("Folio",$A1174)),$D1174=""),TRIM($A1174),$S1173)</f>
        <v/>
      </c>
      <c r="T1174">
        <f>IF(AND(ISNUMBER(SEARCH("Folio",$A1174)),$D1174&lt;&gt;""),1,"")</f>
        <v/>
      </c>
      <c r="U1174">
        <f>IF($T1174=1,COUNTIF($T$9:$T1174,1),"")</f>
        <v/>
      </c>
      <c r="V1174">
        <f>IF(AND(ISTEXT($A1174),LEFT($A1175,3)="Pan"),1,"")</f>
        <v/>
      </c>
    </row>
    <row r="1175">
      <c r="S1175">
        <f>IF(AND(ISTEXT($A1175),ISNUMBER(SEARCH(" - ",$A1175)),ISERROR(SEARCH("Folio",$A1175)),$D1175=""),TRIM($A1175),$S1174)</f>
        <v/>
      </c>
      <c r="T1175">
        <f>IF(AND(ISNUMBER(SEARCH("Folio",$A1175)),$D1175&lt;&gt;""),1,"")</f>
        <v/>
      </c>
      <c r="U1175">
        <f>IF($T1175=1,COUNTIF($T$9:$T1175,1),"")</f>
        <v/>
      </c>
      <c r="V1175">
        <f>IF(AND(ISTEXT($A1175),LEFT($A1176,3)="Pan"),1,"")</f>
        <v/>
      </c>
    </row>
    <row r="1176">
      <c r="S1176">
        <f>IF(AND(ISTEXT($A1176),ISNUMBER(SEARCH(" - ",$A1176)),ISERROR(SEARCH("Folio",$A1176)),$D1176=""),TRIM($A1176),$S1175)</f>
        <v/>
      </c>
      <c r="T1176">
        <f>IF(AND(ISNUMBER(SEARCH("Folio",$A1176)),$D1176&lt;&gt;""),1,"")</f>
        <v/>
      </c>
      <c r="U1176">
        <f>IF($T1176=1,COUNTIF($T$9:$T1176,1),"")</f>
        <v/>
      </c>
      <c r="V1176">
        <f>IF(AND(ISTEXT($A1176),LEFT($A1177,3)="Pan"),1,"")</f>
        <v/>
      </c>
    </row>
    <row r="1177">
      <c r="S1177">
        <f>IF(AND(ISTEXT($A1177),ISNUMBER(SEARCH(" - ",$A1177)),ISERROR(SEARCH("Folio",$A1177)),$D1177=""),TRIM($A1177),$S1176)</f>
        <v/>
      </c>
      <c r="T1177">
        <f>IF(AND(ISNUMBER(SEARCH("Folio",$A1177)),$D1177&lt;&gt;""),1,"")</f>
        <v/>
      </c>
      <c r="U1177">
        <f>IF($T1177=1,COUNTIF($T$9:$T1177,1),"")</f>
        <v/>
      </c>
      <c r="V1177">
        <f>IF(AND(ISTEXT($A1177),LEFT($A1178,3)="Pan"),1,"")</f>
        <v/>
      </c>
    </row>
    <row r="1178">
      <c r="S1178">
        <f>IF(AND(ISTEXT($A1178),ISNUMBER(SEARCH(" - ",$A1178)),ISERROR(SEARCH("Folio",$A1178)),$D1178=""),TRIM($A1178),$S1177)</f>
        <v/>
      </c>
      <c r="T1178">
        <f>IF(AND(ISNUMBER(SEARCH("Folio",$A1178)),$D1178&lt;&gt;""),1,"")</f>
        <v/>
      </c>
      <c r="U1178">
        <f>IF($T1178=1,COUNTIF($T$9:$T1178,1),"")</f>
        <v/>
      </c>
      <c r="V1178">
        <f>IF(AND(ISTEXT($A1178),LEFT($A1179,3)="Pan"),1,"")</f>
        <v/>
      </c>
    </row>
    <row r="1179">
      <c r="S1179">
        <f>IF(AND(ISTEXT($A1179),ISNUMBER(SEARCH(" - ",$A1179)),ISERROR(SEARCH("Folio",$A1179)),$D1179=""),TRIM($A1179),$S1178)</f>
        <v/>
      </c>
      <c r="T1179">
        <f>IF(AND(ISNUMBER(SEARCH("Folio",$A1179)),$D1179&lt;&gt;""),1,"")</f>
        <v/>
      </c>
      <c r="U1179">
        <f>IF($T1179=1,COUNTIF($T$9:$T1179,1),"")</f>
        <v/>
      </c>
      <c r="V1179">
        <f>IF(AND(ISTEXT($A1179),LEFT($A1180,3)="Pan"),1,"")</f>
        <v/>
      </c>
    </row>
    <row r="1180">
      <c r="S1180">
        <f>IF(AND(ISTEXT($A1180),ISNUMBER(SEARCH(" - ",$A1180)),ISERROR(SEARCH("Folio",$A1180)),$D1180=""),TRIM($A1180),$S1179)</f>
        <v/>
      </c>
      <c r="T1180">
        <f>IF(AND(ISNUMBER(SEARCH("Folio",$A1180)),$D1180&lt;&gt;""),1,"")</f>
        <v/>
      </c>
      <c r="U1180">
        <f>IF($T1180=1,COUNTIF($T$9:$T1180,1),"")</f>
        <v/>
      </c>
      <c r="V1180">
        <f>IF(AND(ISTEXT($A1180),LEFT($A1181,3)="Pan"),1,"")</f>
        <v/>
      </c>
    </row>
    <row r="1181">
      <c r="S1181">
        <f>IF(AND(ISTEXT($A1181),ISNUMBER(SEARCH(" - ",$A1181)),ISERROR(SEARCH("Folio",$A1181)),$D1181=""),TRIM($A1181),$S1180)</f>
        <v/>
      </c>
      <c r="T1181">
        <f>IF(AND(ISNUMBER(SEARCH("Folio",$A1181)),$D1181&lt;&gt;""),1,"")</f>
        <v/>
      </c>
      <c r="U1181">
        <f>IF($T1181=1,COUNTIF($T$9:$T1181,1),"")</f>
        <v/>
      </c>
      <c r="V1181">
        <f>IF(AND(ISTEXT($A1181),LEFT($A1182,3)="Pan"),1,"")</f>
        <v/>
      </c>
    </row>
    <row r="1182">
      <c r="S1182">
        <f>IF(AND(ISTEXT($A1182),ISNUMBER(SEARCH(" - ",$A1182)),ISERROR(SEARCH("Folio",$A1182)),$D1182=""),TRIM($A1182),$S1181)</f>
        <v/>
      </c>
      <c r="T1182">
        <f>IF(AND(ISNUMBER(SEARCH("Folio",$A1182)),$D1182&lt;&gt;""),1,"")</f>
        <v/>
      </c>
      <c r="U1182">
        <f>IF($T1182=1,COUNTIF($T$9:$T1182,1),"")</f>
        <v/>
      </c>
      <c r="V1182">
        <f>IF(AND(ISTEXT($A1182),LEFT($A1183,3)="Pan"),1,"")</f>
        <v/>
      </c>
    </row>
    <row r="1183">
      <c r="S1183">
        <f>IF(AND(ISTEXT($A1183),ISNUMBER(SEARCH(" - ",$A1183)),ISERROR(SEARCH("Folio",$A1183)),$D1183=""),TRIM($A1183),$S1182)</f>
        <v/>
      </c>
      <c r="T1183">
        <f>IF(AND(ISNUMBER(SEARCH("Folio",$A1183)),$D1183&lt;&gt;""),1,"")</f>
        <v/>
      </c>
      <c r="U1183">
        <f>IF($T1183=1,COUNTIF($T$9:$T1183,1),"")</f>
        <v/>
      </c>
      <c r="V1183">
        <f>IF(AND(ISTEXT($A1183),LEFT($A1184,3)="Pan"),1,"")</f>
        <v/>
      </c>
    </row>
    <row r="1184">
      <c r="S1184">
        <f>IF(AND(ISTEXT($A1184),ISNUMBER(SEARCH(" - ",$A1184)),ISERROR(SEARCH("Folio",$A1184)),$D1184=""),TRIM($A1184),$S1183)</f>
        <v/>
      </c>
      <c r="T1184">
        <f>IF(AND(ISNUMBER(SEARCH("Folio",$A1184)),$D1184&lt;&gt;""),1,"")</f>
        <v/>
      </c>
      <c r="U1184">
        <f>IF($T1184=1,COUNTIF($T$9:$T1184,1),"")</f>
        <v/>
      </c>
      <c r="V1184">
        <f>IF(AND(ISTEXT($A1184),LEFT($A1185,3)="Pan"),1,"")</f>
        <v/>
      </c>
    </row>
    <row r="1185">
      <c r="S1185">
        <f>IF(AND(ISTEXT($A1185),ISNUMBER(SEARCH(" - ",$A1185)),ISERROR(SEARCH("Folio",$A1185)),$D1185=""),TRIM($A1185),$S1184)</f>
        <v/>
      </c>
      <c r="T1185">
        <f>IF(AND(ISNUMBER(SEARCH("Folio",$A1185)),$D1185&lt;&gt;""),1,"")</f>
        <v/>
      </c>
      <c r="U1185">
        <f>IF($T1185=1,COUNTIF($T$9:$T1185,1),"")</f>
        <v/>
      </c>
      <c r="V1185">
        <f>IF(AND(ISTEXT($A1185),LEFT($A1186,3)="Pan"),1,"")</f>
        <v/>
      </c>
    </row>
    <row r="1186">
      <c r="S1186">
        <f>IF(AND(ISTEXT($A1186),ISNUMBER(SEARCH(" - ",$A1186)),ISERROR(SEARCH("Folio",$A1186)),$D1186=""),TRIM($A1186),$S1185)</f>
        <v/>
      </c>
      <c r="T1186">
        <f>IF(AND(ISNUMBER(SEARCH("Folio",$A1186)),$D1186&lt;&gt;""),1,"")</f>
        <v/>
      </c>
      <c r="U1186">
        <f>IF($T1186=1,COUNTIF($T$9:$T1186,1),"")</f>
        <v/>
      </c>
      <c r="V1186">
        <f>IF(AND(ISTEXT($A1186),LEFT($A1187,3)="Pan"),1,"")</f>
        <v/>
      </c>
    </row>
    <row r="1187">
      <c r="S1187">
        <f>IF(AND(ISTEXT($A1187),ISNUMBER(SEARCH(" - ",$A1187)),ISERROR(SEARCH("Folio",$A1187)),$D1187=""),TRIM($A1187),$S1186)</f>
        <v/>
      </c>
      <c r="T1187">
        <f>IF(AND(ISNUMBER(SEARCH("Folio",$A1187)),$D1187&lt;&gt;""),1,"")</f>
        <v/>
      </c>
      <c r="U1187">
        <f>IF($T1187=1,COUNTIF($T$9:$T1187,1),"")</f>
        <v/>
      </c>
      <c r="V1187">
        <f>IF(AND(ISTEXT($A1187),LEFT($A1188,3)="Pan"),1,"")</f>
        <v/>
      </c>
    </row>
    <row r="1188">
      <c r="S1188">
        <f>IF(AND(ISTEXT($A1188),ISNUMBER(SEARCH(" - ",$A1188)),ISERROR(SEARCH("Folio",$A1188)),$D1188=""),TRIM($A1188),$S1187)</f>
        <v/>
      </c>
      <c r="T1188">
        <f>IF(AND(ISNUMBER(SEARCH("Folio",$A1188)),$D1188&lt;&gt;""),1,"")</f>
        <v/>
      </c>
      <c r="U1188">
        <f>IF($T1188=1,COUNTIF($T$9:$T1188,1),"")</f>
        <v/>
      </c>
      <c r="V1188">
        <f>IF(AND(ISTEXT($A1188),LEFT($A1189,3)="Pan"),1,"")</f>
        <v/>
      </c>
    </row>
    <row r="1189">
      <c r="S1189">
        <f>IF(AND(ISTEXT($A1189),ISNUMBER(SEARCH(" - ",$A1189)),ISERROR(SEARCH("Folio",$A1189)),$D1189=""),TRIM($A1189),$S1188)</f>
        <v/>
      </c>
      <c r="T1189">
        <f>IF(AND(ISNUMBER(SEARCH("Folio",$A1189)),$D1189&lt;&gt;""),1,"")</f>
        <v/>
      </c>
      <c r="U1189">
        <f>IF($T1189=1,COUNTIF($T$9:$T1189,1),"")</f>
        <v/>
      </c>
      <c r="V1189">
        <f>IF(AND(ISTEXT($A1189),LEFT($A1190,3)="Pan"),1,"")</f>
        <v/>
      </c>
    </row>
    <row r="1190">
      <c r="S1190">
        <f>IF(AND(ISTEXT($A1190),ISNUMBER(SEARCH(" - ",$A1190)),ISERROR(SEARCH("Folio",$A1190)),$D1190=""),TRIM($A1190),$S1189)</f>
        <v/>
      </c>
      <c r="T1190">
        <f>IF(AND(ISNUMBER(SEARCH("Folio",$A1190)),$D1190&lt;&gt;""),1,"")</f>
        <v/>
      </c>
      <c r="U1190">
        <f>IF($T1190=1,COUNTIF($T$9:$T1190,1),"")</f>
        <v/>
      </c>
      <c r="V1190">
        <f>IF(AND(ISTEXT($A1190),LEFT($A1191,3)="Pan"),1,"")</f>
        <v/>
      </c>
    </row>
    <row r="1191">
      <c r="S1191">
        <f>IF(AND(ISTEXT($A1191),ISNUMBER(SEARCH(" - ",$A1191)),ISERROR(SEARCH("Folio",$A1191)),$D1191=""),TRIM($A1191),$S1190)</f>
        <v/>
      </c>
      <c r="T1191">
        <f>IF(AND(ISNUMBER(SEARCH("Folio",$A1191)),$D1191&lt;&gt;""),1,"")</f>
        <v/>
      </c>
      <c r="U1191">
        <f>IF($T1191=1,COUNTIF($T$9:$T1191,1),"")</f>
        <v/>
      </c>
      <c r="V1191">
        <f>IF(AND(ISTEXT($A1191),LEFT($A1192,3)="Pan"),1,"")</f>
        <v/>
      </c>
    </row>
    <row r="1192">
      <c r="S1192">
        <f>IF(AND(ISTEXT($A1192),ISNUMBER(SEARCH(" - ",$A1192)),ISERROR(SEARCH("Folio",$A1192)),$D1192=""),TRIM($A1192),$S1191)</f>
        <v/>
      </c>
      <c r="T1192">
        <f>IF(AND(ISNUMBER(SEARCH("Folio",$A1192)),$D1192&lt;&gt;""),1,"")</f>
        <v/>
      </c>
      <c r="U1192">
        <f>IF($T1192=1,COUNTIF($T$9:$T1192,1),"")</f>
        <v/>
      </c>
      <c r="V1192">
        <f>IF(AND(ISTEXT($A1192),LEFT($A1193,3)="Pan"),1,"")</f>
        <v/>
      </c>
    </row>
    <row r="1193">
      <c r="S1193">
        <f>IF(AND(ISTEXT($A1193),ISNUMBER(SEARCH(" - ",$A1193)),ISERROR(SEARCH("Folio",$A1193)),$D1193=""),TRIM($A1193),$S1192)</f>
        <v/>
      </c>
      <c r="T1193">
        <f>IF(AND(ISNUMBER(SEARCH("Folio",$A1193)),$D1193&lt;&gt;""),1,"")</f>
        <v/>
      </c>
      <c r="U1193">
        <f>IF($T1193=1,COUNTIF($T$9:$T1193,1),"")</f>
        <v/>
      </c>
      <c r="V1193">
        <f>IF(AND(ISTEXT($A1193),LEFT($A1194,3)="Pan"),1,"")</f>
        <v/>
      </c>
    </row>
    <row r="1194">
      <c r="S1194">
        <f>IF(AND(ISTEXT($A1194),ISNUMBER(SEARCH(" - ",$A1194)),ISERROR(SEARCH("Folio",$A1194)),$D1194=""),TRIM($A1194),$S1193)</f>
        <v/>
      </c>
      <c r="T1194">
        <f>IF(AND(ISNUMBER(SEARCH("Folio",$A1194)),$D1194&lt;&gt;""),1,"")</f>
        <v/>
      </c>
      <c r="U1194">
        <f>IF($T1194=1,COUNTIF($T$9:$T1194,1),"")</f>
        <v/>
      </c>
      <c r="V1194">
        <f>IF(AND(ISTEXT($A1194),LEFT($A1195,3)="Pan"),1,"")</f>
        <v/>
      </c>
    </row>
    <row r="1195">
      <c r="S1195">
        <f>IF(AND(ISTEXT($A1195),ISNUMBER(SEARCH(" - ",$A1195)),ISERROR(SEARCH("Folio",$A1195)),$D1195=""),TRIM($A1195),$S1194)</f>
        <v/>
      </c>
      <c r="T1195">
        <f>IF(AND(ISNUMBER(SEARCH("Folio",$A1195)),$D1195&lt;&gt;""),1,"")</f>
        <v/>
      </c>
      <c r="U1195">
        <f>IF($T1195=1,COUNTIF($T$9:$T1195,1),"")</f>
        <v/>
      </c>
      <c r="V1195">
        <f>IF(AND(ISTEXT($A1195),LEFT($A1196,3)="Pan"),1,"")</f>
        <v/>
      </c>
    </row>
    <row r="1196">
      <c r="S1196">
        <f>IF(AND(ISTEXT($A1196),ISNUMBER(SEARCH(" - ",$A1196)),ISERROR(SEARCH("Folio",$A1196)),$D1196=""),TRIM($A1196),$S1195)</f>
        <v/>
      </c>
      <c r="T1196">
        <f>IF(AND(ISNUMBER(SEARCH("Folio",$A1196)),$D1196&lt;&gt;""),1,"")</f>
        <v/>
      </c>
      <c r="U1196">
        <f>IF($T1196=1,COUNTIF($T$9:$T1196,1),"")</f>
        <v/>
      </c>
      <c r="V1196">
        <f>IF(AND(ISTEXT($A1196),LEFT($A1197,3)="Pan"),1,"")</f>
        <v/>
      </c>
    </row>
    <row r="1197">
      <c r="S1197">
        <f>IF(AND(ISTEXT($A1197),ISNUMBER(SEARCH(" - ",$A1197)),ISERROR(SEARCH("Folio",$A1197)),$D1197=""),TRIM($A1197),$S1196)</f>
        <v/>
      </c>
      <c r="T1197">
        <f>IF(AND(ISNUMBER(SEARCH("Folio",$A1197)),$D1197&lt;&gt;""),1,"")</f>
        <v/>
      </c>
      <c r="U1197">
        <f>IF($T1197=1,COUNTIF($T$9:$T1197,1),"")</f>
        <v/>
      </c>
      <c r="V1197">
        <f>IF(AND(ISTEXT($A1197),LEFT($A1198,3)="Pan"),1,"")</f>
        <v/>
      </c>
    </row>
    <row r="1198">
      <c r="S1198">
        <f>IF(AND(ISTEXT($A1198),ISNUMBER(SEARCH(" - ",$A1198)),ISERROR(SEARCH("Folio",$A1198)),$D1198=""),TRIM($A1198),$S1197)</f>
        <v/>
      </c>
      <c r="T1198">
        <f>IF(AND(ISNUMBER(SEARCH("Folio",$A1198)),$D1198&lt;&gt;""),1,"")</f>
        <v/>
      </c>
      <c r="U1198">
        <f>IF($T1198=1,COUNTIF($T$9:$T1198,1),"")</f>
        <v/>
      </c>
      <c r="V1198">
        <f>IF(AND(ISTEXT($A1198),LEFT($A1199,3)="Pan"),1,"")</f>
        <v/>
      </c>
    </row>
    <row r="1199">
      <c r="S1199">
        <f>IF(AND(ISTEXT($A1199),ISNUMBER(SEARCH(" - ",$A1199)),ISERROR(SEARCH("Folio",$A1199)),$D1199=""),TRIM($A1199),$S1198)</f>
        <v/>
      </c>
      <c r="T1199">
        <f>IF(AND(ISNUMBER(SEARCH("Folio",$A1199)),$D1199&lt;&gt;""),1,"")</f>
        <v/>
      </c>
      <c r="U1199">
        <f>IF($T1199=1,COUNTIF($T$9:$T1199,1),"")</f>
        <v/>
      </c>
      <c r="V1199">
        <f>IF(AND(ISTEXT($A1199),LEFT($A1200,3)="Pan"),1,"")</f>
        <v/>
      </c>
    </row>
    <row r="1200">
      <c r="S1200">
        <f>IF(AND(ISTEXT($A1200),ISNUMBER(SEARCH(" - ",$A1200)),ISERROR(SEARCH("Folio",$A1200)),$D1200=""),TRIM($A1200),$S1199)</f>
        <v/>
      </c>
      <c r="T1200">
        <f>IF(AND(ISNUMBER(SEARCH("Folio",$A1200)),$D1200&lt;&gt;""),1,"")</f>
        <v/>
      </c>
      <c r="U1200">
        <f>IF($T1200=1,COUNTIF($T$9:$T1200,1),"")</f>
        <v/>
      </c>
      <c r="V1200">
        <f>IF(AND(ISTEXT($A1200),LEFT($A1201,3)="Pan"),1,"")</f>
        <v/>
      </c>
    </row>
    <row r="1201">
      <c r="S1201">
        <f>IF(AND(ISTEXT($A1201),ISNUMBER(SEARCH(" - ",$A1201)),ISERROR(SEARCH("Folio",$A1201)),$D1201=""),TRIM($A1201),$S1200)</f>
        <v/>
      </c>
      <c r="T1201">
        <f>IF(AND(ISNUMBER(SEARCH("Folio",$A1201)),$D1201&lt;&gt;""),1,"")</f>
        <v/>
      </c>
      <c r="U1201">
        <f>IF($T1201=1,COUNTIF($T$9:$T1201,1),"")</f>
        <v/>
      </c>
      <c r="V1201">
        <f>IF(AND(ISTEXT($A1201),LEFT($A1202,3)="Pan"),1,"")</f>
        <v/>
      </c>
    </row>
    <row r="1202">
      <c r="S1202">
        <f>IF(AND(ISTEXT($A1202),ISNUMBER(SEARCH(" - ",$A1202)),ISERROR(SEARCH("Folio",$A1202)),$D1202=""),TRIM($A1202),$S1201)</f>
        <v/>
      </c>
      <c r="T1202">
        <f>IF(AND(ISNUMBER(SEARCH("Folio",$A1202)),$D1202&lt;&gt;""),1,"")</f>
        <v/>
      </c>
      <c r="U1202">
        <f>IF($T1202=1,COUNTIF($T$9:$T1202,1),"")</f>
        <v/>
      </c>
      <c r="V1202">
        <f>IF(AND(ISTEXT($A1202),LEFT($A1203,3)="Pan"),1,"")</f>
        <v/>
      </c>
    </row>
    <row r="1203">
      <c r="S1203">
        <f>IF(AND(ISTEXT($A1203),ISNUMBER(SEARCH(" - ",$A1203)),ISERROR(SEARCH("Folio",$A1203)),$D1203=""),TRIM($A1203),$S1202)</f>
        <v/>
      </c>
      <c r="T1203">
        <f>IF(AND(ISNUMBER(SEARCH("Folio",$A1203)),$D1203&lt;&gt;""),1,"")</f>
        <v/>
      </c>
      <c r="U1203">
        <f>IF($T1203=1,COUNTIF($T$9:$T1203,1),"")</f>
        <v/>
      </c>
      <c r="V1203">
        <f>IF(AND(ISTEXT($A1203),LEFT($A1204,3)="Pan"),1,"")</f>
        <v/>
      </c>
    </row>
    <row r="1204">
      <c r="S1204">
        <f>IF(AND(ISTEXT($A1204),ISNUMBER(SEARCH(" - ",$A1204)),ISERROR(SEARCH("Folio",$A1204)),$D1204=""),TRIM($A1204),$S1203)</f>
        <v/>
      </c>
      <c r="T1204">
        <f>IF(AND(ISNUMBER(SEARCH("Folio",$A1204)),$D1204&lt;&gt;""),1,"")</f>
        <v/>
      </c>
      <c r="U1204">
        <f>IF($T1204=1,COUNTIF($T$9:$T1204,1),"")</f>
        <v/>
      </c>
      <c r="V1204">
        <f>IF(AND(ISTEXT($A1204),LEFT($A1205,3)="Pan"),1,"")</f>
        <v/>
      </c>
    </row>
    <row r="1205">
      <c r="S1205">
        <f>IF(AND(ISTEXT($A1205),ISNUMBER(SEARCH(" - ",$A1205)),ISERROR(SEARCH("Folio",$A1205)),$D1205=""),TRIM($A1205),$S1204)</f>
        <v/>
      </c>
      <c r="T1205">
        <f>IF(AND(ISNUMBER(SEARCH("Folio",$A1205)),$D1205&lt;&gt;""),1,"")</f>
        <v/>
      </c>
      <c r="U1205">
        <f>IF($T1205=1,COUNTIF($T$9:$T1205,1),"")</f>
        <v/>
      </c>
      <c r="V1205">
        <f>IF(AND(ISTEXT($A1205),LEFT($A1206,3)="Pan"),1,"")</f>
        <v/>
      </c>
    </row>
    <row r="1206">
      <c r="S1206">
        <f>IF(AND(ISTEXT($A1206),ISNUMBER(SEARCH(" - ",$A1206)),ISERROR(SEARCH("Folio",$A1206)),$D1206=""),TRIM($A1206),$S1205)</f>
        <v/>
      </c>
      <c r="T1206">
        <f>IF(AND(ISNUMBER(SEARCH("Folio",$A1206)),$D1206&lt;&gt;""),1,"")</f>
        <v/>
      </c>
      <c r="U1206">
        <f>IF($T1206=1,COUNTIF($T$9:$T1206,1),"")</f>
        <v/>
      </c>
      <c r="V1206">
        <f>IF(AND(ISTEXT($A1206),LEFT($A1207,3)="Pan"),1,"")</f>
        <v/>
      </c>
    </row>
    <row r="1207">
      <c r="S1207">
        <f>IF(AND(ISTEXT($A1207),ISNUMBER(SEARCH(" - ",$A1207)),ISERROR(SEARCH("Folio",$A1207)),$D1207=""),TRIM($A1207),$S1206)</f>
        <v/>
      </c>
      <c r="T1207">
        <f>IF(AND(ISNUMBER(SEARCH("Folio",$A1207)),$D1207&lt;&gt;""),1,"")</f>
        <v/>
      </c>
      <c r="U1207">
        <f>IF($T1207=1,COUNTIF($T$9:$T1207,1),"")</f>
        <v/>
      </c>
      <c r="V1207">
        <f>IF(AND(ISTEXT($A1207),LEFT($A1208,3)="Pan"),1,"")</f>
        <v/>
      </c>
    </row>
    <row r="1208">
      <c r="S1208">
        <f>IF(AND(ISTEXT($A1208),ISNUMBER(SEARCH(" - ",$A1208)),ISERROR(SEARCH("Folio",$A1208)),$D1208=""),TRIM($A1208),$S1207)</f>
        <v/>
      </c>
      <c r="T1208">
        <f>IF(AND(ISNUMBER(SEARCH("Folio",$A1208)),$D1208&lt;&gt;""),1,"")</f>
        <v/>
      </c>
      <c r="U1208">
        <f>IF($T1208=1,COUNTIF($T$9:$T1208,1),"")</f>
        <v/>
      </c>
      <c r="V1208">
        <f>IF(AND(ISTEXT($A1208),LEFT($A1209,3)="Pan"),1,"")</f>
        <v/>
      </c>
    </row>
    <row r="1209">
      <c r="S1209">
        <f>IF(AND(ISTEXT($A1209),ISNUMBER(SEARCH(" - ",$A1209)),ISERROR(SEARCH("Folio",$A1209)),$D1209=""),TRIM($A1209),$S1208)</f>
        <v/>
      </c>
      <c r="T1209">
        <f>IF(AND(ISNUMBER(SEARCH("Folio",$A1209)),$D1209&lt;&gt;""),1,"")</f>
        <v/>
      </c>
      <c r="U1209">
        <f>IF($T1209=1,COUNTIF($T$9:$T1209,1),"")</f>
        <v/>
      </c>
      <c r="V1209">
        <f>IF(AND(ISTEXT($A1209),LEFT($A1210,3)="Pan"),1,"")</f>
        <v/>
      </c>
    </row>
    <row r="1210">
      <c r="S1210">
        <f>IF(AND(ISTEXT($A1210),ISNUMBER(SEARCH(" - ",$A1210)),ISERROR(SEARCH("Folio",$A1210)),$D1210=""),TRIM($A1210),$S1209)</f>
        <v/>
      </c>
      <c r="T1210">
        <f>IF(AND(ISNUMBER(SEARCH("Folio",$A1210)),$D1210&lt;&gt;""),1,"")</f>
        <v/>
      </c>
      <c r="U1210">
        <f>IF($T1210=1,COUNTIF($T$9:$T1210,1),"")</f>
        <v/>
      </c>
      <c r="V1210">
        <f>IF(AND(ISTEXT($A1210),LEFT($A1211,3)="Pan"),1,"")</f>
        <v/>
      </c>
    </row>
    <row r="1211">
      <c r="S1211">
        <f>IF(AND(ISTEXT($A1211),ISNUMBER(SEARCH(" - ",$A1211)),ISERROR(SEARCH("Folio",$A1211)),$D1211=""),TRIM($A1211),$S1210)</f>
        <v/>
      </c>
      <c r="T1211">
        <f>IF(AND(ISNUMBER(SEARCH("Folio",$A1211)),$D1211&lt;&gt;""),1,"")</f>
        <v/>
      </c>
      <c r="U1211">
        <f>IF($T1211=1,COUNTIF($T$9:$T1211,1),"")</f>
        <v/>
      </c>
      <c r="V1211">
        <f>IF(AND(ISTEXT($A1211),LEFT($A1212,3)="Pan"),1,"")</f>
        <v/>
      </c>
    </row>
    <row r="1212">
      <c r="S1212">
        <f>IF(AND(ISTEXT($A1212),ISNUMBER(SEARCH(" - ",$A1212)),ISERROR(SEARCH("Folio",$A1212)),$D1212=""),TRIM($A1212),$S1211)</f>
        <v/>
      </c>
      <c r="T1212">
        <f>IF(AND(ISNUMBER(SEARCH("Folio",$A1212)),$D1212&lt;&gt;""),1,"")</f>
        <v/>
      </c>
      <c r="U1212">
        <f>IF($T1212=1,COUNTIF($T$9:$T1212,1),"")</f>
        <v/>
      </c>
      <c r="V1212">
        <f>IF(AND(ISTEXT($A1212),LEFT($A1213,3)="Pan"),1,"")</f>
        <v/>
      </c>
    </row>
    <row r="1213">
      <c r="S1213">
        <f>IF(AND(ISTEXT($A1213),ISNUMBER(SEARCH(" - ",$A1213)),ISERROR(SEARCH("Folio",$A1213)),$D1213=""),TRIM($A1213),$S1212)</f>
        <v/>
      </c>
      <c r="T1213">
        <f>IF(AND(ISNUMBER(SEARCH("Folio",$A1213)),$D1213&lt;&gt;""),1,"")</f>
        <v/>
      </c>
      <c r="U1213">
        <f>IF($T1213=1,COUNTIF($T$9:$T1213,1),"")</f>
        <v/>
      </c>
      <c r="V1213">
        <f>IF(AND(ISTEXT($A1213),LEFT($A1214,3)="Pan"),1,"")</f>
        <v/>
      </c>
    </row>
    <row r="1214">
      <c r="S1214">
        <f>IF(AND(ISTEXT($A1214),ISNUMBER(SEARCH(" - ",$A1214)),ISERROR(SEARCH("Folio",$A1214)),$D1214=""),TRIM($A1214),$S1213)</f>
        <v/>
      </c>
      <c r="T1214">
        <f>IF(AND(ISNUMBER(SEARCH("Folio",$A1214)),$D1214&lt;&gt;""),1,"")</f>
        <v/>
      </c>
      <c r="U1214">
        <f>IF($T1214=1,COUNTIF($T$9:$T1214,1),"")</f>
        <v/>
      </c>
      <c r="V1214">
        <f>IF(AND(ISTEXT($A1214),LEFT($A1215,3)="Pan"),1,"")</f>
        <v/>
      </c>
    </row>
    <row r="1215">
      <c r="S1215">
        <f>IF(AND(ISTEXT($A1215),ISNUMBER(SEARCH(" - ",$A1215)),ISERROR(SEARCH("Folio",$A1215)),$D1215=""),TRIM($A1215),$S1214)</f>
        <v/>
      </c>
      <c r="T1215">
        <f>IF(AND(ISNUMBER(SEARCH("Folio",$A1215)),$D1215&lt;&gt;""),1,"")</f>
        <v/>
      </c>
      <c r="U1215">
        <f>IF($T1215=1,COUNTIF($T$9:$T1215,1),"")</f>
        <v/>
      </c>
      <c r="V1215">
        <f>IF(AND(ISTEXT($A1215),LEFT($A1216,3)="Pan"),1,"")</f>
        <v/>
      </c>
    </row>
    <row r="1216">
      <c r="S1216">
        <f>IF(AND(ISTEXT($A1216),ISNUMBER(SEARCH(" - ",$A1216)),ISERROR(SEARCH("Folio",$A1216)),$D1216=""),TRIM($A1216),$S1215)</f>
        <v/>
      </c>
      <c r="T1216">
        <f>IF(AND(ISNUMBER(SEARCH("Folio",$A1216)),$D1216&lt;&gt;""),1,"")</f>
        <v/>
      </c>
      <c r="U1216">
        <f>IF($T1216=1,COUNTIF($T$9:$T1216,1),"")</f>
        <v/>
      </c>
      <c r="V1216">
        <f>IF(AND(ISTEXT($A1216),LEFT($A1217,3)="Pan"),1,"")</f>
        <v/>
      </c>
    </row>
    <row r="1217">
      <c r="S1217">
        <f>IF(AND(ISTEXT($A1217),ISNUMBER(SEARCH(" - ",$A1217)),ISERROR(SEARCH("Folio",$A1217)),$D1217=""),TRIM($A1217),$S1216)</f>
        <v/>
      </c>
      <c r="T1217">
        <f>IF(AND(ISNUMBER(SEARCH("Folio",$A1217)),$D1217&lt;&gt;""),1,"")</f>
        <v/>
      </c>
      <c r="U1217">
        <f>IF($T1217=1,COUNTIF($T$9:$T1217,1),"")</f>
        <v/>
      </c>
      <c r="V1217">
        <f>IF(AND(ISTEXT($A1217),LEFT($A1218,3)="Pan"),1,"")</f>
        <v/>
      </c>
    </row>
    <row r="1218">
      <c r="S1218">
        <f>IF(AND(ISTEXT($A1218),ISNUMBER(SEARCH(" - ",$A1218)),ISERROR(SEARCH("Folio",$A1218)),$D1218=""),TRIM($A1218),$S1217)</f>
        <v/>
      </c>
      <c r="T1218">
        <f>IF(AND(ISNUMBER(SEARCH("Folio",$A1218)),$D1218&lt;&gt;""),1,"")</f>
        <v/>
      </c>
      <c r="U1218">
        <f>IF($T1218=1,COUNTIF($T$9:$T1218,1),"")</f>
        <v/>
      </c>
      <c r="V1218">
        <f>IF(AND(ISTEXT($A1218),LEFT($A1219,3)="Pan"),1,"")</f>
        <v/>
      </c>
    </row>
    <row r="1219">
      <c r="S1219">
        <f>IF(AND(ISTEXT($A1219),ISNUMBER(SEARCH(" - ",$A1219)),ISERROR(SEARCH("Folio",$A1219)),$D1219=""),TRIM($A1219),$S1218)</f>
        <v/>
      </c>
      <c r="T1219">
        <f>IF(AND(ISNUMBER(SEARCH("Folio",$A1219)),$D1219&lt;&gt;""),1,"")</f>
        <v/>
      </c>
      <c r="U1219">
        <f>IF($T1219=1,COUNTIF($T$9:$T1219,1),"")</f>
        <v/>
      </c>
      <c r="V1219">
        <f>IF(AND(ISTEXT($A1219),LEFT($A1220,3)="Pan"),1,"")</f>
        <v/>
      </c>
    </row>
    <row r="1220">
      <c r="S1220">
        <f>IF(AND(ISTEXT($A1220),ISNUMBER(SEARCH(" - ",$A1220)),ISERROR(SEARCH("Folio",$A1220)),$D1220=""),TRIM($A1220),$S1219)</f>
        <v/>
      </c>
      <c r="T1220">
        <f>IF(AND(ISNUMBER(SEARCH("Folio",$A1220)),$D1220&lt;&gt;""),1,"")</f>
        <v/>
      </c>
      <c r="U1220">
        <f>IF($T1220=1,COUNTIF($T$9:$T1220,1),"")</f>
        <v/>
      </c>
      <c r="V1220">
        <f>IF(AND(ISTEXT($A1220),LEFT($A1221,3)="Pan"),1,"")</f>
        <v/>
      </c>
    </row>
    <row r="1221">
      <c r="S1221">
        <f>IF(AND(ISTEXT($A1221),ISNUMBER(SEARCH(" - ",$A1221)),ISERROR(SEARCH("Folio",$A1221)),$D1221=""),TRIM($A1221),$S1220)</f>
        <v/>
      </c>
      <c r="T1221">
        <f>IF(AND(ISNUMBER(SEARCH("Folio",$A1221)),$D1221&lt;&gt;""),1,"")</f>
        <v/>
      </c>
      <c r="U1221">
        <f>IF($T1221=1,COUNTIF($T$9:$T1221,1),"")</f>
        <v/>
      </c>
      <c r="V1221">
        <f>IF(AND(ISTEXT($A1221),LEFT($A1222,3)="Pan"),1,"")</f>
        <v/>
      </c>
    </row>
    <row r="1222">
      <c r="S1222">
        <f>IF(AND(ISTEXT($A1222),ISNUMBER(SEARCH(" - ",$A1222)),ISERROR(SEARCH("Folio",$A1222)),$D1222=""),TRIM($A1222),$S1221)</f>
        <v/>
      </c>
      <c r="T1222">
        <f>IF(AND(ISNUMBER(SEARCH("Folio",$A1222)),$D1222&lt;&gt;""),1,"")</f>
        <v/>
      </c>
      <c r="U1222">
        <f>IF($T1222=1,COUNTIF($T$9:$T1222,1),"")</f>
        <v/>
      </c>
      <c r="V1222">
        <f>IF(AND(ISTEXT($A1222),LEFT($A1223,3)="Pan"),1,"")</f>
        <v/>
      </c>
    </row>
    <row r="1223">
      <c r="S1223">
        <f>IF(AND(ISTEXT($A1223),ISNUMBER(SEARCH(" - ",$A1223)),ISERROR(SEARCH("Folio",$A1223)),$D1223=""),TRIM($A1223),$S1222)</f>
        <v/>
      </c>
      <c r="T1223">
        <f>IF(AND(ISNUMBER(SEARCH("Folio",$A1223)),$D1223&lt;&gt;""),1,"")</f>
        <v/>
      </c>
      <c r="U1223">
        <f>IF($T1223=1,COUNTIF($T$9:$T1223,1),"")</f>
        <v/>
      </c>
      <c r="V1223">
        <f>IF(AND(ISTEXT($A1223),LEFT($A1224,3)="Pan"),1,"")</f>
        <v/>
      </c>
    </row>
    <row r="1224">
      <c r="S1224">
        <f>IF(AND(ISTEXT($A1224),ISNUMBER(SEARCH(" - ",$A1224)),ISERROR(SEARCH("Folio",$A1224)),$D1224=""),TRIM($A1224),$S1223)</f>
        <v/>
      </c>
      <c r="T1224">
        <f>IF(AND(ISNUMBER(SEARCH("Folio",$A1224)),$D1224&lt;&gt;""),1,"")</f>
        <v/>
      </c>
      <c r="U1224">
        <f>IF($T1224=1,COUNTIF($T$9:$T1224,1),"")</f>
        <v/>
      </c>
      <c r="V1224">
        <f>IF(AND(ISTEXT($A1224),LEFT($A1225,3)="Pan"),1,"")</f>
        <v/>
      </c>
    </row>
    <row r="1225">
      <c r="S1225">
        <f>IF(AND(ISTEXT($A1225),ISNUMBER(SEARCH(" - ",$A1225)),ISERROR(SEARCH("Folio",$A1225)),$D1225=""),TRIM($A1225),$S1224)</f>
        <v/>
      </c>
      <c r="T1225">
        <f>IF(AND(ISNUMBER(SEARCH("Folio",$A1225)),$D1225&lt;&gt;""),1,"")</f>
        <v/>
      </c>
      <c r="U1225">
        <f>IF($T1225=1,COUNTIF($T$9:$T1225,1),"")</f>
        <v/>
      </c>
      <c r="V1225">
        <f>IF(AND(ISTEXT($A1225),LEFT($A1226,3)="Pan"),1,"")</f>
        <v/>
      </c>
    </row>
    <row r="1226">
      <c r="S1226">
        <f>IF(AND(ISTEXT($A1226),ISNUMBER(SEARCH(" - ",$A1226)),ISERROR(SEARCH("Folio",$A1226)),$D1226=""),TRIM($A1226),$S1225)</f>
        <v/>
      </c>
      <c r="T1226">
        <f>IF(AND(ISNUMBER(SEARCH("Folio",$A1226)),$D1226&lt;&gt;""),1,"")</f>
        <v/>
      </c>
      <c r="U1226">
        <f>IF($T1226=1,COUNTIF($T$9:$T1226,1),"")</f>
        <v/>
      </c>
      <c r="V1226">
        <f>IF(AND(ISTEXT($A1226),LEFT($A1227,3)="Pan"),1,"")</f>
        <v/>
      </c>
    </row>
    <row r="1227">
      <c r="S1227">
        <f>IF(AND(ISTEXT($A1227),ISNUMBER(SEARCH(" - ",$A1227)),ISERROR(SEARCH("Folio",$A1227)),$D1227=""),TRIM($A1227),$S1226)</f>
        <v/>
      </c>
      <c r="T1227">
        <f>IF(AND(ISNUMBER(SEARCH("Folio",$A1227)),$D1227&lt;&gt;""),1,"")</f>
        <v/>
      </c>
      <c r="U1227">
        <f>IF($T1227=1,COUNTIF($T$9:$T1227,1),"")</f>
        <v/>
      </c>
      <c r="V1227">
        <f>IF(AND(ISTEXT($A1227),LEFT($A1228,3)="Pan"),1,"")</f>
        <v/>
      </c>
    </row>
    <row r="1228">
      <c r="S1228">
        <f>IF(AND(ISTEXT($A1228),ISNUMBER(SEARCH(" - ",$A1228)),ISERROR(SEARCH("Folio",$A1228)),$D1228=""),TRIM($A1228),$S1227)</f>
        <v/>
      </c>
      <c r="T1228">
        <f>IF(AND(ISNUMBER(SEARCH("Folio",$A1228)),$D1228&lt;&gt;""),1,"")</f>
        <v/>
      </c>
      <c r="U1228">
        <f>IF($T1228=1,COUNTIF($T$9:$T1228,1),"")</f>
        <v/>
      </c>
      <c r="V1228">
        <f>IF(AND(ISTEXT($A1228),LEFT($A1229,3)="Pan"),1,"")</f>
        <v/>
      </c>
    </row>
    <row r="1229">
      <c r="S1229">
        <f>IF(AND(ISTEXT($A1229),ISNUMBER(SEARCH(" - ",$A1229)),ISERROR(SEARCH("Folio",$A1229)),$D1229=""),TRIM($A1229),$S1228)</f>
        <v/>
      </c>
      <c r="T1229">
        <f>IF(AND(ISNUMBER(SEARCH("Folio",$A1229)),$D1229&lt;&gt;""),1,"")</f>
        <v/>
      </c>
      <c r="U1229">
        <f>IF($T1229=1,COUNTIF($T$9:$T1229,1),"")</f>
        <v/>
      </c>
      <c r="V1229">
        <f>IF(AND(ISTEXT($A1229),LEFT($A1230,3)="Pan"),1,"")</f>
        <v/>
      </c>
    </row>
    <row r="1230">
      <c r="S1230">
        <f>IF(AND(ISTEXT($A1230),ISNUMBER(SEARCH(" - ",$A1230)),ISERROR(SEARCH("Folio",$A1230)),$D1230=""),TRIM($A1230),$S1229)</f>
        <v/>
      </c>
      <c r="T1230">
        <f>IF(AND(ISNUMBER(SEARCH("Folio",$A1230)),$D1230&lt;&gt;""),1,"")</f>
        <v/>
      </c>
      <c r="U1230">
        <f>IF($T1230=1,COUNTIF($T$9:$T1230,1),"")</f>
        <v/>
      </c>
      <c r="V1230">
        <f>IF(AND(ISTEXT($A1230),LEFT($A1231,3)="Pan"),1,"")</f>
        <v/>
      </c>
    </row>
    <row r="1231">
      <c r="S1231">
        <f>IF(AND(ISTEXT($A1231),ISNUMBER(SEARCH(" - ",$A1231)),ISERROR(SEARCH("Folio",$A1231)),$D1231=""),TRIM($A1231),$S1230)</f>
        <v/>
      </c>
      <c r="T1231">
        <f>IF(AND(ISNUMBER(SEARCH("Folio",$A1231)),$D1231&lt;&gt;""),1,"")</f>
        <v/>
      </c>
      <c r="U1231">
        <f>IF($T1231=1,COUNTIF($T$9:$T1231,1),"")</f>
        <v/>
      </c>
      <c r="V1231">
        <f>IF(AND(ISTEXT($A1231),LEFT($A1232,3)="Pan"),1,"")</f>
        <v/>
      </c>
    </row>
    <row r="1232">
      <c r="S1232">
        <f>IF(AND(ISTEXT($A1232),ISNUMBER(SEARCH(" - ",$A1232)),ISERROR(SEARCH("Folio",$A1232)),$D1232=""),TRIM($A1232),$S1231)</f>
        <v/>
      </c>
      <c r="T1232">
        <f>IF(AND(ISNUMBER(SEARCH("Folio",$A1232)),$D1232&lt;&gt;""),1,"")</f>
        <v/>
      </c>
      <c r="U1232">
        <f>IF($T1232=1,COUNTIF($T$9:$T1232,1),"")</f>
        <v/>
      </c>
      <c r="V1232">
        <f>IF(AND(ISTEXT($A1232),LEFT($A1233,3)="Pan"),1,"")</f>
        <v/>
      </c>
    </row>
    <row r="1233">
      <c r="S1233">
        <f>IF(AND(ISTEXT($A1233),ISNUMBER(SEARCH(" - ",$A1233)),ISERROR(SEARCH("Folio",$A1233)),$D1233=""),TRIM($A1233),$S1232)</f>
        <v/>
      </c>
      <c r="T1233">
        <f>IF(AND(ISNUMBER(SEARCH("Folio",$A1233)),$D1233&lt;&gt;""),1,"")</f>
        <v/>
      </c>
      <c r="U1233">
        <f>IF($T1233=1,COUNTIF($T$9:$T1233,1),"")</f>
        <v/>
      </c>
      <c r="V1233">
        <f>IF(AND(ISTEXT($A1233),LEFT($A1234,3)="Pan"),1,"")</f>
        <v/>
      </c>
    </row>
    <row r="1234">
      <c r="S1234">
        <f>IF(AND(ISTEXT($A1234),ISNUMBER(SEARCH(" - ",$A1234)),ISERROR(SEARCH("Folio",$A1234)),$D1234=""),TRIM($A1234),$S1233)</f>
        <v/>
      </c>
      <c r="T1234">
        <f>IF(AND(ISNUMBER(SEARCH("Folio",$A1234)),$D1234&lt;&gt;""),1,"")</f>
        <v/>
      </c>
      <c r="U1234">
        <f>IF($T1234=1,COUNTIF($T$9:$T1234,1),"")</f>
        <v/>
      </c>
      <c r="V1234">
        <f>IF(AND(ISTEXT($A1234),LEFT($A1235,3)="Pan"),1,"")</f>
        <v/>
      </c>
    </row>
    <row r="1235">
      <c r="S1235">
        <f>IF(AND(ISTEXT($A1235),ISNUMBER(SEARCH(" - ",$A1235)),ISERROR(SEARCH("Folio",$A1235)),$D1235=""),TRIM($A1235),$S1234)</f>
        <v/>
      </c>
      <c r="T1235">
        <f>IF(AND(ISNUMBER(SEARCH("Folio",$A1235)),$D1235&lt;&gt;""),1,"")</f>
        <v/>
      </c>
      <c r="U1235">
        <f>IF($T1235=1,COUNTIF($T$9:$T1235,1),"")</f>
        <v/>
      </c>
      <c r="V1235">
        <f>IF(AND(ISTEXT($A1235),LEFT($A1236,3)="Pan"),1,"")</f>
        <v/>
      </c>
    </row>
    <row r="1236">
      <c r="S1236">
        <f>IF(AND(ISTEXT($A1236),ISNUMBER(SEARCH(" - ",$A1236)),ISERROR(SEARCH("Folio",$A1236)),$D1236=""),TRIM($A1236),$S1235)</f>
        <v/>
      </c>
      <c r="T1236">
        <f>IF(AND(ISNUMBER(SEARCH("Folio",$A1236)),$D1236&lt;&gt;""),1,"")</f>
        <v/>
      </c>
      <c r="U1236">
        <f>IF($T1236=1,COUNTIF($T$9:$T1236,1),"")</f>
        <v/>
      </c>
      <c r="V1236">
        <f>IF(AND(ISTEXT($A1236),LEFT($A1237,3)="Pan"),1,"")</f>
        <v/>
      </c>
    </row>
    <row r="1237">
      <c r="S1237">
        <f>IF(AND(ISTEXT($A1237),ISNUMBER(SEARCH(" - ",$A1237)),ISERROR(SEARCH("Folio",$A1237)),$D1237=""),TRIM($A1237),$S1236)</f>
        <v/>
      </c>
      <c r="T1237">
        <f>IF(AND(ISNUMBER(SEARCH("Folio",$A1237)),$D1237&lt;&gt;""),1,"")</f>
        <v/>
      </c>
      <c r="U1237">
        <f>IF($T1237=1,COUNTIF($T$9:$T1237,1),"")</f>
        <v/>
      </c>
      <c r="V1237">
        <f>IF(AND(ISTEXT($A1237),LEFT($A1238,3)="Pan"),1,"")</f>
        <v/>
      </c>
    </row>
    <row r="1238">
      <c r="S1238">
        <f>IF(AND(ISTEXT($A1238),ISNUMBER(SEARCH(" - ",$A1238)),ISERROR(SEARCH("Folio",$A1238)),$D1238=""),TRIM($A1238),$S1237)</f>
        <v/>
      </c>
      <c r="T1238">
        <f>IF(AND(ISNUMBER(SEARCH("Folio",$A1238)),$D1238&lt;&gt;""),1,"")</f>
        <v/>
      </c>
      <c r="U1238">
        <f>IF($T1238=1,COUNTIF($T$9:$T1238,1),"")</f>
        <v/>
      </c>
      <c r="V1238">
        <f>IF(AND(ISTEXT($A1238),LEFT($A1239,3)="Pan"),1,"")</f>
        <v/>
      </c>
    </row>
    <row r="1239">
      <c r="S1239">
        <f>IF(AND(ISTEXT($A1239),ISNUMBER(SEARCH(" - ",$A1239)),ISERROR(SEARCH("Folio",$A1239)),$D1239=""),TRIM($A1239),$S1238)</f>
        <v/>
      </c>
      <c r="T1239">
        <f>IF(AND(ISNUMBER(SEARCH("Folio",$A1239)),$D1239&lt;&gt;""),1,"")</f>
        <v/>
      </c>
      <c r="U1239">
        <f>IF($T1239=1,COUNTIF($T$9:$T1239,1),"")</f>
        <v/>
      </c>
      <c r="V1239">
        <f>IF(AND(ISTEXT($A1239),LEFT($A1240,3)="Pan"),1,"")</f>
        <v/>
      </c>
    </row>
    <row r="1240">
      <c r="S1240">
        <f>IF(AND(ISTEXT($A1240),ISNUMBER(SEARCH(" - ",$A1240)),ISERROR(SEARCH("Folio",$A1240)),$D1240=""),TRIM($A1240),$S1239)</f>
        <v/>
      </c>
      <c r="T1240">
        <f>IF(AND(ISNUMBER(SEARCH("Folio",$A1240)),$D1240&lt;&gt;""),1,"")</f>
        <v/>
      </c>
      <c r="U1240">
        <f>IF($T1240=1,COUNTIF($T$9:$T1240,1),"")</f>
        <v/>
      </c>
      <c r="V1240">
        <f>IF(AND(ISTEXT($A1240),LEFT($A1241,3)="Pan"),1,"")</f>
        <v/>
      </c>
    </row>
    <row r="1241">
      <c r="S1241">
        <f>IF(AND(ISTEXT($A1241),ISNUMBER(SEARCH(" - ",$A1241)),ISERROR(SEARCH("Folio",$A1241)),$D1241=""),TRIM($A1241),$S1240)</f>
        <v/>
      </c>
      <c r="T1241">
        <f>IF(AND(ISNUMBER(SEARCH("Folio",$A1241)),$D1241&lt;&gt;""),1,"")</f>
        <v/>
      </c>
      <c r="U1241">
        <f>IF($T1241=1,COUNTIF($T$9:$T1241,1),"")</f>
        <v/>
      </c>
      <c r="V1241">
        <f>IF(AND(ISTEXT($A1241),LEFT($A1242,3)="Pan"),1,"")</f>
        <v/>
      </c>
    </row>
    <row r="1242">
      <c r="S1242">
        <f>IF(AND(ISTEXT($A1242),ISNUMBER(SEARCH(" - ",$A1242)),ISERROR(SEARCH("Folio",$A1242)),$D1242=""),TRIM($A1242),$S1241)</f>
        <v/>
      </c>
      <c r="T1242">
        <f>IF(AND(ISNUMBER(SEARCH("Folio",$A1242)),$D1242&lt;&gt;""),1,"")</f>
        <v/>
      </c>
      <c r="U1242">
        <f>IF($T1242=1,COUNTIF($T$9:$T1242,1),"")</f>
        <v/>
      </c>
      <c r="V1242">
        <f>IF(AND(ISTEXT($A1242),LEFT($A1243,3)="Pan"),1,"")</f>
        <v/>
      </c>
    </row>
    <row r="1243">
      <c r="S1243">
        <f>IF(AND(ISTEXT($A1243),ISNUMBER(SEARCH(" - ",$A1243)),ISERROR(SEARCH("Folio",$A1243)),$D1243=""),TRIM($A1243),$S1242)</f>
        <v/>
      </c>
      <c r="T1243">
        <f>IF(AND(ISNUMBER(SEARCH("Folio",$A1243)),$D1243&lt;&gt;""),1,"")</f>
        <v/>
      </c>
      <c r="U1243">
        <f>IF($T1243=1,COUNTIF($T$9:$T1243,1),"")</f>
        <v/>
      </c>
      <c r="V1243">
        <f>IF(AND(ISTEXT($A1243),LEFT($A1244,3)="Pan"),1,"")</f>
        <v/>
      </c>
    </row>
    <row r="1244">
      <c r="S1244">
        <f>IF(AND(ISTEXT($A1244),ISNUMBER(SEARCH(" - ",$A1244)),ISERROR(SEARCH("Folio",$A1244)),$D1244=""),TRIM($A1244),$S1243)</f>
        <v/>
      </c>
      <c r="T1244">
        <f>IF(AND(ISNUMBER(SEARCH("Folio",$A1244)),$D1244&lt;&gt;""),1,"")</f>
        <v/>
      </c>
      <c r="U1244">
        <f>IF($T1244=1,COUNTIF($T$9:$T1244,1),"")</f>
        <v/>
      </c>
      <c r="V1244">
        <f>IF(AND(ISTEXT($A1244),LEFT($A1245,3)="Pan"),1,"")</f>
        <v/>
      </c>
    </row>
    <row r="1245">
      <c r="S1245">
        <f>IF(AND(ISTEXT($A1245),ISNUMBER(SEARCH(" - ",$A1245)),ISERROR(SEARCH("Folio",$A1245)),$D1245=""),TRIM($A1245),$S1244)</f>
        <v/>
      </c>
      <c r="T1245">
        <f>IF(AND(ISNUMBER(SEARCH("Folio",$A1245)),$D1245&lt;&gt;""),1,"")</f>
        <v/>
      </c>
      <c r="U1245">
        <f>IF($T1245=1,COUNTIF($T$9:$T1245,1),"")</f>
        <v/>
      </c>
      <c r="V1245">
        <f>IF(AND(ISTEXT($A1245),LEFT($A1246,3)="Pan"),1,"")</f>
        <v/>
      </c>
    </row>
    <row r="1246">
      <c r="S1246">
        <f>IF(AND(ISTEXT($A1246),ISNUMBER(SEARCH(" - ",$A1246)),ISERROR(SEARCH("Folio",$A1246)),$D1246=""),TRIM($A1246),$S1245)</f>
        <v/>
      </c>
      <c r="T1246">
        <f>IF(AND(ISNUMBER(SEARCH("Folio",$A1246)),$D1246&lt;&gt;""),1,"")</f>
        <v/>
      </c>
      <c r="U1246">
        <f>IF($T1246=1,COUNTIF($T$9:$T1246,1),"")</f>
        <v/>
      </c>
      <c r="V1246">
        <f>IF(AND(ISTEXT($A1246),LEFT($A1247,3)="Pan"),1,"")</f>
        <v/>
      </c>
    </row>
    <row r="1247">
      <c r="S1247">
        <f>IF(AND(ISTEXT($A1247),ISNUMBER(SEARCH(" - ",$A1247)),ISERROR(SEARCH("Folio",$A1247)),$D1247=""),TRIM($A1247),$S1246)</f>
        <v/>
      </c>
      <c r="T1247">
        <f>IF(AND(ISNUMBER(SEARCH("Folio",$A1247)),$D1247&lt;&gt;""),1,"")</f>
        <v/>
      </c>
      <c r="U1247">
        <f>IF($T1247=1,COUNTIF($T$9:$T1247,1),"")</f>
        <v/>
      </c>
      <c r="V1247">
        <f>IF(AND(ISTEXT($A1247),LEFT($A1248,3)="Pan"),1,"")</f>
        <v/>
      </c>
    </row>
    <row r="1248">
      <c r="S1248">
        <f>IF(AND(ISTEXT($A1248),ISNUMBER(SEARCH(" - ",$A1248)),ISERROR(SEARCH("Folio",$A1248)),$D1248=""),TRIM($A1248),$S1247)</f>
        <v/>
      </c>
      <c r="T1248">
        <f>IF(AND(ISNUMBER(SEARCH("Folio",$A1248)),$D1248&lt;&gt;""),1,"")</f>
        <v/>
      </c>
      <c r="U1248">
        <f>IF($T1248=1,COUNTIF($T$9:$T1248,1),"")</f>
        <v/>
      </c>
      <c r="V1248">
        <f>IF(AND(ISTEXT($A1248),LEFT($A1249,3)="Pan"),1,"")</f>
        <v/>
      </c>
    </row>
    <row r="1249">
      <c r="S1249">
        <f>IF(AND(ISTEXT($A1249),ISNUMBER(SEARCH(" - ",$A1249)),ISERROR(SEARCH("Folio",$A1249)),$D1249=""),TRIM($A1249),$S1248)</f>
        <v/>
      </c>
      <c r="T1249">
        <f>IF(AND(ISNUMBER(SEARCH("Folio",$A1249)),$D1249&lt;&gt;""),1,"")</f>
        <v/>
      </c>
      <c r="U1249">
        <f>IF($T1249=1,COUNTIF($T$9:$T1249,1),"")</f>
        <v/>
      </c>
      <c r="V1249">
        <f>IF(AND(ISTEXT($A1249),LEFT($A1250,3)="Pan"),1,"")</f>
        <v/>
      </c>
    </row>
    <row r="1250">
      <c r="S1250">
        <f>IF(AND(ISTEXT($A1250),ISNUMBER(SEARCH(" - ",$A1250)),ISERROR(SEARCH("Folio",$A1250)),$D1250=""),TRIM($A1250),$S1249)</f>
        <v/>
      </c>
      <c r="T1250">
        <f>IF(AND(ISNUMBER(SEARCH("Folio",$A1250)),$D1250&lt;&gt;""),1,"")</f>
        <v/>
      </c>
      <c r="U1250">
        <f>IF($T1250=1,COUNTIF($T$9:$T1250,1),"")</f>
        <v/>
      </c>
      <c r="V1250">
        <f>IF(AND(ISTEXT($A1250),LEFT($A1251,3)="Pan"),1,"")</f>
        <v/>
      </c>
    </row>
    <row r="1251">
      <c r="S1251">
        <f>IF(AND(ISTEXT($A1251),ISNUMBER(SEARCH(" - ",$A1251)),ISERROR(SEARCH("Folio",$A1251)),$D1251=""),TRIM($A1251),$S1250)</f>
        <v/>
      </c>
      <c r="T1251">
        <f>IF(AND(ISNUMBER(SEARCH("Folio",$A1251)),$D1251&lt;&gt;""),1,"")</f>
        <v/>
      </c>
      <c r="U1251">
        <f>IF($T1251=1,COUNTIF($T$9:$T1251,1),"")</f>
        <v/>
      </c>
      <c r="V1251">
        <f>IF(AND(ISTEXT($A1251),LEFT($A1252,3)="Pan"),1,"")</f>
        <v/>
      </c>
    </row>
    <row r="1252">
      <c r="S1252">
        <f>IF(AND(ISTEXT($A1252),ISNUMBER(SEARCH(" - ",$A1252)),ISERROR(SEARCH("Folio",$A1252)),$D1252=""),TRIM($A1252),$S1251)</f>
        <v/>
      </c>
      <c r="T1252">
        <f>IF(AND(ISNUMBER(SEARCH("Folio",$A1252)),$D1252&lt;&gt;""),1,"")</f>
        <v/>
      </c>
      <c r="U1252">
        <f>IF($T1252=1,COUNTIF($T$9:$T1252,1),"")</f>
        <v/>
      </c>
      <c r="V1252">
        <f>IF(AND(ISTEXT($A1252),LEFT($A1253,3)="Pan"),1,"")</f>
        <v/>
      </c>
    </row>
    <row r="1253">
      <c r="S1253">
        <f>IF(AND(ISTEXT($A1253),ISNUMBER(SEARCH(" - ",$A1253)),ISERROR(SEARCH("Folio",$A1253)),$D1253=""),TRIM($A1253),$S1252)</f>
        <v/>
      </c>
      <c r="T1253">
        <f>IF(AND(ISNUMBER(SEARCH("Folio",$A1253)),$D1253&lt;&gt;""),1,"")</f>
        <v/>
      </c>
      <c r="U1253">
        <f>IF($T1253=1,COUNTIF($T$9:$T1253,1),"")</f>
        <v/>
      </c>
      <c r="V1253">
        <f>IF(AND(ISTEXT($A1253),LEFT($A1254,3)="Pan"),1,"")</f>
        <v/>
      </c>
    </row>
    <row r="1254">
      <c r="S1254">
        <f>IF(AND(ISTEXT($A1254),ISNUMBER(SEARCH(" - ",$A1254)),ISERROR(SEARCH("Folio",$A1254)),$D1254=""),TRIM($A1254),$S1253)</f>
        <v/>
      </c>
      <c r="T1254">
        <f>IF(AND(ISNUMBER(SEARCH("Folio",$A1254)),$D1254&lt;&gt;""),1,"")</f>
        <v/>
      </c>
      <c r="U1254">
        <f>IF($T1254=1,COUNTIF($T$9:$T1254,1),"")</f>
        <v/>
      </c>
      <c r="V1254">
        <f>IF(AND(ISTEXT($A1254),LEFT($A1255,3)="Pan"),1,"")</f>
        <v/>
      </c>
    </row>
    <row r="1255">
      <c r="S1255">
        <f>IF(AND(ISTEXT($A1255),ISNUMBER(SEARCH(" - ",$A1255)),ISERROR(SEARCH("Folio",$A1255)),$D1255=""),TRIM($A1255),$S1254)</f>
        <v/>
      </c>
      <c r="T1255">
        <f>IF(AND(ISNUMBER(SEARCH("Folio",$A1255)),$D1255&lt;&gt;""),1,"")</f>
        <v/>
      </c>
      <c r="U1255">
        <f>IF($T1255=1,COUNTIF($T$9:$T1255,1),"")</f>
        <v/>
      </c>
      <c r="V1255">
        <f>IF(AND(ISTEXT($A1255),LEFT($A1256,3)="Pan"),1,"")</f>
        <v/>
      </c>
    </row>
    <row r="1256">
      <c r="S1256">
        <f>IF(AND(ISTEXT($A1256),ISNUMBER(SEARCH(" - ",$A1256)),ISERROR(SEARCH("Folio",$A1256)),$D1256=""),TRIM($A1256),$S1255)</f>
        <v/>
      </c>
      <c r="T1256">
        <f>IF(AND(ISNUMBER(SEARCH("Folio",$A1256)),$D1256&lt;&gt;""),1,"")</f>
        <v/>
      </c>
      <c r="U1256">
        <f>IF($T1256=1,COUNTIF($T$9:$T1256,1),"")</f>
        <v/>
      </c>
      <c r="V1256">
        <f>IF(AND(ISTEXT($A1256),LEFT($A1257,3)="Pan"),1,"")</f>
        <v/>
      </c>
    </row>
    <row r="1257">
      <c r="S1257">
        <f>IF(AND(ISTEXT($A1257),ISNUMBER(SEARCH(" - ",$A1257)),ISERROR(SEARCH("Folio",$A1257)),$D1257=""),TRIM($A1257),$S1256)</f>
        <v/>
      </c>
      <c r="T1257">
        <f>IF(AND(ISNUMBER(SEARCH("Folio",$A1257)),$D1257&lt;&gt;""),1,"")</f>
        <v/>
      </c>
      <c r="U1257">
        <f>IF($T1257=1,COUNTIF($T$9:$T1257,1),"")</f>
        <v/>
      </c>
      <c r="V1257">
        <f>IF(AND(ISTEXT($A1257),LEFT($A1258,3)="Pan"),1,"")</f>
        <v/>
      </c>
    </row>
    <row r="1258">
      <c r="S1258">
        <f>IF(AND(ISTEXT($A1258),ISNUMBER(SEARCH(" - ",$A1258)),ISERROR(SEARCH("Folio",$A1258)),$D1258=""),TRIM($A1258),$S1257)</f>
        <v/>
      </c>
      <c r="T1258">
        <f>IF(AND(ISNUMBER(SEARCH("Folio",$A1258)),$D1258&lt;&gt;""),1,"")</f>
        <v/>
      </c>
      <c r="U1258">
        <f>IF($T1258=1,COUNTIF($T$9:$T1258,1),"")</f>
        <v/>
      </c>
      <c r="V1258">
        <f>IF(AND(ISTEXT($A1258),LEFT($A1259,3)="Pan"),1,"")</f>
        <v/>
      </c>
    </row>
    <row r="1259">
      <c r="S1259">
        <f>IF(AND(ISTEXT($A1259),ISNUMBER(SEARCH(" - ",$A1259)),ISERROR(SEARCH("Folio",$A1259)),$D1259=""),TRIM($A1259),$S1258)</f>
        <v/>
      </c>
      <c r="T1259">
        <f>IF(AND(ISNUMBER(SEARCH("Folio",$A1259)),$D1259&lt;&gt;""),1,"")</f>
        <v/>
      </c>
      <c r="U1259">
        <f>IF($T1259=1,COUNTIF($T$9:$T1259,1),"")</f>
        <v/>
      </c>
      <c r="V1259">
        <f>IF(AND(ISTEXT($A1259),LEFT($A1260,3)="Pan"),1,"")</f>
        <v/>
      </c>
    </row>
    <row r="1260">
      <c r="S1260">
        <f>IF(AND(ISTEXT($A1260),ISNUMBER(SEARCH(" - ",$A1260)),ISERROR(SEARCH("Folio",$A1260)),$D1260=""),TRIM($A1260),$S1259)</f>
        <v/>
      </c>
      <c r="T1260">
        <f>IF(AND(ISNUMBER(SEARCH("Folio",$A1260)),$D1260&lt;&gt;""),1,"")</f>
        <v/>
      </c>
      <c r="U1260">
        <f>IF($T1260=1,COUNTIF($T$9:$T1260,1),"")</f>
        <v/>
      </c>
      <c r="V1260">
        <f>IF(AND(ISTEXT($A1260),LEFT($A1261,3)="Pan"),1,"")</f>
        <v/>
      </c>
    </row>
    <row r="1261">
      <c r="S1261">
        <f>IF(AND(ISTEXT($A1261),ISNUMBER(SEARCH(" - ",$A1261)),ISERROR(SEARCH("Folio",$A1261)),$D1261=""),TRIM($A1261),$S1260)</f>
        <v/>
      </c>
      <c r="T1261">
        <f>IF(AND(ISNUMBER(SEARCH("Folio",$A1261)),$D1261&lt;&gt;""),1,"")</f>
        <v/>
      </c>
      <c r="U1261">
        <f>IF($T1261=1,COUNTIF($T$9:$T1261,1),"")</f>
        <v/>
      </c>
      <c r="V1261">
        <f>IF(AND(ISTEXT($A1261),LEFT($A1262,3)="Pan"),1,"")</f>
        <v/>
      </c>
    </row>
    <row r="1262">
      <c r="S1262">
        <f>IF(AND(ISTEXT($A1262),ISNUMBER(SEARCH(" - ",$A1262)),ISERROR(SEARCH("Folio",$A1262)),$D1262=""),TRIM($A1262),$S1261)</f>
        <v/>
      </c>
      <c r="T1262">
        <f>IF(AND(ISNUMBER(SEARCH("Folio",$A1262)),$D1262&lt;&gt;""),1,"")</f>
        <v/>
      </c>
      <c r="U1262">
        <f>IF($T1262=1,COUNTIF($T$9:$T1262,1),"")</f>
        <v/>
      </c>
      <c r="V1262">
        <f>IF(AND(ISTEXT($A1262),LEFT($A1263,3)="Pan"),1,"")</f>
        <v/>
      </c>
    </row>
    <row r="1263">
      <c r="S1263">
        <f>IF(AND(ISTEXT($A1263),ISNUMBER(SEARCH(" - ",$A1263)),ISERROR(SEARCH("Folio",$A1263)),$D1263=""),TRIM($A1263),$S1262)</f>
        <v/>
      </c>
      <c r="T1263">
        <f>IF(AND(ISNUMBER(SEARCH("Folio",$A1263)),$D1263&lt;&gt;""),1,"")</f>
        <v/>
      </c>
      <c r="U1263">
        <f>IF($T1263=1,COUNTIF($T$9:$T1263,1),"")</f>
        <v/>
      </c>
      <c r="V1263">
        <f>IF(AND(ISTEXT($A1263),LEFT($A1264,3)="Pan"),1,"")</f>
        <v/>
      </c>
    </row>
    <row r="1264">
      <c r="S1264">
        <f>IF(AND(ISTEXT($A1264),ISNUMBER(SEARCH(" - ",$A1264)),ISERROR(SEARCH("Folio",$A1264)),$D1264=""),TRIM($A1264),$S1263)</f>
        <v/>
      </c>
      <c r="T1264">
        <f>IF(AND(ISNUMBER(SEARCH("Folio",$A1264)),$D1264&lt;&gt;""),1,"")</f>
        <v/>
      </c>
      <c r="U1264">
        <f>IF($T1264=1,COUNTIF($T$9:$T1264,1),"")</f>
        <v/>
      </c>
      <c r="V1264">
        <f>IF(AND(ISTEXT($A1264),LEFT($A1265,3)="Pan"),1,"")</f>
        <v/>
      </c>
    </row>
    <row r="1265">
      <c r="S1265">
        <f>IF(AND(ISTEXT($A1265),ISNUMBER(SEARCH(" - ",$A1265)),ISERROR(SEARCH("Folio",$A1265)),$D1265=""),TRIM($A1265),$S1264)</f>
        <v/>
      </c>
      <c r="T1265">
        <f>IF(AND(ISNUMBER(SEARCH("Folio",$A1265)),$D1265&lt;&gt;""),1,"")</f>
        <v/>
      </c>
      <c r="U1265">
        <f>IF($T1265=1,COUNTIF($T$9:$T1265,1),"")</f>
        <v/>
      </c>
      <c r="V1265">
        <f>IF(AND(ISTEXT($A1265),LEFT($A1266,3)="Pan"),1,"")</f>
        <v/>
      </c>
    </row>
    <row r="1266">
      <c r="S1266">
        <f>IF(AND(ISTEXT($A1266),ISNUMBER(SEARCH(" - ",$A1266)),ISERROR(SEARCH("Folio",$A1266)),$D1266=""),TRIM($A1266),$S1265)</f>
        <v/>
      </c>
      <c r="T1266">
        <f>IF(AND(ISNUMBER(SEARCH("Folio",$A1266)),$D1266&lt;&gt;""),1,"")</f>
        <v/>
      </c>
      <c r="U1266">
        <f>IF($T1266=1,COUNTIF($T$9:$T1266,1),"")</f>
        <v/>
      </c>
      <c r="V1266">
        <f>IF(AND(ISTEXT($A1266),LEFT($A1267,3)="Pan"),1,"")</f>
        <v/>
      </c>
    </row>
    <row r="1267">
      <c r="S1267">
        <f>IF(AND(ISTEXT($A1267),ISNUMBER(SEARCH(" - ",$A1267)),ISERROR(SEARCH("Folio",$A1267)),$D1267=""),TRIM($A1267),$S1266)</f>
        <v/>
      </c>
      <c r="T1267">
        <f>IF(AND(ISNUMBER(SEARCH("Folio",$A1267)),$D1267&lt;&gt;""),1,"")</f>
        <v/>
      </c>
      <c r="U1267">
        <f>IF($T1267=1,COUNTIF($T$9:$T1267,1),"")</f>
        <v/>
      </c>
      <c r="V1267">
        <f>IF(AND(ISTEXT($A1267),LEFT($A1268,3)="Pan"),1,"")</f>
        <v/>
      </c>
    </row>
    <row r="1268">
      <c r="S1268">
        <f>IF(AND(ISTEXT($A1268),ISNUMBER(SEARCH(" - ",$A1268)),ISERROR(SEARCH("Folio",$A1268)),$D1268=""),TRIM($A1268),$S1267)</f>
        <v/>
      </c>
      <c r="T1268">
        <f>IF(AND(ISNUMBER(SEARCH("Folio",$A1268)),$D1268&lt;&gt;""),1,"")</f>
        <v/>
      </c>
      <c r="U1268">
        <f>IF($T1268=1,COUNTIF($T$9:$T1268,1),"")</f>
        <v/>
      </c>
      <c r="V1268">
        <f>IF(AND(ISTEXT($A1268),LEFT($A1269,3)="Pan"),1,"")</f>
        <v/>
      </c>
    </row>
    <row r="1269">
      <c r="S1269">
        <f>IF(AND(ISTEXT($A1269),ISNUMBER(SEARCH(" - ",$A1269)),ISERROR(SEARCH("Folio",$A1269)),$D1269=""),TRIM($A1269),$S1268)</f>
        <v/>
      </c>
      <c r="T1269">
        <f>IF(AND(ISNUMBER(SEARCH("Folio",$A1269)),$D1269&lt;&gt;""),1,"")</f>
        <v/>
      </c>
      <c r="U1269">
        <f>IF($T1269=1,COUNTIF($T$9:$T1269,1),"")</f>
        <v/>
      </c>
      <c r="V1269">
        <f>IF(AND(ISTEXT($A1269),LEFT($A1270,3)="Pan"),1,"")</f>
        <v/>
      </c>
    </row>
    <row r="1270">
      <c r="S1270">
        <f>IF(AND(ISTEXT($A1270),ISNUMBER(SEARCH(" - ",$A1270)),ISERROR(SEARCH("Folio",$A1270)),$D1270=""),TRIM($A1270),$S1269)</f>
        <v/>
      </c>
      <c r="T1270">
        <f>IF(AND(ISNUMBER(SEARCH("Folio",$A1270)),$D1270&lt;&gt;""),1,"")</f>
        <v/>
      </c>
      <c r="U1270">
        <f>IF($T1270=1,COUNTIF($T$9:$T1270,1),"")</f>
        <v/>
      </c>
      <c r="V1270">
        <f>IF(AND(ISTEXT($A1270),LEFT($A1271,3)="Pan"),1,"")</f>
        <v/>
      </c>
    </row>
    <row r="1271">
      <c r="S1271">
        <f>IF(AND(ISTEXT($A1271),ISNUMBER(SEARCH(" - ",$A1271)),ISERROR(SEARCH("Folio",$A1271)),$D1271=""),TRIM($A1271),$S1270)</f>
        <v/>
      </c>
      <c r="T1271">
        <f>IF(AND(ISNUMBER(SEARCH("Folio",$A1271)),$D1271&lt;&gt;""),1,"")</f>
        <v/>
      </c>
      <c r="U1271">
        <f>IF($T1271=1,COUNTIF($T$9:$T1271,1),"")</f>
        <v/>
      </c>
      <c r="V1271">
        <f>IF(AND(ISTEXT($A1271),LEFT($A1272,3)="Pan"),1,"")</f>
        <v/>
      </c>
    </row>
    <row r="1272">
      <c r="S1272">
        <f>IF(AND(ISTEXT($A1272),ISNUMBER(SEARCH(" - ",$A1272)),ISERROR(SEARCH("Folio",$A1272)),$D1272=""),TRIM($A1272),$S1271)</f>
        <v/>
      </c>
      <c r="T1272">
        <f>IF(AND(ISNUMBER(SEARCH("Folio",$A1272)),$D1272&lt;&gt;""),1,"")</f>
        <v/>
      </c>
      <c r="U1272">
        <f>IF($T1272=1,COUNTIF($T$9:$T1272,1),"")</f>
        <v/>
      </c>
      <c r="V1272">
        <f>IF(AND(ISTEXT($A1272),LEFT($A1273,3)="Pan"),1,"")</f>
        <v/>
      </c>
    </row>
    <row r="1273">
      <c r="S1273">
        <f>IF(AND(ISTEXT($A1273),ISNUMBER(SEARCH(" - ",$A1273)),ISERROR(SEARCH("Folio",$A1273)),$D1273=""),TRIM($A1273),$S1272)</f>
        <v/>
      </c>
      <c r="T1273">
        <f>IF(AND(ISNUMBER(SEARCH("Folio",$A1273)),$D1273&lt;&gt;""),1,"")</f>
        <v/>
      </c>
      <c r="U1273">
        <f>IF($T1273=1,COUNTIF($T$9:$T1273,1),"")</f>
        <v/>
      </c>
      <c r="V1273">
        <f>IF(AND(ISTEXT($A1273),LEFT($A1274,3)="Pan"),1,"")</f>
        <v/>
      </c>
    </row>
    <row r="1274">
      <c r="S1274">
        <f>IF(AND(ISTEXT($A1274),ISNUMBER(SEARCH(" - ",$A1274)),ISERROR(SEARCH("Folio",$A1274)),$D1274=""),TRIM($A1274),$S1273)</f>
        <v/>
      </c>
      <c r="T1274">
        <f>IF(AND(ISNUMBER(SEARCH("Folio",$A1274)),$D1274&lt;&gt;""),1,"")</f>
        <v/>
      </c>
      <c r="U1274">
        <f>IF($T1274=1,COUNTIF($T$9:$T1274,1),"")</f>
        <v/>
      </c>
      <c r="V1274">
        <f>IF(AND(ISTEXT($A1274),LEFT($A1275,3)="Pan"),1,"")</f>
        <v/>
      </c>
    </row>
    <row r="1275">
      <c r="S1275">
        <f>IF(AND(ISTEXT($A1275),ISNUMBER(SEARCH(" - ",$A1275)),ISERROR(SEARCH("Folio",$A1275)),$D1275=""),TRIM($A1275),$S1274)</f>
        <v/>
      </c>
      <c r="T1275">
        <f>IF(AND(ISNUMBER(SEARCH("Folio",$A1275)),$D1275&lt;&gt;""),1,"")</f>
        <v/>
      </c>
      <c r="U1275">
        <f>IF($T1275=1,COUNTIF($T$9:$T1275,1),"")</f>
        <v/>
      </c>
      <c r="V1275">
        <f>IF(AND(ISTEXT($A1275),LEFT($A1276,3)="Pan"),1,"")</f>
        <v/>
      </c>
    </row>
    <row r="1276">
      <c r="S1276">
        <f>IF(AND(ISTEXT($A1276),ISNUMBER(SEARCH(" - ",$A1276)),ISERROR(SEARCH("Folio",$A1276)),$D1276=""),TRIM($A1276),$S1275)</f>
        <v/>
      </c>
      <c r="T1276">
        <f>IF(AND(ISNUMBER(SEARCH("Folio",$A1276)),$D1276&lt;&gt;""),1,"")</f>
        <v/>
      </c>
      <c r="U1276">
        <f>IF($T1276=1,COUNTIF($T$9:$T1276,1),"")</f>
        <v/>
      </c>
      <c r="V1276">
        <f>IF(AND(ISTEXT($A1276),LEFT($A1277,3)="Pan"),1,"")</f>
        <v/>
      </c>
    </row>
    <row r="1277">
      <c r="S1277">
        <f>IF(AND(ISTEXT($A1277),ISNUMBER(SEARCH(" - ",$A1277)),ISERROR(SEARCH("Folio",$A1277)),$D1277=""),TRIM($A1277),$S1276)</f>
        <v/>
      </c>
      <c r="T1277">
        <f>IF(AND(ISNUMBER(SEARCH("Folio",$A1277)),$D1277&lt;&gt;""),1,"")</f>
        <v/>
      </c>
      <c r="U1277">
        <f>IF($T1277=1,COUNTIF($T$9:$T1277,1),"")</f>
        <v/>
      </c>
      <c r="V1277">
        <f>IF(AND(ISTEXT($A1277),LEFT($A1278,3)="Pan"),1,"")</f>
        <v/>
      </c>
    </row>
    <row r="1278">
      <c r="S1278">
        <f>IF(AND(ISTEXT($A1278),ISNUMBER(SEARCH(" - ",$A1278)),ISERROR(SEARCH("Folio",$A1278)),$D1278=""),TRIM($A1278),$S1277)</f>
        <v/>
      </c>
      <c r="T1278">
        <f>IF(AND(ISNUMBER(SEARCH("Folio",$A1278)),$D1278&lt;&gt;""),1,"")</f>
        <v/>
      </c>
      <c r="U1278">
        <f>IF($T1278=1,COUNTIF($T$9:$T1278,1),"")</f>
        <v/>
      </c>
      <c r="V1278">
        <f>IF(AND(ISTEXT($A1278),LEFT($A1279,3)="Pan"),1,"")</f>
        <v/>
      </c>
    </row>
    <row r="1279">
      <c r="S1279">
        <f>IF(AND(ISTEXT($A1279),ISNUMBER(SEARCH(" - ",$A1279)),ISERROR(SEARCH("Folio",$A1279)),$D1279=""),TRIM($A1279),$S1278)</f>
        <v/>
      </c>
      <c r="T1279">
        <f>IF(AND(ISNUMBER(SEARCH("Folio",$A1279)),$D1279&lt;&gt;""),1,"")</f>
        <v/>
      </c>
      <c r="U1279">
        <f>IF($T1279=1,COUNTIF($T$9:$T1279,1),"")</f>
        <v/>
      </c>
      <c r="V1279">
        <f>IF(AND(ISTEXT($A1279),LEFT($A1280,3)="Pan"),1,"")</f>
        <v/>
      </c>
    </row>
    <row r="1280">
      <c r="S1280">
        <f>IF(AND(ISTEXT($A1280),ISNUMBER(SEARCH(" - ",$A1280)),ISERROR(SEARCH("Folio",$A1280)),$D1280=""),TRIM($A1280),$S1279)</f>
        <v/>
      </c>
      <c r="T1280">
        <f>IF(AND(ISNUMBER(SEARCH("Folio",$A1280)),$D1280&lt;&gt;""),1,"")</f>
        <v/>
      </c>
      <c r="U1280">
        <f>IF($T1280=1,COUNTIF($T$9:$T1280,1),"")</f>
        <v/>
      </c>
      <c r="V1280">
        <f>IF(AND(ISTEXT($A1280),LEFT($A1281,3)="Pan"),1,"")</f>
        <v/>
      </c>
    </row>
    <row r="1281">
      <c r="S1281">
        <f>IF(AND(ISTEXT($A1281),ISNUMBER(SEARCH(" - ",$A1281)),ISERROR(SEARCH("Folio",$A1281)),$D1281=""),TRIM($A1281),$S1280)</f>
        <v/>
      </c>
      <c r="T1281">
        <f>IF(AND(ISNUMBER(SEARCH("Folio",$A1281)),$D1281&lt;&gt;""),1,"")</f>
        <v/>
      </c>
      <c r="U1281">
        <f>IF($T1281=1,COUNTIF($T$9:$T1281,1),"")</f>
        <v/>
      </c>
      <c r="V1281">
        <f>IF(AND(ISTEXT($A1281),LEFT($A1282,3)="Pan"),1,"")</f>
        <v/>
      </c>
    </row>
    <row r="1282">
      <c r="S1282">
        <f>IF(AND(ISTEXT($A1282),ISNUMBER(SEARCH(" - ",$A1282)),ISERROR(SEARCH("Folio",$A1282)),$D1282=""),TRIM($A1282),$S1281)</f>
        <v/>
      </c>
      <c r="T1282">
        <f>IF(AND(ISNUMBER(SEARCH("Folio",$A1282)),$D1282&lt;&gt;""),1,"")</f>
        <v/>
      </c>
      <c r="U1282">
        <f>IF($T1282=1,COUNTIF($T$9:$T1282,1),"")</f>
        <v/>
      </c>
      <c r="V1282">
        <f>IF(AND(ISTEXT($A1282),LEFT($A1283,3)="Pan"),1,"")</f>
        <v/>
      </c>
    </row>
    <row r="1283">
      <c r="S1283">
        <f>IF(AND(ISTEXT($A1283),ISNUMBER(SEARCH(" - ",$A1283)),ISERROR(SEARCH("Folio",$A1283)),$D1283=""),TRIM($A1283),$S1282)</f>
        <v/>
      </c>
      <c r="T1283">
        <f>IF(AND(ISNUMBER(SEARCH("Folio",$A1283)),$D1283&lt;&gt;""),1,"")</f>
        <v/>
      </c>
      <c r="U1283">
        <f>IF($T1283=1,COUNTIF($T$9:$T1283,1),"")</f>
        <v/>
      </c>
      <c r="V1283">
        <f>IF(AND(ISTEXT($A1283),LEFT($A1284,3)="Pan"),1,"")</f>
        <v/>
      </c>
    </row>
    <row r="1284">
      <c r="S1284">
        <f>IF(AND(ISTEXT($A1284),ISNUMBER(SEARCH(" - ",$A1284)),ISERROR(SEARCH("Folio",$A1284)),$D1284=""),TRIM($A1284),$S1283)</f>
        <v/>
      </c>
      <c r="T1284">
        <f>IF(AND(ISNUMBER(SEARCH("Folio",$A1284)),$D1284&lt;&gt;""),1,"")</f>
        <v/>
      </c>
      <c r="U1284">
        <f>IF($T1284=1,COUNTIF($T$9:$T1284,1),"")</f>
        <v/>
      </c>
      <c r="V1284">
        <f>IF(AND(ISTEXT($A1284),LEFT($A1285,3)="Pan"),1,"")</f>
        <v/>
      </c>
    </row>
    <row r="1285">
      <c r="S1285">
        <f>IF(AND(ISTEXT($A1285),ISNUMBER(SEARCH(" - ",$A1285)),ISERROR(SEARCH("Folio",$A1285)),$D1285=""),TRIM($A1285),$S1284)</f>
        <v/>
      </c>
      <c r="T1285">
        <f>IF(AND(ISNUMBER(SEARCH("Folio",$A1285)),$D1285&lt;&gt;""),1,"")</f>
        <v/>
      </c>
      <c r="U1285">
        <f>IF($T1285=1,COUNTIF($T$9:$T1285,1),"")</f>
        <v/>
      </c>
      <c r="V1285">
        <f>IF(AND(ISTEXT($A1285),LEFT($A1286,3)="Pan"),1,"")</f>
        <v/>
      </c>
    </row>
    <row r="1286">
      <c r="S1286">
        <f>IF(AND(ISTEXT($A1286),ISNUMBER(SEARCH(" - ",$A1286)),ISERROR(SEARCH("Folio",$A1286)),$D1286=""),TRIM($A1286),$S1285)</f>
        <v/>
      </c>
      <c r="T1286">
        <f>IF(AND(ISNUMBER(SEARCH("Folio",$A1286)),$D1286&lt;&gt;""),1,"")</f>
        <v/>
      </c>
      <c r="U1286">
        <f>IF($T1286=1,COUNTIF($T$9:$T1286,1),"")</f>
        <v/>
      </c>
      <c r="V1286">
        <f>IF(AND(ISTEXT($A1286),LEFT($A1287,3)="Pan"),1,"")</f>
        <v/>
      </c>
    </row>
    <row r="1287">
      <c r="S1287">
        <f>IF(AND(ISTEXT($A1287),ISNUMBER(SEARCH(" - ",$A1287)),ISERROR(SEARCH("Folio",$A1287)),$D1287=""),TRIM($A1287),$S1286)</f>
        <v/>
      </c>
      <c r="T1287">
        <f>IF(AND(ISNUMBER(SEARCH("Folio",$A1287)),$D1287&lt;&gt;""),1,"")</f>
        <v/>
      </c>
      <c r="U1287">
        <f>IF($T1287=1,COUNTIF($T$9:$T1287,1),"")</f>
        <v/>
      </c>
      <c r="V1287">
        <f>IF(AND(ISTEXT($A1287),LEFT($A1288,3)="Pan"),1,"")</f>
        <v/>
      </c>
    </row>
    <row r="1288">
      <c r="S1288">
        <f>IF(AND(ISTEXT($A1288),ISNUMBER(SEARCH(" - ",$A1288)),ISERROR(SEARCH("Folio",$A1288)),$D1288=""),TRIM($A1288),$S1287)</f>
        <v/>
      </c>
      <c r="T1288">
        <f>IF(AND(ISNUMBER(SEARCH("Folio",$A1288)),$D1288&lt;&gt;""),1,"")</f>
        <v/>
      </c>
      <c r="U1288">
        <f>IF($T1288=1,COUNTIF($T$9:$T1288,1),"")</f>
        <v/>
      </c>
      <c r="V1288">
        <f>IF(AND(ISTEXT($A1288),LEFT($A1289,3)="Pan"),1,"")</f>
        <v/>
      </c>
    </row>
    <row r="1289">
      <c r="S1289">
        <f>IF(AND(ISTEXT($A1289),ISNUMBER(SEARCH(" - ",$A1289)),ISERROR(SEARCH("Folio",$A1289)),$D1289=""),TRIM($A1289),$S1288)</f>
        <v/>
      </c>
      <c r="T1289">
        <f>IF(AND(ISNUMBER(SEARCH("Folio",$A1289)),$D1289&lt;&gt;""),1,"")</f>
        <v/>
      </c>
      <c r="U1289">
        <f>IF($T1289=1,COUNTIF($T$9:$T1289,1),"")</f>
        <v/>
      </c>
      <c r="V1289">
        <f>IF(AND(ISTEXT($A1289),LEFT($A1290,3)="Pan"),1,"")</f>
        <v/>
      </c>
    </row>
    <row r="1290">
      <c r="S1290">
        <f>IF(AND(ISTEXT($A1290),ISNUMBER(SEARCH(" - ",$A1290)),ISERROR(SEARCH("Folio",$A1290)),$D1290=""),TRIM($A1290),$S1289)</f>
        <v/>
      </c>
      <c r="T1290">
        <f>IF(AND(ISNUMBER(SEARCH("Folio",$A1290)),$D1290&lt;&gt;""),1,"")</f>
        <v/>
      </c>
      <c r="U1290">
        <f>IF($T1290=1,COUNTIF($T$9:$T1290,1),"")</f>
        <v/>
      </c>
      <c r="V1290">
        <f>IF(AND(ISTEXT($A1290),LEFT($A1291,3)="Pan"),1,"")</f>
        <v/>
      </c>
    </row>
    <row r="1291">
      <c r="S1291">
        <f>IF(AND(ISTEXT($A1291),ISNUMBER(SEARCH(" - ",$A1291)),ISERROR(SEARCH("Folio",$A1291)),$D1291=""),TRIM($A1291),$S1290)</f>
        <v/>
      </c>
      <c r="T1291">
        <f>IF(AND(ISNUMBER(SEARCH("Folio",$A1291)),$D1291&lt;&gt;""),1,"")</f>
        <v/>
      </c>
      <c r="U1291">
        <f>IF($T1291=1,COUNTIF($T$9:$T1291,1),"")</f>
        <v/>
      </c>
      <c r="V1291">
        <f>IF(AND(ISTEXT($A1291),LEFT($A1292,3)="Pan"),1,"")</f>
        <v/>
      </c>
    </row>
    <row r="1292">
      <c r="S1292">
        <f>IF(AND(ISTEXT($A1292),ISNUMBER(SEARCH(" - ",$A1292)),ISERROR(SEARCH("Folio",$A1292)),$D1292=""),TRIM($A1292),$S1291)</f>
        <v/>
      </c>
      <c r="T1292">
        <f>IF(AND(ISNUMBER(SEARCH("Folio",$A1292)),$D1292&lt;&gt;""),1,"")</f>
        <v/>
      </c>
      <c r="U1292">
        <f>IF($T1292=1,COUNTIF($T$9:$T1292,1),"")</f>
        <v/>
      </c>
      <c r="V1292">
        <f>IF(AND(ISTEXT($A1292),LEFT($A1293,3)="Pan"),1,"")</f>
        <v/>
      </c>
    </row>
    <row r="1293">
      <c r="S1293">
        <f>IF(AND(ISTEXT($A1293),ISNUMBER(SEARCH(" - ",$A1293)),ISERROR(SEARCH("Folio",$A1293)),$D1293=""),TRIM($A1293),$S1292)</f>
        <v/>
      </c>
      <c r="T1293">
        <f>IF(AND(ISNUMBER(SEARCH("Folio",$A1293)),$D1293&lt;&gt;""),1,"")</f>
        <v/>
      </c>
      <c r="U1293">
        <f>IF($T1293=1,COUNTIF($T$9:$T1293,1),"")</f>
        <v/>
      </c>
      <c r="V1293">
        <f>IF(AND(ISTEXT($A1293),LEFT($A1294,3)="Pan"),1,"")</f>
        <v/>
      </c>
    </row>
    <row r="1294">
      <c r="S1294">
        <f>IF(AND(ISTEXT($A1294),ISNUMBER(SEARCH(" - ",$A1294)),ISERROR(SEARCH("Folio",$A1294)),$D1294=""),TRIM($A1294),$S1293)</f>
        <v/>
      </c>
      <c r="T1294">
        <f>IF(AND(ISNUMBER(SEARCH("Folio",$A1294)),$D1294&lt;&gt;""),1,"")</f>
        <v/>
      </c>
      <c r="U1294">
        <f>IF($T1294=1,COUNTIF($T$9:$T1294,1),"")</f>
        <v/>
      </c>
      <c r="V1294">
        <f>IF(AND(ISTEXT($A1294),LEFT($A1295,3)="Pan"),1,"")</f>
        <v/>
      </c>
    </row>
    <row r="1295">
      <c r="S1295">
        <f>IF(AND(ISTEXT($A1295),ISNUMBER(SEARCH(" - ",$A1295)),ISERROR(SEARCH("Folio",$A1295)),$D1295=""),TRIM($A1295),$S1294)</f>
        <v/>
      </c>
      <c r="T1295">
        <f>IF(AND(ISNUMBER(SEARCH("Folio",$A1295)),$D1295&lt;&gt;""),1,"")</f>
        <v/>
      </c>
      <c r="U1295">
        <f>IF($T1295=1,COUNTIF($T$9:$T1295,1),"")</f>
        <v/>
      </c>
      <c r="V1295">
        <f>IF(AND(ISTEXT($A1295),LEFT($A1296,3)="Pan"),1,"")</f>
        <v/>
      </c>
    </row>
    <row r="1296">
      <c r="S1296">
        <f>IF(AND(ISTEXT($A1296),ISNUMBER(SEARCH(" - ",$A1296)),ISERROR(SEARCH("Folio",$A1296)),$D1296=""),TRIM($A1296),$S1295)</f>
        <v/>
      </c>
      <c r="T1296">
        <f>IF(AND(ISNUMBER(SEARCH("Folio",$A1296)),$D1296&lt;&gt;""),1,"")</f>
        <v/>
      </c>
      <c r="U1296">
        <f>IF($T1296=1,COUNTIF($T$9:$T1296,1),"")</f>
        <v/>
      </c>
      <c r="V1296">
        <f>IF(AND(ISTEXT($A1296),LEFT($A1297,3)="Pan"),1,"")</f>
        <v/>
      </c>
    </row>
    <row r="1297">
      <c r="S1297">
        <f>IF(AND(ISTEXT($A1297),ISNUMBER(SEARCH(" - ",$A1297)),ISERROR(SEARCH("Folio",$A1297)),$D1297=""),TRIM($A1297),$S1296)</f>
        <v/>
      </c>
      <c r="T1297">
        <f>IF(AND(ISNUMBER(SEARCH("Folio",$A1297)),$D1297&lt;&gt;""),1,"")</f>
        <v/>
      </c>
      <c r="U1297">
        <f>IF($T1297=1,COUNTIF($T$9:$T1297,1),"")</f>
        <v/>
      </c>
      <c r="V1297">
        <f>IF(AND(ISTEXT($A1297),LEFT($A1298,3)="Pan"),1,"")</f>
        <v/>
      </c>
    </row>
    <row r="1298">
      <c r="S1298">
        <f>IF(AND(ISTEXT($A1298),ISNUMBER(SEARCH(" - ",$A1298)),ISERROR(SEARCH("Folio",$A1298)),$D1298=""),TRIM($A1298),$S1297)</f>
        <v/>
      </c>
      <c r="T1298">
        <f>IF(AND(ISNUMBER(SEARCH("Folio",$A1298)),$D1298&lt;&gt;""),1,"")</f>
        <v/>
      </c>
      <c r="U1298">
        <f>IF($T1298=1,COUNTIF($T$9:$T1298,1),"")</f>
        <v/>
      </c>
      <c r="V1298">
        <f>IF(AND(ISTEXT($A1298),LEFT($A1299,3)="Pan"),1,"")</f>
        <v/>
      </c>
    </row>
    <row r="1299">
      <c r="S1299">
        <f>IF(AND(ISTEXT($A1299),ISNUMBER(SEARCH(" - ",$A1299)),ISERROR(SEARCH("Folio",$A1299)),$D1299=""),TRIM($A1299),$S1298)</f>
        <v/>
      </c>
      <c r="T1299">
        <f>IF(AND(ISNUMBER(SEARCH("Folio",$A1299)),$D1299&lt;&gt;""),1,"")</f>
        <v/>
      </c>
      <c r="U1299">
        <f>IF($T1299=1,COUNTIF($T$9:$T1299,1),"")</f>
        <v/>
      </c>
      <c r="V1299">
        <f>IF(AND(ISTEXT($A1299),LEFT($A1300,3)="Pan"),1,"")</f>
        <v/>
      </c>
    </row>
    <row r="1300">
      <c r="S1300">
        <f>IF(AND(ISTEXT($A1300),ISNUMBER(SEARCH(" - ",$A1300)),ISERROR(SEARCH("Folio",$A1300)),$D1300=""),TRIM($A1300),$S1299)</f>
        <v/>
      </c>
      <c r="T1300">
        <f>IF(AND(ISNUMBER(SEARCH("Folio",$A1300)),$D1300&lt;&gt;""),1,"")</f>
        <v/>
      </c>
      <c r="U1300">
        <f>IF($T1300=1,COUNTIF($T$9:$T1300,1),"")</f>
        <v/>
      </c>
      <c r="V1300">
        <f>IF(AND(ISTEXT($A1300),LEFT($A1301,3)="Pan"),1,"")</f>
        <v/>
      </c>
    </row>
    <row r="1301">
      <c r="S1301">
        <f>IF(AND(ISTEXT($A1301),ISNUMBER(SEARCH(" - ",$A1301)),ISERROR(SEARCH("Folio",$A1301)),$D1301=""),TRIM($A1301),$S1300)</f>
        <v/>
      </c>
      <c r="T1301">
        <f>IF(AND(ISNUMBER(SEARCH("Folio",$A1301)),$D1301&lt;&gt;""),1,"")</f>
        <v/>
      </c>
      <c r="U1301">
        <f>IF($T1301=1,COUNTIF($T$9:$T1301,1),"")</f>
        <v/>
      </c>
      <c r="V1301">
        <f>IF(AND(ISTEXT($A1301),LEFT($A1302,3)="Pan"),1,"")</f>
        <v/>
      </c>
    </row>
    <row r="1302">
      <c r="S1302">
        <f>IF(AND(ISTEXT($A1302),ISNUMBER(SEARCH(" - ",$A1302)),ISERROR(SEARCH("Folio",$A1302)),$D1302=""),TRIM($A1302),$S1301)</f>
        <v/>
      </c>
      <c r="T1302">
        <f>IF(AND(ISNUMBER(SEARCH("Folio",$A1302)),$D1302&lt;&gt;""),1,"")</f>
        <v/>
      </c>
      <c r="U1302">
        <f>IF($T1302=1,COUNTIF($T$9:$T1302,1),"")</f>
        <v/>
      </c>
      <c r="V1302">
        <f>IF(AND(ISTEXT($A1302),LEFT($A1303,3)="Pan"),1,"")</f>
        <v/>
      </c>
    </row>
    <row r="1303">
      <c r="S1303">
        <f>IF(AND(ISTEXT($A1303),ISNUMBER(SEARCH(" - ",$A1303)),ISERROR(SEARCH("Folio",$A1303)),$D1303=""),TRIM($A1303),$S1302)</f>
        <v/>
      </c>
      <c r="T1303">
        <f>IF(AND(ISNUMBER(SEARCH("Folio",$A1303)),$D1303&lt;&gt;""),1,"")</f>
        <v/>
      </c>
      <c r="U1303">
        <f>IF($T1303=1,COUNTIF($T$9:$T1303,1),"")</f>
        <v/>
      </c>
      <c r="V1303">
        <f>IF(AND(ISTEXT($A1303),LEFT($A1304,3)="Pan"),1,"")</f>
        <v/>
      </c>
    </row>
    <row r="1304">
      <c r="S1304">
        <f>IF(AND(ISTEXT($A1304),ISNUMBER(SEARCH(" - ",$A1304)),ISERROR(SEARCH("Folio",$A1304)),$D1304=""),TRIM($A1304),$S1303)</f>
        <v/>
      </c>
      <c r="T1304">
        <f>IF(AND(ISNUMBER(SEARCH("Folio",$A1304)),$D1304&lt;&gt;""),1,"")</f>
        <v/>
      </c>
      <c r="U1304">
        <f>IF($T1304=1,COUNTIF($T$9:$T1304,1),"")</f>
        <v/>
      </c>
      <c r="V1304">
        <f>IF(AND(ISTEXT($A1304),LEFT($A1305,3)="Pan"),1,"")</f>
        <v/>
      </c>
    </row>
    <row r="1305">
      <c r="S1305">
        <f>IF(AND(ISTEXT($A1305),ISNUMBER(SEARCH(" - ",$A1305)),ISERROR(SEARCH("Folio",$A1305)),$D1305=""),TRIM($A1305),$S1304)</f>
        <v/>
      </c>
      <c r="T1305">
        <f>IF(AND(ISNUMBER(SEARCH("Folio",$A1305)),$D1305&lt;&gt;""),1,"")</f>
        <v/>
      </c>
      <c r="U1305">
        <f>IF($T1305=1,COUNTIF($T$9:$T1305,1),"")</f>
        <v/>
      </c>
      <c r="V1305">
        <f>IF(AND(ISTEXT($A1305),LEFT($A1306,3)="Pan"),1,"")</f>
        <v/>
      </c>
    </row>
    <row r="1306">
      <c r="S1306">
        <f>IF(AND(ISTEXT($A1306),ISNUMBER(SEARCH(" - ",$A1306)),ISERROR(SEARCH("Folio",$A1306)),$D1306=""),TRIM($A1306),$S1305)</f>
        <v/>
      </c>
      <c r="T1306">
        <f>IF(AND(ISNUMBER(SEARCH("Folio",$A1306)),$D1306&lt;&gt;""),1,"")</f>
        <v/>
      </c>
      <c r="U1306">
        <f>IF($T1306=1,COUNTIF($T$9:$T1306,1),"")</f>
        <v/>
      </c>
      <c r="V1306">
        <f>IF(AND(ISTEXT($A1306),LEFT($A1307,3)="Pan"),1,"")</f>
        <v/>
      </c>
    </row>
    <row r="1307">
      <c r="S1307">
        <f>IF(AND(ISTEXT($A1307),ISNUMBER(SEARCH(" - ",$A1307)),ISERROR(SEARCH("Folio",$A1307)),$D1307=""),TRIM($A1307),$S1306)</f>
        <v/>
      </c>
      <c r="T1307">
        <f>IF(AND(ISNUMBER(SEARCH("Folio",$A1307)),$D1307&lt;&gt;""),1,"")</f>
        <v/>
      </c>
      <c r="U1307">
        <f>IF($T1307=1,COUNTIF($T$9:$T1307,1),"")</f>
        <v/>
      </c>
      <c r="V1307">
        <f>IF(AND(ISTEXT($A1307),LEFT($A1308,3)="Pan"),1,"")</f>
        <v/>
      </c>
    </row>
    <row r="1308">
      <c r="S1308">
        <f>IF(AND(ISTEXT($A1308),ISNUMBER(SEARCH(" - ",$A1308)),ISERROR(SEARCH("Folio",$A1308)),$D1308=""),TRIM($A1308),$S1307)</f>
        <v/>
      </c>
      <c r="T1308">
        <f>IF(AND(ISNUMBER(SEARCH("Folio",$A1308)),$D1308&lt;&gt;""),1,"")</f>
        <v/>
      </c>
      <c r="U1308">
        <f>IF($T1308=1,COUNTIF($T$9:$T1308,1),"")</f>
        <v/>
      </c>
      <c r="V1308">
        <f>IF(AND(ISTEXT($A1308),LEFT($A1309,3)="Pan"),1,"")</f>
        <v/>
      </c>
    </row>
    <row r="1309">
      <c r="S1309">
        <f>IF(AND(ISTEXT($A1309),ISNUMBER(SEARCH(" - ",$A1309)),ISERROR(SEARCH("Folio",$A1309)),$D1309=""),TRIM($A1309),$S1308)</f>
        <v/>
      </c>
      <c r="T1309">
        <f>IF(AND(ISNUMBER(SEARCH("Folio",$A1309)),$D1309&lt;&gt;""),1,"")</f>
        <v/>
      </c>
      <c r="U1309">
        <f>IF($T1309=1,COUNTIF($T$9:$T1309,1),"")</f>
        <v/>
      </c>
      <c r="V1309">
        <f>IF(AND(ISTEXT($A1309),LEFT($A1310,3)="Pan"),1,"")</f>
        <v/>
      </c>
    </row>
    <row r="1310">
      <c r="S1310">
        <f>IF(AND(ISTEXT($A1310),ISNUMBER(SEARCH(" - ",$A1310)),ISERROR(SEARCH("Folio",$A1310)),$D1310=""),TRIM($A1310),$S1309)</f>
        <v/>
      </c>
      <c r="T1310">
        <f>IF(AND(ISNUMBER(SEARCH("Folio",$A1310)),$D1310&lt;&gt;""),1,"")</f>
        <v/>
      </c>
      <c r="U1310">
        <f>IF($T1310=1,COUNTIF($T$9:$T1310,1),"")</f>
        <v/>
      </c>
      <c r="V1310">
        <f>IF(AND(ISTEXT($A1310),LEFT($A1311,3)="Pan"),1,"")</f>
        <v/>
      </c>
    </row>
    <row r="1311">
      <c r="S1311">
        <f>IF(AND(ISTEXT($A1311),ISNUMBER(SEARCH(" - ",$A1311)),ISERROR(SEARCH("Folio",$A1311)),$D1311=""),TRIM($A1311),$S1310)</f>
        <v/>
      </c>
      <c r="T1311">
        <f>IF(AND(ISNUMBER(SEARCH("Folio",$A1311)),$D1311&lt;&gt;""),1,"")</f>
        <v/>
      </c>
      <c r="U1311">
        <f>IF($T1311=1,COUNTIF($T$9:$T1311,1),"")</f>
        <v/>
      </c>
      <c r="V1311">
        <f>IF(AND(ISTEXT($A1311),LEFT($A1312,3)="Pan"),1,"")</f>
        <v/>
      </c>
    </row>
    <row r="1312">
      <c r="S1312">
        <f>IF(AND(ISTEXT($A1312),ISNUMBER(SEARCH(" - ",$A1312)),ISERROR(SEARCH("Folio",$A1312)),$D1312=""),TRIM($A1312),$S1311)</f>
        <v/>
      </c>
      <c r="T1312">
        <f>IF(AND(ISNUMBER(SEARCH("Folio",$A1312)),$D1312&lt;&gt;""),1,"")</f>
        <v/>
      </c>
      <c r="U1312">
        <f>IF($T1312=1,COUNTIF($T$9:$T1312,1),"")</f>
        <v/>
      </c>
      <c r="V1312">
        <f>IF(AND(ISTEXT($A1312),LEFT($A1313,3)="Pan"),1,"")</f>
        <v/>
      </c>
    </row>
    <row r="1313">
      <c r="S1313">
        <f>IF(AND(ISTEXT($A1313),ISNUMBER(SEARCH(" - ",$A1313)),ISERROR(SEARCH("Folio",$A1313)),$D1313=""),TRIM($A1313),$S1312)</f>
        <v/>
      </c>
      <c r="T1313">
        <f>IF(AND(ISNUMBER(SEARCH("Folio",$A1313)),$D1313&lt;&gt;""),1,"")</f>
        <v/>
      </c>
      <c r="U1313">
        <f>IF($T1313=1,COUNTIF($T$9:$T1313,1),"")</f>
        <v/>
      </c>
      <c r="V1313">
        <f>IF(AND(ISTEXT($A1313),LEFT($A1314,3)="Pan"),1,"")</f>
        <v/>
      </c>
    </row>
    <row r="1314">
      <c r="S1314">
        <f>IF(AND(ISTEXT($A1314),ISNUMBER(SEARCH(" - ",$A1314)),ISERROR(SEARCH("Folio",$A1314)),$D1314=""),TRIM($A1314),$S1313)</f>
        <v/>
      </c>
      <c r="T1314">
        <f>IF(AND(ISNUMBER(SEARCH("Folio",$A1314)),$D1314&lt;&gt;""),1,"")</f>
        <v/>
      </c>
      <c r="U1314">
        <f>IF($T1314=1,COUNTIF($T$9:$T1314,1),"")</f>
        <v/>
      </c>
      <c r="V1314">
        <f>IF(AND(ISTEXT($A1314),LEFT($A1315,3)="Pan"),1,"")</f>
        <v/>
      </c>
    </row>
    <row r="1315">
      <c r="S1315">
        <f>IF(AND(ISTEXT($A1315),ISNUMBER(SEARCH(" - ",$A1315)),ISERROR(SEARCH("Folio",$A1315)),$D1315=""),TRIM($A1315),$S1314)</f>
        <v/>
      </c>
      <c r="T1315">
        <f>IF(AND(ISNUMBER(SEARCH("Folio",$A1315)),$D1315&lt;&gt;""),1,"")</f>
        <v/>
      </c>
      <c r="U1315">
        <f>IF($T1315=1,COUNTIF($T$9:$T1315,1),"")</f>
        <v/>
      </c>
      <c r="V1315">
        <f>IF(AND(ISTEXT($A1315),LEFT($A1316,3)="Pan"),1,"")</f>
        <v/>
      </c>
    </row>
    <row r="1316">
      <c r="S1316">
        <f>IF(AND(ISTEXT($A1316),ISNUMBER(SEARCH(" - ",$A1316)),ISERROR(SEARCH("Folio",$A1316)),$D1316=""),TRIM($A1316),$S1315)</f>
        <v/>
      </c>
      <c r="T1316">
        <f>IF(AND(ISNUMBER(SEARCH("Folio",$A1316)),$D1316&lt;&gt;""),1,"")</f>
        <v/>
      </c>
      <c r="U1316">
        <f>IF($T1316=1,COUNTIF($T$9:$T1316,1),"")</f>
        <v/>
      </c>
      <c r="V1316">
        <f>IF(AND(ISTEXT($A1316),LEFT($A1317,3)="Pan"),1,"")</f>
        <v/>
      </c>
    </row>
    <row r="1317">
      <c r="S1317">
        <f>IF(AND(ISTEXT($A1317),ISNUMBER(SEARCH(" - ",$A1317)),ISERROR(SEARCH("Folio",$A1317)),$D1317=""),TRIM($A1317),$S1316)</f>
        <v/>
      </c>
      <c r="T1317">
        <f>IF(AND(ISNUMBER(SEARCH("Folio",$A1317)),$D1317&lt;&gt;""),1,"")</f>
        <v/>
      </c>
      <c r="U1317">
        <f>IF($T1317=1,COUNTIF($T$9:$T1317,1),"")</f>
        <v/>
      </c>
      <c r="V1317">
        <f>IF(AND(ISTEXT($A1317),LEFT($A1318,3)="Pan"),1,"")</f>
        <v/>
      </c>
    </row>
    <row r="1318">
      <c r="S1318">
        <f>IF(AND(ISTEXT($A1318),ISNUMBER(SEARCH(" - ",$A1318)),ISERROR(SEARCH("Folio",$A1318)),$D1318=""),TRIM($A1318),$S1317)</f>
        <v/>
      </c>
      <c r="T1318">
        <f>IF(AND(ISNUMBER(SEARCH("Folio",$A1318)),$D1318&lt;&gt;""),1,"")</f>
        <v/>
      </c>
      <c r="U1318">
        <f>IF($T1318=1,COUNTIF($T$9:$T1318,1),"")</f>
        <v/>
      </c>
      <c r="V1318">
        <f>IF(AND(ISTEXT($A1318),LEFT($A1319,3)="Pan"),1,"")</f>
        <v/>
      </c>
    </row>
    <row r="1319">
      <c r="S1319">
        <f>IF(AND(ISTEXT($A1319),ISNUMBER(SEARCH(" - ",$A1319)),ISERROR(SEARCH("Folio",$A1319)),$D1319=""),TRIM($A1319),$S1318)</f>
        <v/>
      </c>
      <c r="T1319">
        <f>IF(AND(ISNUMBER(SEARCH("Folio",$A1319)),$D1319&lt;&gt;""),1,"")</f>
        <v/>
      </c>
      <c r="U1319">
        <f>IF($T1319=1,COUNTIF($T$9:$T1319,1),"")</f>
        <v/>
      </c>
      <c r="V1319">
        <f>IF(AND(ISTEXT($A1319),LEFT($A1320,3)="Pan"),1,"")</f>
        <v/>
      </c>
    </row>
    <row r="1320">
      <c r="S1320">
        <f>IF(AND(ISTEXT($A1320),ISNUMBER(SEARCH(" - ",$A1320)),ISERROR(SEARCH("Folio",$A1320)),$D1320=""),TRIM($A1320),$S1319)</f>
        <v/>
      </c>
      <c r="T1320">
        <f>IF(AND(ISNUMBER(SEARCH("Folio",$A1320)),$D1320&lt;&gt;""),1,"")</f>
        <v/>
      </c>
      <c r="U1320">
        <f>IF($T1320=1,COUNTIF($T$9:$T1320,1),"")</f>
        <v/>
      </c>
      <c r="V1320">
        <f>IF(AND(ISTEXT($A1320),LEFT($A1321,3)="Pan"),1,"")</f>
        <v/>
      </c>
    </row>
    <row r="1321">
      <c r="S1321">
        <f>IF(AND(ISTEXT($A1321),ISNUMBER(SEARCH(" - ",$A1321)),ISERROR(SEARCH("Folio",$A1321)),$D1321=""),TRIM($A1321),$S1320)</f>
        <v/>
      </c>
      <c r="T1321">
        <f>IF(AND(ISNUMBER(SEARCH("Folio",$A1321)),$D1321&lt;&gt;""),1,"")</f>
        <v/>
      </c>
      <c r="U1321">
        <f>IF($T1321=1,COUNTIF($T$9:$T1321,1),"")</f>
        <v/>
      </c>
      <c r="V1321">
        <f>IF(AND(ISTEXT($A1321),LEFT($A1322,3)="Pan"),1,"")</f>
        <v/>
      </c>
    </row>
    <row r="1322">
      <c r="S1322">
        <f>IF(AND(ISTEXT($A1322),ISNUMBER(SEARCH(" - ",$A1322)),ISERROR(SEARCH("Folio",$A1322)),$D1322=""),TRIM($A1322),$S1321)</f>
        <v/>
      </c>
      <c r="T1322">
        <f>IF(AND(ISNUMBER(SEARCH("Folio",$A1322)),$D1322&lt;&gt;""),1,"")</f>
        <v/>
      </c>
      <c r="U1322">
        <f>IF($T1322=1,COUNTIF($T$9:$T1322,1),"")</f>
        <v/>
      </c>
      <c r="V1322">
        <f>IF(AND(ISTEXT($A1322),LEFT($A1323,3)="Pan"),1,"")</f>
        <v/>
      </c>
    </row>
    <row r="1323">
      <c r="S1323">
        <f>IF(AND(ISTEXT($A1323),ISNUMBER(SEARCH(" - ",$A1323)),ISERROR(SEARCH("Folio",$A1323)),$D1323=""),TRIM($A1323),$S1322)</f>
        <v/>
      </c>
      <c r="T1323">
        <f>IF(AND(ISNUMBER(SEARCH("Folio",$A1323)),$D1323&lt;&gt;""),1,"")</f>
        <v/>
      </c>
      <c r="U1323">
        <f>IF($T1323=1,COUNTIF($T$9:$T1323,1),"")</f>
        <v/>
      </c>
      <c r="V1323">
        <f>IF(AND(ISTEXT($A1323),LEFT($A1324,3)="Pan"),1,"")</f>
        <v/>
      </c>
    </row>
    <row r="1324">
      <c r="S1324">
        <f>IF(AND(ISTEXT($A1324),ISNUMBER(SEARCH(" - ",$A1324)),ISERROR(SEARCH("Folio",$A1324)),$D1324=""),TRIM($A1324),$S1323)</f>
        <v/>
      </c>
      <c r="T1324">
        <f>IF(AND(ISNUMBER(SEARCH("Folio",$A1324)),$D1324&lt;&gt;""),1,"")</f>
        <v/>
      </c>
      <c r="U1324">
        <f>IF($T1324=1,COUNTIF($T$9:$T1324,1),"")</f>
        <v/>
      </c>
      <c r="V1324">
        <f>IF(AND(ISTEXT($A1324),LEFT($A1325,3)="Pan"),1,"")</f>
        <v/>
      </c>
    </row>
    <row r="1325">
      <c r="S1325">
        <f>IF(AND(ISTEXT($A1325),ISNUMBER(SEARCH(" - ",$A1325)),ISERROR(SEARCH("Folio",$A1325)),$D1325=""),TRIM($A1325),$S1324)</f>
        <v/>
      </c>
      <c r="T1325">
        <f>IF(AND(ISNUMBER(SEARCH("Folio",$A1325)),$D1325&lt;&gt;""),1,"")</f>
        <v/>
      </c>
      <c r="U1325">
        <f>IF($T1325=1,COUNTIF($T$9:$T1325,1),"")</f>
        <v/>
      </c>
      <c r="V1325">
        <f>IF(AND(ISTEXT($A1325),LEFT($A1326,3)="Pan"),1,"")</f>
        <v/>
      </c>
    </row>
    <row r="1326">
      <c r="S1326">
        <f>IF(AND(ISTEXT($A1326),ISNUMBER(SEARCH(" - ",$A1326)),ISERROR(SEARCH("Folio",$A1326)),$D1326=""),TRIM($A1326),$S1325)</f>
        <v/>
      </c>
      <c r="T1326">
        <f>IF(AND(ISNUMBER(SEARCH("Folio",$A1326)),$D1326&lt;&gt;""),1,"")</f>
        <v/>
      </c>
      <c r="U1326">
        <f>IF($T1326=1,COUNTIF($T$9:$T1326,1),"")</f>
        <v/>
      </c>
      <c r="V1326">
        <f>IF(AND(ISTEXT($A1326),LEFT($A1327,3)="Pan"),1,"")</f>
        <v/>
      </c>
    </row>
    <row r="1327">
      <c r="S1327">
        <f>IF(AND(ISTEXT($A1327),ISNUMBER(SEARCH(" - ",$A1327)),ISERROR(SEARCH("Folio",$A1327)),$D1327=""),TRIM($A1327),$S1326)</f>
        <v/>
      </c>
      <c r="T1327">
        <f>IF(AND(ISNUMBER(SEARCH("Folio",$A1327)),$D1327&lt;&gt;""),1,"")</f>
        <v/>
      </c>
      <c r="U1327">
        <f>IF($T1327=1,COUNTIF($T$9:$T1327,1),"")</f>
        <v/>
      </c>
      <c r="V1327">
        <f>IF(AND(ISTEXT($A1327),LEFT($A1328,3)="Pan"),1,"")</f>
        <v/>
      </c>
    </row>
    <row r="1328">
      <c r="S1328">
        <f>IF(AND(ISTEXT($A1328),ISNUMBER(SEARCH(" - ",$A1328)),ISERROR(SEARCH("Folio",$A1328)),$D1328=""),TRIM($A1328),$S1327)</f>
        <v/>
      </c>
      <c r="T1328">
        <f>IF(AND(ISNUMBER(SEARCH("Folio",$A1328)),$D1328&lt;&gt;""),1,"")</f>
        <v/>
      </c>
      <c r="U1328">
        <f>IF($T1328=1,COUNTIF($T$9:$T1328,1),"")</f>
        <v/>
      </c>
      <c r="V1328">
        <f>IF(AND(ISTEXT($A1328),LEFT($A1329,3)="Pan"),1,"")</f>
        <v/>
      </c>
    </row>
    <row r="1329">
      <c r="S1329">
        <f>IF(AND(ISTEXT($A1329),ISNUMBER(SEARCH(" - ",$A1329)),ISERROR(SEARCH("Folio",$A1329)),$D1329=""),TRIM($A1329),$S1328)</f>
        <v/>
      </c>
      <c r="T1329">
        <f>IF(AND(ISNUMBER(SEARCH("Folio",$A1329)),$D1329&lt;&gt;""),1,"")</f>
        <v/>
      </c>
      <c r="U1329">
        <f>IF($T1329=1,COUNTIF($T$9:$T1329,1),"")</f>
        <v/>
      </c>
      <c r="V1329">
        <f>IF(AND(ISTEXT($A1329),LEFT($A1330,3)="Pan"),1,"")</f>
        <v/>
      </c>
    </row>
    <row r="1330">
      <c r="S1330">
        <f>IF(AND(ISTEXT($A1330),ISNUMBER(SEARCH(" - ",$A1330)),ISERROR(SEARCH("Folio",$A1330)),$D1330=""),TRIM($A1330),$S1329)</f>
        <v/>
      </c>
      <c r="T1330">
        <f>IF(AND(ISNUMBER(SEARCH("Folio",$A1330)),$D1330&lt;&gt;""),1,"")</f>
        <v/>
      </c>
      <c r="U1330">
        <f>IF($T1330=1,COUNTIF($T$9:$T1330,1),"")</f>
        <v/>
      </c>
      <c r="V1330">
        <f>IF(AND(ISTEXT($A1330),LEFT($A1331,3)="Pan"),1,"")</f>
        <v/>
      </c>
    </row>
    <row r="1331">
      <c r="S1331">
        <f>IF(AND(ISTEXT($A1331),ISNUMBER(SEARCH(" - ",$A1331)),ISERROR(SEARCH("Folio",$A1331)),$D1331=""),TRIM($A1331),$S1330)</f>
        <v/>
      </c>
      <c r="T1331">
        <f>IF(AND(ISNUMBER(SEARCH("Folio",$A1331)),$D1331&lt;&gt;""),1,"")</f>
        <v/>
      </c>
      <c r="U1331">
        <f>IF($T1331=1,COUNTIF($T$9:$T1331,1),"")</f>
        <v/>
      </c>
      <c r="V1331">
        <f>IF(AND(ISTEXT($A1331),LEFT($A1332,3)="Pan"),1,"")</f>
        <v/>
      </c>
    </row>
    <row r="1332">
      <c r="S1332">
        <f>IF(AND(ISTEXT($A1332),ISNUMBER(SEARCH(" - ",$A1332)),ISERROR(SEARCH("Folio",$A1332)),$D1332=""),TRIM($A1332),$S1331)</f>
        <v/>
      </c>
      <c r="T1332">
        <f>IF(AND(ISNUMBER(SEARCH("Folio",$A1332)),$D1332&lt;&gt;""),1,"")</f>
        <v/>
      </c>
      <c r="U1332">
        <f>IF($T1332=1,COUNTIF($T$9:$T1332,1),"")</f>
        <v/>
      </c>
      <c r="V1332">
        <f>IF(AND(ISTEXT($A1332),LEFT($A1333,3)="Pan"),1,"")</f>
        <v/>
      </c>
    </row>
    <row r="1333">
      <c r="S1333">
        <f>IF(AND(ISTEXT($A1333),ISNUMBER(SEARCH(" - ",$A1333)),ISERROR(SEARCH("Folio",$A1333)),$D1333=""),TRIM($A1333),$S1332)</f>
        <v/>
      </c>
      <c r="T1333">
        <f>IF(AND(ISNUMBER(SEARCH("Folio",$A1333)),$D1333&lt;&gt;""),1,"")</f>
        <v/>
      </c>
      <c r="U1333">
        <f>IF($T1333=1,COUNTIF($T$9:$T1333,1),"")</f>
        <v/>
      </c>
      <c r="V1333">
        <f>IF(AND(ISTEXT($A1333),LEFT($A1334,3)="Pan"),1,"")</f>
        <v/>
      </c>
    </row>
    <row r="1334">
      <c r="S1334">
        <f>IF(AND(ISTEXT($A1334),ISNUMBER(SEARCH(" - ",$A1334)),ISERROR(SEARCH("Folio",$A1334)),$D1334=""),TRIM($A1334),$S1333)</f>
        <v/>
      </c>
      <c r="T1334">
        <f>IF(AND(ISNUMBER(SEARCH("Folio",$A1334)),$D1334&lt;&gt;""),1,"")</f>
        <v/>
      </c>
      <c r="U1334">
        <f>IF($T1334=1,COUNTIF($T$9:$T1334,1),"")</f>
        <v/>
      </c>
      <c r="V1334">
        <f>IF(AND(ISTEXT($A1334),LEFT($A1335,3)="Pan"),1,"")</f>
        <v/>
      </c>
    </row>
    <row r="1335">
      <c r="S1335">
        <f>IF(AND(ISTEXT($A1335),ISNUMBER(SEARCH(" - ",$A1335)),ISERROR(SEARCH("Folio",$A1335)),$D1335=""),TRIM($A1335),$S1334)</f>
        <v/>
      </c>
      <c r="T1335">
        <f>IF(AND(ISNUMBER(SEARCH("Folio",$A1335)),$D1335&lt;&gt;""),1,"")</f>
        <v/>
      </c>
      <c r="U1335">
        <f>IF($T1335=1,COUNTIF($T$9:$T1335,1),"")</f>
        <v/>
      </c>
      <c r="V1335">
        <f>IF(AND(ISTEXT($A1335),LEFT($A1336,3)="Pan"),1,"")</f>
        <v/>
      </c>
    </row>
    <row r="1336">
      <c r="S1336">
        <f>IF(AND(ISTEXT($A1336),ISNUMBER(SEARCH(" - ",$A1336)),ISERROR(SEARCH("Folio",$A1336)),$D1336=""),TRIM($A1336),$S1335)</f>
        <v/>
      </c>
      <c r="T1336">
        <f>IF(AND(ISNUMBER(SEARCH("Folio",$A1336)),$D1336&lt;&gt;""),1,"")</f>
        <v/>
      </c>
      <c r="U1336">
        <f>IF($T1336=1,COUNTIF($T$9:$T1336,1),"")</f>
        <v/>
      </c>
      <c r="V1336">
        <f>IF(AND(ISTEXT($A1336),LEFT($A1337,3)="Pan"),1,"")</f>
        <v/>
      </c>
    </row>
    <row r="1337">
      <c r="S1337">
        <f>IF(AND(ISTEXT($A1337),ISNUMBER(SEARCH(" - ",$A1337)),ISERROR(SEARCH("Folio",$A1337)),$D1337=""),TRIM($A1337),$S1336)</f>
        <v/>
      </c>
      <c r="T1337">
        <f>IF(AND(ISNUMBER(SEARCH("Folio",$A1337)),$D1337&lt;&gt;""),1,"")</f>
        <v/>
      </c>
      <c r="U1337">
        <f>IF($T1337=1,COUNTIF($T$9:$T1337,1),"")</f>
        <v/>
      </c>
      <c r="V1337">
        <f>IF(AND(ISTEXT($A1337),LEFT($A1338,3)="Pan"),1,"")</f>
        <v/>
      </c>
    </row>
    <row r="1338">
      <c r="S1338">
        <f>IF(AND(ISTEXT($A1338),ISNUMBER(SEARCH(" - ",$A1338)),ISERROR(SEARCH("Folio",$A1338)),$D1338=""),TRIM($A1338),$S1337)</f>
        <v/>
      </c>
      <c r="T1338">
        <f>IF(AND(ISNUMBER(SEARCH("Folio",$A1338)),$D1338&lt;&gt;""),1,"")</f>
        <v/>
      </c>
      <c r="U1338">
        <f>IF($T1338=1,COUNTIF($T$9:$T1338,1),"")</f>
        <v/>
      </c>
      <c r="V1338">
        <f>IF(AND(ISTEXT($A1338),LEFT($A1339,3)="Pan"),1,"")</f>
        <v/>
      </c>
    </row>
    <row r="1339">
      <c r="S1339">
        <f>IF(AND(ISTEXT($A1339),ISNUMBER(SEARCH(" - ",$A1339)),ISERROR(SEARCH("Folio",$A1339)),$D1339=""),TRIM($A1339),$S1338)</f>
        <v/>
      </c>
      <c r="T1339">
        <f>IF(AND(ISNUMBER(SEARCH("Folio",$A1339)),$D1339&lt;&gt;""),1,"")</f>
        <v/>
      </c>
      <c r="U1339">
        <f>IF($T1339=1,COUNTIF($T$9:$T1339,1),"")</f>
        <v/>
      </c>
      <c r="V1339">
        <f>IF(AND(ISTEXT($A1339),LEFT($A1340,3)="Pan"),1,"")</f>
        <v/>
      </c>
    </row>
    <row r="1340">
      <c r="S1340">
        <f>IF(AND(ISTEXT($A1340),ISNUMBER(SEARCH(" - ",$A1340)),ISERROR(SEARCH("Folio",$A1340)),$D1340=""),TRIM($A1340),$S1339)</f>
        <v/>
      </c>
      <c r="T1340">
        <f>IF(AND(ISNUMBER(SEARCH("Folio",$A1340)),$D1340&lt;&gt;""),1,"")</f>
        <v/>
      </c>
      <c r="U1340">
        <f>IF($T1340=1,COUNTIF($T$9:$T1340,1),"")</f>
        <v/>
      </c>
      <c r="V1340">
        <f>IF(AND(ISTEXT($A1340),LEFT($A1341,3)="Pan"),1,"")</f>
        <v/>
      </c>
    </row>
    <row r="1341">
      <c r="S1341">
        <f>IF(AND(ISTEXT($A1341),ISNUMBER(SEARCH(" - ",$A1341)),ISERROR(SEARCH("Folio",$A1341)),$D1341=""),TRIM($A1341),$S1340)</f>
        <v/>
      </c>
      <c r="T1341">
        <f>IF(AND(ISNUMBER(SEARCH("Folio",$A1341)),$D1341&lt;&gt;""),1,"")</f>
        <v/>
      </c>
      <c r="U1341">
        <f>IF($T1341=1,COUNTIF($T$9:$T1341,1),"")</f>
        <v/>
      </c>
      <c r="V1341">
        <f>IF(AND(ISTEXT($A1341),LEFT($A1342,3)="Pan"),1,"")</f>
        <v/>
      </c>
    </row>
    <row r="1342">
      <c r="S1342">
        <f>IF(AND(ISTEXT($A1342),ISNUMBER(SEARCH(" - ",$A1342)),ISERROR(SEARCH("Folio",$A1342)),$D1342=""),TRIM($A1342),$S1341)</f>
        <v/>
      </c>
      <c r="T1342">
        <f>IF(AND(ISNUMBER(SEARCH("Folio",$A1342)),$D1342&lt;&gt;""),1,"")</f>
        <v/>
      </c>
      <c r="U1342">
        <f>IF($T1342=1,COUNTIF($T$9:$T1342,1),"")</f>
        <v/>
      </c>
      <c r="V1342">
        <f>IF(AND(ISTEXT($A1342),LEFT($A1343,3)="Pan"),1,"")</f>
        <v/>
      </c>
    </row>
    <row r="1343">
      <c r="S1343">
        <f>IF(AND(ISTEXT($A1343),ISNUMBER(SEARCH(" - ",$A1343)),ISERROR(SEARCH("Folio",$A1343)),$D1343=""),TRIM($A1343),$S1342)</f>
        <v/>
      </c>
      <c r="T1343">
        <f>IF(AND(ISNUMBER(SEARCH("Folio",$A1343)),$D1343&lt;&gt;""),1,"")</f>
        <v/>
      </c>
      <c r="U1343">
        <f>IF($T1343=1,COUNTIF($T$9:$T1343,1),"")</f>
        <v/>
      </c>
      <c r="V1343">
        <f>IF(AND(ISTEXT($A1343),LEFT($A1344,3)="Pan"),1,"")</f>
        <v/>
      </c>
    </row>
    <row r="1344">
      <c r="S1344">
        <f>IF(AND(ISTEXT($A1344),ISNUMBER(SEARCH(" - ",$A1344)),ISERROR(SEARCH("Folio",$A1344)),$D1344=""),TRIM($A1344),$S1343)</f>
        <v/>
      </c>
      <c r="T1344">
        <f>IF(AND(ISNUMBER(SEARCH("Folio",$A1344)),$D1344&lt;&gt;""),1,"")</f>
        <v/>
      </c>
      <c r="U1344">
        <f>IF($T1344=1,COUNTIF($T$9:$T1344,1),"")</f>
        <v/>
      </c>
      <c r="V1344">
        <f>IF(AND(ISTEXT($A1344),LEFT($A1345,3)="Pan"),1,"")</f>
        <v/>
      </c>
    </row>
    <row r="1345">
      <c r="S1345">
        <f>IF(AND(ISTEXT($A1345),ISNUMBER(SEARCH(" - ",$A1345)),ISERROR(SEARCH("Folio",$A1345)),$D1345=""),TRIM($A1345),$S1344)</f>
        <v/>
      </c>
      <c r="T1345">
        <f>IF(AND(ISNUMBER(SEARCH("Folio",$A1345)),$D1345&lt;&gt;""),1,"")</f>
        <v/>
      </c>
      <c r="U1345">
        <f>IF($T1345=1,COUNTIF($T$9:$T1345,1),"")</f>
        <v/>
      </c>
      <c r="V1345">
        <f>IF(AND(ISTEXT($A1345),LEFT($A1346,3)="Pan"),1,"")</f>
        <v/>
      </c>
    </row>
    <row r="1346">
      <c r="S1346">
        <f>IF(AND(ISTEXT($A1346),ISNUMBER(SEARCH(" - ",$A1346)),ISERROR(SEARCH("Folio",$A1346)),$D1346=""),TRIM($A1346),$S1345)</f>
        <v/>
      </c>
      <c r="T1346">
        <f>IF(AND(ISNUMBER(SEARCH("Folio",$A1346)),$D1346&lt;&gt;""),1,"")</f>
        <v/>
      </c>
      <c r="U1346">
        <f>IF($T1346=1,COUNTIF($T$9:$T1346,1),"")</f>
        <v/>
      </c>
      <c r="V1346">
        <f>IF(AND(ISTEXT($A1346),LEFT($A1347,3)="Pan"),1,"")</f>
        <v/>
      </c>
    </row>
    <row r="1347">
      <c r="S1347">
        <f>IF(AND(ISTEXT($A1347),ISNUMBER(SEARCH(" - ",$A1347)),ISERROR(SEARCH("Folio",$A1347)),$D1347=""),TRIM($A1347),$S1346)</f>
        <v/>
      </c>
      <c r="T1347">
        <f>IF(AND(ISNUMBER(SEARCH("Folio",$A1347)),$D1347&lt;&gt;""),1,"")</f>
        <v/>
      </c>
      <c r="U1347">
        <f>IF($T1347=1,COUNTIF($T$9:$T1347,1),"")</f>
        <v/>
      </c>
      <c r="V1347">
        <f>IF(AND(ISTEXT($A1347),LEFT($A1348,3)="Pan"),1,"")</f>
        <v/>
      </c>
    </row>
    <row r="1348">
      <c r="S1348">
        <f>IF(AND(ISTEXT($A1348),ISNUMBER(SEARCH(" - ",$A1348)),ISERROR(SEARCH("Folio",$A1348)),$D1348=""),TRIM($A1348),$S1347)</f>
        <v/>
      </c>
      <c r="T1348">
        <f>IF(AND(ISNUMBER(SEARCH("Folio",$A1348)),$D1348&lt;&gt;""),1,"")</f>
        <v/>
      </c>
      <c r="U1348">
        <f>IF($T1348=1,COUNTIF($T$9:$T1348,1),"")</f>
        <v/>
      </c>
      <c r="V1348">
        <f>IF(AND(ISTEXT($A1348),LEFT($A1349,3)="Pan"),1,"")</f>
        <v/>
      </c>
    </row>
    <row r="1349">
      <c r="S1349">
        <f>IF(AND(ISTEXT($A1349),ISNUMBER(SEARCH(" - ",$A1349)),ISERROR(SEARCH("Folio",$A1349)),$D1349=""),TRIM($A1349),$S1348)</f>
        <v/>
      </c>
      <c r="T1349">
        <f>IF(AND(ISNUMBER(SEARCH("Folio",$A1349)),$D1349&lt;&gt;""),1,"")</f>
        <v/>
      </c>
      <c r="U1349">
        <f>IF($T1349=1,COUNTIF($T$9:$T1349,1),"")</f>
        <v/>
      </c>
      <c r="V1349">
        <f>IF(AND(ISTEXT($A1349),LEFT($A1350,3)="Pan"),1,"")</f>
        <v/>
      </c>
    </row>
    <row r="1350">
      <c r="S1350">
        <f>IF(AND(ISTEXT($A1350),ISNUMBER(SEARCH(" - ",$A1350)),ISERROR(SEARCH("Folio",$A1350)),$D1350=""),TRIM($A1350),$S1349)</f>
        <v/>
      </c>
      <c r="T1350">
        <f>IF(AND(ISNUMBER(SEARCH("Folio",$A1350)),$D1350&lt;&gt;""),1,"")</f>
        <v/>
      </c>
      <c r="U1350">
        <f>IF($T1350=1,COUNTIF($T$9:$T1350,1),"")</f>
        <v/>
      </c>
      <c r="V1350">
        <f>IF(AND(ISTEXT($A1350),LEFT($A1351,3)="Pan"),1,"")</f>
        <v/>
      </c>
    </row>
    <row r="1351">
      <c r="S1351">
        <f>IF(AND(ISTEXT($A1351),ISNUMBER(SEARCH(" - ",$A1351)),ISERROR(SEARCH("Folio",$A1351)),$D1351=""),TRIM($A1351),$S1350)</f>
        <v/>
      </c>
      <c r="T1351">
        <f>IF(AND(ISNUMBER(SEARCH("Folio",$A1351)),$D1351&lt;&gt;""),1,"")</f>
        <v/>
      </c>
      <c r="U1351">
        <f>IF($T1351=1,COUNTIF($T$9:$T1351,1),"")</f>
        <v/>
      </c>
      <c r="V1351">
        <f>IF(AND(ISTEXT($A1351),LEFT($A1352,3)="Pan"),1,"")</f>
        <v/>
      </c>
    </row>
    <row r="1352">
      <c r="S1352">
        <f>IF(AND(ISTEXT($A1352),ISNUMBER(SEARCH(" - ",$A1352)),ISERROR(SEARCH("Folio",$A1352)),$D1352=""),TRIM($A1352),$S1351)</f>
        <v/>
      </c>
      <c r="T1352">
        <f>IF(AND(ISNUMBER(SEARCH("Folio",$A1352)),$D1352&lt;&gt;""),1,"")</f>
        <v/>
      </c>
      <c r="U1352">
        <f>IF($T1352=1,COUNTIF($T$9:$T1352,1),"")</f>
        <v/>
      </c>
      <c r="V1352">
        <f>IF(AND(ISTEXT($A1352),LEFT($A1353,3)="Pan"),1,"")</f>
        <v/>
      </c>
    </row>
    <row r="1353">
      <c r="S1353">
        <f>IF(AND(ISTEXT($A1353),ISNUMBER(SEARCH(" - ",$A1353)),ISERROR(SEARCH("Folio",$A1353)),$D1353=""),TRIM($A1353),$S1352)</f>
        <v/>
      </c>
      <c r="T1353">
        <f>IF(AND(ISNUMBER(SEARCH("Folio",$A1353)),$D1353&lt;&gt;""),1,"")</f>
        <v/>
      </c>
      <c r="U1353">
        <f>IF($T1353=1,COUNTIF($T$9:$T1353,1),"")</f>
        <v/>
      </c>
      <c r="V1353">
        <f>IF(AND(ISTEXT($A1353),LEFT($A1354,3)="Pan"),1,"")</f>
        <v/>
      </c>
    </row>
    <row r="1354">
      <c r="S1354">
        <f>IF(AND(ISTEXT($A1354),ISNUMBER(SEARCH(" - ",$A1354)),ISERROR(SEARCH("Folio",$A1354)),$D1354=""),TRIM($A1354),$S1353)</f>
        <v/>
      </c>
      <c r="T1354">
        <f>IF(AND(ISNUMBER(SEARCH("Folio",$A1354)),$D1354&lt;&gt;""),1,"")</f>
        <v/>
      </c>
      <c r="U1354">
        <f>IF($T1354=1,COUNTIF($T$9:$T1354,1),"")</f>
        <v/>
      </c>
      <c r="V1354">
        <f>IF(AND(ISTEXT($A1354),LEFT($A1355,3)="Pan"),1,"")</f>
        <v/>
      </c>
    </row>
    <row r="1355">
      <c r="S1355">
        <f>IF(AND(ISTEXT($A1355),ISNUMBER(SEARCH(" - ",$A1355)),ISERROR(SEARCH("Folio",$A1355)),$D1355=""),TRIM($A1355),$S1354)</f>
        <v/>
      </c>
      <c r="T1355">
        <f>IF(AND(ISNUMBER(SEARCH("Folio",$A1355)),$D1355&lt;&gt;""),1,"")</f>
        <v/>
      </c>
      <c r="U1355">
        <f>IF($T1355=1,COUNTIF($T$9:$T1355,1),"")</f>
        <v/>
      </c>
      <c r="V1355">
        <f>IF(AND(ISTEXT($A1355),LEFT($A1356,3)="Pan"),1,"")</f>
        <v/>
      </c>
    </row>
    <row r="1356">
      <c r="S1356">
        <f>IF(AND(ISTEXT($A1356),ISNUMBER(SEARCH(" - ",$A1356)),ISERROR(SEARCH("Folio",$A1356)),$D1356=""),TRIM($A1356),$S1355)</f>
        <v/>
      </c>
      <c r="T1356">
        <f>IF(AND(ISNUMBER(SEARCH("Folio",$A1356)),$D1356&lt;&gt;""),1,"")</f>
        <v/>
      </c>
      <c r="U1356">
        <f>IF($T1356=1,COUNTIF($T$9:$T1356,1),"")</f>
        <v/>
      </c>
      <c r="V1356">
        <f>IF(AND(ISTEXT($A1356),LEFT($A1357,3)="Pan"),1,"")</f>
        <v/>
      </c>
    </row>
    <row r="1357">
      <c r="S1357">
        <f>IF(AND(ISTEXT($A1357),ISNUMBER(SEARCH(" - ",$A1357)),ISERROR(SEARCH("Folio",$A1357)),$D1357=""),TRIM($A1357),$S1356)</f>
        <v/>
      </c>
      <c r="T1357">
        <f>IF(AND(ISNUMBER(SEARCH("Folio",$A1357)),$D1357&lt;&gt;""),1,"")</f>
        <v/>
      </c>
      <c r="U1357">
        <f>IF($T1357=1,COUNTIF($T$9:$T1357,1),"")</f>
        <v/>
      </c>
      <c r="V1357">
        <f>IF(AND(ISTEXT($A1357),LEFT($A1358,3)="Pan"),1,"")</f>
        <v/>
      </c>
    </row>
    <row r="1358">
      <c r="S1358">
        <f>IF(AND(ISTEXT($A1358),ISNUMBER(SEARCH(" - ",$A1358)),ISERROR(SEARCH("Folio",$A1358)),$D1358=""),TRIM($A1358),$S1357)</f>
        <v/>
      </c>
      <c r="T1358">
        <f>IF(AND(ISNUMBER(SEARCH("Folio",$A1358)),$D1358&lt;&gt;""),1,"")</f>
        <v/>
      </c>
      <c r="U1358">
        <f>IF($T1358=1,COUNTIF($T$9:$T1358,1),"")</f>
        <v/>
      </c>
      <c r="V1358">
        <f>IF(AND(ISTEXT($A1358),LEFT($A1359,3)="Pan"),1,"")</f>
        <v/>
      </c>
    </row>
    <row r="1359">
      <c r="S1359">
        <f>IF(AND(ISTEXT($A1359),ISNUMBER(SEARCH(" - ",$A1359)),ISERROR(SEARCH("Folio",$A1359)),$D1359=""),TRIM($A1359),$S1358)</f>
        <v/>
      </c>
      <c r="T1359">
        <f>IF(AND(ISNUMBER(SEARCH("Folio",$A1359)),$D1359&lt;&gt;""),1,"")</f>
        <v/>
      </c>
      <c r="U1359">
        <f>IF($T1359=1,COUNTIF($T$9:$T1359,1),"")</f>
        <v/>
      </c>
      <c r="V1359">
        <f>IF(AND(ISTEXT($A1359),LEFT($A1360,3)="Pan"),1,"")</f>
        <v/>
      </c>
    </row>
    <row r="1360">
      <c r="S1360">
        <f>IF(AND(ISTEXT($A1360),ISNUMBER(SEARCH(" - ",$A1360)),ISERROR(SEARCH("Folio",$A1360)),$D1360=""),TRIM($A1360),$S1359)</f>
        <v/>
      </c>
      <c r="T1360">
        <f>IF(AND(ISNUMBER(SEARCH("Folio",$A1360)),$D1360&lt;&gt;""),1,"")</f>
        <v/>
      </c>
      <c r="U1360">
        <f>IF($T1360=1,COUNTIF($T$9:$T1360,1),"")</f>
        <v/>
      </c>
      <c r="V1360">
        <f>IF(AND(ISTEXT($A1360),LEFT($A1361,3)="Pan"),1,"")</f>
        <v/>
      </c>
    </row>
    <row r="1361">
      <c r="S1361">
        <f>IF(AND(ISTEXT($A1361),ISNUMBER(SEARCH(" - ",$A1361)),ISERROR(SEARCH("Folio",$A1361)),$D1361=""),TRIM($A1361),$S1360)</f>
        <v/>
      </c>
      <c r="T1361">
        <f>IF(AND(ISNUMBER(SEARCH("Folio",$A1361)),$D1361&lt;&gt;""),1,"")</f>
        <v/>
      </c>
      <c r="U1361">
        <f>IF($T1361=1,COUNTIF($T$9:$T1361,1),"")</f>
        <v/>
      </c>
      <c r="V1361">
        <f>IF(AND(ISTEXT($A1361),LEFT($A1362,3)="Pan"),1,"")</f>
        <v/>
      </c>
    </row>
    <row r="1362">
      <c r="S1362">
        <f>IF(AND(ISTEXT($A1362),ISNUMBER(SEARCH(" - ",$A1362)),ISERROR(SEARCH("Folio",$A1362)),$D1362=""),TRIM($A1362),$S1361)</f>
        <v/>
      </c>
      <c r="T1362">
        <f>IF(AND(ISNUMBER(SEARCH("Folio",$A1362)),$D1362&lt;&gt;""),1,"")</f>
        <v/>
      </c>
      <c r="U1362">
        <f>IF($T1362=1,COUNTIF($T$9:$T1362,1),"")</f>
        <v/>
      </c>
      <c r="V1362">
        <f>IF(AND(ISTEXT($A1362),LEFT($A1363,3)="Pan"),1,"")</f>
        <v/>
      </c>
    </row>
    <row r="1363">
      <c r="S1363">
        <f>IF(AND(ISTEXT($A1363),ISNUMBER(SEARCH(" - ",$A1363)),ISERROR(SEARCH("Folio",$A1363)),$D1363=""),TRIM($A1363),$S1362)</f>
        <v/>
      </c>
      <c r="T1363">
        <f>IF(AND(ISNUMBER(SEARCH("Folio",$A1363)),$D1363&lt;&gt;""),1,"")</f>
        <v/>
      </c>
      <c r="U1363">
        <f>IF($T1363=1,COUNTIF($T$9:$T1363,1),"")</f>
        <v/>
      </c>
      <c r="V1363">
        <f>IF(AND(ISTEXT($A1363),LEFT($A1364,3)="Pan"),1,"")</f>
        <v/>
      </c>
    </row>
    <row r="1364">
      <c r="S1364">
        <f>IF(AND(ISTEXT($A1364),ISNUMBER(SEARCH(" - ",$A1364)),ISERROR(SEARCH("Folio",$A1364)),$D1364=""),TRIM($A1364),$S1363)</f>
        <v/>
      </c>
      <c r="T1364">
        <f>IF(AND(ISNUMBER(SEARCH("Folio",$A1364)),$D1364&lt;&gt;""),1,"")</f>
        <v/>
      </c>
      <c r="U1364">
        <f>IF($T1364=1,COUNTIF($T$9:$T1364,1),"")</f>
        <v/>
      </c>
      <c r="V1364">
        <f>IF(AND(ISTEXT($A1364),LEFT($A1365,3)="Pan"),1,"")</f>
        <v/>
      </c>
    </row>
    <row r="1365">
      <c r="S1365">
        <f>IF(AND(ISTEXT($A1365),ISNUMBER(SEARCH(" - ",$A1365)),ISERROR(SEARCH("Folio",$A1365)),$D1365=""),TRIM($A1365),$S1364)</f>
        <v/>
      </c>
      <c r="T1365">
        <f>IF(AND(ISNUMBER(SEARCH("Folio",$A1365)),$D1365&lt;&gt;""),1,"")</f>
        <v/>
      </c>
      <c r="U1365">
        <f>IF($T1365=1,COUNTIF($T$9:$T1365,1),"")</f>
        <v/>
      </c>
      <c r="V1365">
        <f>IF(AND(ISTEXT($A1365),LEFT($A1366,3)="Pan"),1,"")</f>
        <v/>
      </c>
    </row>
    <row r="1366">
      <c r="S1366">
        <f>IF(AND(ISTEXT($A1366),ISNUMBER(SEARCH(" - ",$A1366)),ISERROR(SEARCH("Folio",$A1366)),$D1366=""),TRIM($A1366),$S1365)</f>
        <v/>
      </c>
      <c r="T1366">
        <f>IF(AND(ISNUMBER(SEARCH("Folio",$A1366)),$D1366&lt;&gt;""),1,"")</f>
        <v/>
      </c>
      <c r="U1366">
        <f>IF($T1366=1,COUNTIF($T$9:$T1366,1),"")</f>
        <v/>
      </c>
      <c r="V1366">
        <f>IF(AND(ISTEXT($A1366),LEFT($A1367,3)="Pan"),1,"")</f>
        <v/>
      </c>
    </row>
    <row r="1367">
      <c r="S1367">
        <f>IF(AND(ISTEXT($A1367),ISNUMBER(SEARCH(" - ",$A1367)),ISERROR(SEARCH("Folio",$A1367)),$D1367=""),TRIM($A1367),$S1366)</f>
        <v/>
      </c>
      <c r="T1367">
        <f>IF(AND(ISNUMBER(SEARCH("Folio",$A1367)),$D1367&lt;&gt;""),1,"")</f>
        <v/>
      </c>
      <c r="U1367">
        <f>IF($T1367=1,COUNTIF($T$9:$T1367,1),"")</f>
        <v/>
      </c>
      <c r="V1367">
        <f>IF(AND(ISTEXT($A1367),LEFT($A1368,3)="Pan"),1,"")</f>
        <v/>
      </c>
    </row>
    <row r="1368">
      <c r="S1368">
        <f>IF(AND(ISTEXT($A1368),ISNUMBER(SEARCH(" - ",$A1368)),ISERROR(SEARCH("Folio",$A1368)),$D1368=""),TRIM($A1368),$S1367)</f>
        <v/>
      </c>
      <c r="T1368">
        <f>IF(AND(ISNUMBER(SEARCH("Folio",$A1368)),$D1368&lt;&gt;""),1,"")</f>
        <v/>
      </c>
      <c r="U1368">
        <f>IF($T1368=1,COUNTIF($T$9:$T1368,1),"")</f>
        <v/>
      </c>
      <c r="V1368">
        <f>IF(AND(ISTEXT($A1368),LEFT($A1369,3)="Pan"),1,"")</f>
        <v/>
      </c>
    </row>
    <row r="1369">
      <c r="S1369">
        <f>IF(AND(ISTEXT($A1369),ISNUMBER(SEARCH(" - ",$A1369)),ISERROR(SEARCH("Folio",$A1369)),$D1369=""),TRIM($A1369),$S1368)</f>
        <v/>
      </c>
      <c r="T1369">
        <f>IF(AND(ISNUMBER(SEARCH("Folio",$A1369)),$D1369&lt;&gt;""),1,"")</f>
        <v/>
      </c>
      <c r="U1369">
        <f>IF($T1369=1,COUNTIF($T$9:$T1369,1),"")</f>
        <v/>
      </c>
      <c r="V1369">
        <f>IF(AND(ISTEXT($A1369),LEFT($A1370,3)="Pan"),1,"")</f>
        <v/>
      </c>
    </row>
    <row r="1370">
      <c r="S1370">
        <f>IF(AND(ISTEXT($A1370),ISNUMBER(SEARCH(" - ",$A1370)),ISERROR(SEARCH("Folio",$A1370)),$D1370=""),TRIM($A1370),$S1369)</f>
        <v/>
      </c>
      <c r="T1370">
        <f>IF(AND(ISNUMBER(SEARCH("Folio",$A1370)),$D1370&lt;&gt;""),1,"")</f>
        <v/>
      </c>
      <c r="U1370">
        <f>IF($T1370=1,COUNTIF($T$9:$T1370,1),"")</f>
        <v/>
      </c>
      <c r="V1370">
        <f>IF(AND(ISTEXT($A1370),LEFT($A1371,3)="Pan"),1,"")</f>
        <v/>
      </c>
    </row>
    <row r="1371">
      <c r="S1371">
        <f>IF(AND(ISTEXT($A1371),ISNUMBER(SEARCH(" - ",$A1371)),ISERROR(SEARCH("Folio",$A1371)),$D1371=""),TRIM($A1371),$S1370)</f>
        <v/>
      </c>
      <c r="T1371">
        <f>IF(AND(ISNUMBER(SEARCH("Folio",$A1371)),$D1371&lt;&gt;""),1,"")</f>
        <v/>
      </c>
      <c r="U1371">
        <f>IF($T1371=1,COUNTIF($T$9:$T1371,1),"")</f>
        <v/>
      </c>
      <c r="V1371">
        <f>IF(AND(ISTEXT($A1371),LEFT($A1372,3)="Pan"),1,"")</f>
        <v/>
      </c>
    </row>
    <row r="1372">
      <c r="S1372">
        <f>IF(AND(ISTEXT($A1372),ISNUMBER(SEARCH(" - ",$A1372)),ISERROR(SEARCH("Folio",$A1372)),$D1372=""),TRIM($A1372),$S1371)</f>
        <v/>
      </c>
      <c r="T1372">
        <f>IF(AND(ISNUMBER(SEARCH("Folio",$A1372)),$D1372&lt;&gt;""),1,"")</f>
        <v/>
      </c>
      <c r="U1372">
        <f>IF($T1372=1,COUNTIF($T$9:$T1372,1),"")</f>
        <v/>
      </c>
      <c r="V1372">
        <f>IF(AND(ISTEXT($A1372),LEFT($A1373,3)="Pan"),1,"")</f>
        <v/>
      </c>
    </row>
    <row r="1373">
      <c r="S1373">
        <f>IF(AND(ISTEXT($A1373),ISNUMBER(SEARCH(" - ",$A1373)),ISERROR(SEARCH("Folio",$A1373)),$D1373=""),TRIM($A1373),$S1372)</f>
        <v/>
      </c>
      <c r="T1373">
        <f>IF(AND(ISNUMBER(SEARCH("Folio",$A1373)),$D1373&lt;&gt;""),1,"")</f>
        <v/>
      </c>
      <c r="U1373">
        <f>IF($T1373=1,COUNTIF($T$9:$T1373,1),"")</f>
        <v/>
      </c>
      <c r="V1373">
        <f>IF(AND(ISTEXT($A1373),LEFT($A1374,3)="Pan"),1,"")</f>
        <v/>
      </c>
    </row>
    <row r="1374">
      <c r="S1374">
        <f>IF(AND(ISTEXT($A1374),ISNUMBER(SEARCH(" - ",$A1374)),ISERROR(SEARCH("Folio",$A1374)),$D1374=""),TRIM($A1374),$S1373)</f>
        <v/>
      </c>
      <c r="T1374">
        <f>IF(AND(ISNUMBER(SEARCH("Folio",$A1374)),$D1374&lt;&gt;""),1,"")</f>
        <v/>
      </c>
      <c r="U1374">
        <f>IF($T1374=1,COUNTIF($T$9:$T1374,1),"")</f>
        <v/>
      </c>
      <c r="V1374">
        <f>IF(AND(ISTEXT($A1374),LEFT($A1375,3)="Pan"),1,"")</f>
        <v/>
      </c>
    </row>
    <row r="1375">
      <c r="S1375">
        <f>IF(AND(ISTEXT($A1375),ISNUMBER(SEARCH(" - ",$A1375)),ISERROR(SEARCH("Folio",$A1375)),$D1375=""),TRIM($A1375),$S1374)</f>
        <v/>
      </c>
      <c r="T1375">
        <f>IF(AND(ISNUMBER(SEARCH("Folio",$A1375)),$D1375&lt;&gt;""),1,"")</f>
        <v/>
      </c>
      <c r="U1375">
        <f>IF($T1375=1,COUNTIF($T$9:$T1375,1),"")</f>
        <v/>
      </c>
      <c r="V1375">
        <f>IF(AND(ISTEXT($A1375),LEFT($A1376,3)="Pan"),1,"")</f>
        <v/>
      </c>
    </row>
    <row r="1376">
      <c r="S1376">
        <f>IF(AND(ISTEXT($A1376),ISNUMBER(SEARCH(" - ",$A1376)),ISERROR(SEARCH("Folio",$A1376)),$D1376=""),TRIM($A1376),$S1375)</f>
        <v/>
      </c>
      <c r="T1376">
        <f>IF(AND(ISNUMBER(SEARCH("Folio",$A1376)),$D1376&lt;&gt;""),1,"")</f>
        <v/>
      </c>
      <c r="U1376">
        <f>IF($T1376=1,COUNTIF($T$9:$T1376,1),"")</f>
        <v/>
      </c>
      <c r="V1376">
        <f>IF(AND(ISTEXT($A1376),LEFT($A1377,3)="Pan"),1,"")</f>
        <v/>
      </c>
    </row>
    <row r="1377">
      <c r="S1377">
        <f>IF(AND(ISTEXT($A1377),ISNUMBER(SEARCH(" - ",$A1377)),ISERROR(SEARCH("Folio",$A1377)),$D1377=""),TRIM($A1377),$S1376)</f>
        <v/>
      </c>
      <c r="T1377">
        <f>IF(AND(ISNUMBER(SEARCH("Folio",$A1377)),$D1377&lt;&gt;""),1,"")</f>
        <v/>
      </c>
      <c r="U1377">
        <f>IF($T1377=1,COUNTIF($T$9:$T1377,1),"")</f>
        <v/>
      </c>
      <c r="V1377">
        <f>IF(AND(ISTEXT($A1377),LEFT($A1378,3)="Pan"),1,"")</f>
        <v/>
      </c>
    </row>
    <row r="1378">
      <c r="S1378">
        <f>IF(AND(ISTEXT($A1378),ISNUMBER(SEARCH(" - ",$A1378)),ISERROR(SEARCH("Folio",$A1378)),$D1378=""),TRIM($A1378),$S1377)</f>
        <v/>
      </c>
      <c r="T1378">
        <f>IF(AND(ISNUMBER(SEARCH("Folio",$A1378)),$D1378&lt;&gt;""),1,"")</f>
        <v/>
      </c>
      <c r="U1378">
        <f>IF($T1378=1,COUNTIF($T$9:$T1378,1),"")</f>
        <v/>
      </c>
      <c r="V1378">
        <f>IF(AND(ISTEXT($A1378),LEFT($A1379,3)="Pan"),1,"")</f>
        <v/>
      </c>
    </row>
    <row r="1379">
      <c r="S1379">
        <f>IF(AND(ISTEXT($A1379),ISNUMBER(SEARCH(" - ",$A1379)),ISERROR(SEARCH("Folio",$A1379)),$D1379=""),TRIM($A1379),$S1378)</f>
        <v/>
      </c>
      <c r="T1379">
        <f>IF(AND(ISNUMBER(SEARCH("Folio",$A1379)),$D1379&lt;&gt;""),1,"")</f>
        <v/>
      </c>
      <c r="U1379">
        <f>IF($T1379=1,COUNTIF($T$9:$T1379,1),"")</f>
        <v/>
      </c>
      <c r="V1379">
        <f>IF(AND(ISTEXT($A1379),LEFT($A1380,3)="Pan"),1,"")</f>
        <v/>
      </c>
    </row>
    <row r="1380">
      <c r="S1380">
        <f>IF(AND(ISTEXT($A1380),ISNUMBER(SEARCH(" - ",$A1380)),ISERROR(SEARCH("Folio",$A1380)),$D1380=""),TRIM($A1380),$S1379)</f>
        <v/>
      </c>
      <c r="T1380">
        <f>IF(AND(ISNUMBER(SEARCH("Folio",$A1380)),$D1380&lt;&gt;""),1,"")</f>
        <v/>
      </c>
      <c r="U1380">
        <f>IF($T1380=1,COUNTIF($T$9:$T1380,1),"")</f>
        <v/>
      </c>
      <c r="V1380">
        <f>IF(AND(ISTEXT($A1380),LEFT($A1381,3)="Pan"),1,"")</f>
        <v/>
      </c>
    </row>
    <row r="1381">
      <c r="S1381">
        <f>IF(AND(ISTEXT($A1381),ISNUMBER(SEARCH(" - ",$A1381)),ISERROR(SEARCH("Folio",$A1381)),$D1381=""),TRIM($A1381),$S1380)</f>
        <v/>
      </c>
      <c r="T1381">
        <f>IF(AND(ISNUMBER(SEARCH("Folio",$A1381)),$D1381&lt;&gt;""),1,"")</f>
        <v/>
      </c>
      <c r="U1381">
        <f>IF($T1381=1,COUNTIF($T$9:$T1381,1),"")</f>
        <v/>
      </c>
      <c r="V1381">
        <f>IF(AND(ISTEXT($A1381),LEFT($A1382,3)="Pan"),1,"")</f>
        <v/>
      </c>
    </row>
    <row r="1382">
      <c r="S1382">
        <f>IF(AND(ISTEXT($A1382),ISNUMBER(SEARCH(" - ",$A1382)),ISERROR(SEARCH("Folio",$A1382)),$D1382=""),TRIM($A1382),$S1381)</f>
        <v/>
      </c>
      <c r="T1382">
        <f>IF(AND(ISNUMBER(SEARCH("Folio",$A1382)),$D1382&lt;&gt;""),1,"")</f>
        <v/>
      </c>
      <c r="U1382">
        <f>IF($T1382=1,COUNTIF($T$9:$T1382,1),"")</f>
        <v/>
      </c>
      <c r="V1382">
        <f>IF(AND(ISTEXT($A1382),LEFT($A1383,3)="Pan"),1,"")</f>
        <v/>
      </c>
    </row>
    <row r="1383">
      <c r="S1383">
        <f>IF(AND(ISTEXT($A1383),ISNUMBER(SEARCH(" - ",$A1383)),ISERROR(SEARCH("Folio",$A1383)),$D1383=""),TRIM($A1383),$S1382)</f>
        <v/>
      </c>
      <c r="T1383">
        <f>IF(AND(ISNUMBER(SEARCH("Folio",$A1383)),$D1383&lt;&gt;""),1,"")</f>
        <v/>
      </c>
      <c r="U1383">
        <f>IF($T1383=1,COUNTIF($T$9:$T1383,1),"")</f>
        <v/>
      </c>
      <c r="V1383">
        <f>IF(AND(ISTEXT($A1383),LEFT($A1384,3)="Pan"),1,"")</f>
        <v/>
      </c>
    </row>
    <row r="1384">
      <c r="S1384">
        <f>IF(AND(ISTEXT($A1384),ISNUMBER(SEARCH(" - ",$A1384)),ISERROR(SEARCH("Folio",$A1384)),$D1384=""),TRIM($A1384),$S1383)</f>
        <v/>
      </c>
      <c r="T1384">
        <f>IF(AND(ISNUMBER(SEARCH("Folio",$A1384)),$D1384&lt;&gt;""),1,"")</f>
        <v/>
      </c>
      <c r="U1384">
        <f>IF($T1384=1,COUNTIF($T$9:$T1384,1),"")</f>
        <v/>
      </c>
      <c r="V1384">
        <f>IF(AND(ISTEXT($A1384),LEFT($A1385,3)="Pan"),1,"")</f>
        <v/>
      </c>
    </row>
    <row r="1385">
      <c r="S1385">
        <f>IF(AND(ISTEXT($A1385),ISNUMBER(SEARCH(" - ",$A1385)),ISERROR(SEARCH("Folio",$A1385)),$D1385=""),TRIM($A1385),$S1384)</f>
        <v/>
      </c>
      <c r="T1385">
        <f>IF(AND(ISNUMBER(SEARCH("Folio",$A1385)),$D1385&lt;&gt;""),1,"")</f>
        <v/>
      </c>
      <c r="U1385">
        <f>IF($T1385=1,COUNTIF($T$9:$T1385,1),"")</f>
        <v/>
      </c>
      <c r="V1385">
        <f>IF(AND(ISTEXT($A1385),LEFT($A1386,3)="Pan"),1,"")</f>
        <v/>
      </c>
    </row>
    <row r="1386">
      <c r="S1386">
        <f>IF(AND(ISTEXT($A1386),ISNUMBER(SEARCH(" - ",$A1386)),ISERROR(SEARCH("Folio",$A1386)),$D1386=""),TRIM($A1386),$S1385)</f>
        <v/>
      </c>
      <c r="T1386">
        <f>IF(AND(ISNUMBER(SEARCH("Folio",$A1386)),$D1386&lt;&gt;""),1,"")</f>
        <v/>
      </c>
      <c r="U1386">
        <f>IF($T1386=1,COUNTIF($T$9:$T1386,1),"")</f>
        <v/>
      </c>
      <c r="V1386">
        <f>IF(AND(ISTEXT($A1386),LEFT($A1387,3)="Pan"),1,"")</f>
        <v/>
      </c>
    </row>
    <row r="1387">
      <c r="S1387">
        <f>IF(AND(ISTEXT($A1387),ISNUMBER(SEARCH(" - ",$A1387)),ISERROR(SEARCH("Folio",$A1387)),$D1387=""),TRIM($A1387),$S1386)</f>
        <v/>
      </c>
      <c r="T1387">
        <f>IF(AND(ISNUMBER(SEARCH("Folio",$A1387)),$D1387&lt;&gt;""),1,"")</f>
        <v/>
      </c>
      <c r="U1387">
        <f>IF($T1387=1,COUNTIF($T$9:$T1387,1),"")</f>
        <v/>
      </c>
      <c r="V1387">
        <f>IF(AND(ISTEXT($A1387),LEFT($A1388,3)="Pan"),1,"")</f>
        <v/>
      </c>
    </row>
    <row r="1388">
      <c r="S1388">
        <f>IF(AND(ISTEXT($A1388),ISNUMBER(SEARCH(" - ",$A1388)),ISERROR(SEARCH("Folio",$A1388)),$D1388=""),TRIM($A1388),$S1387)</f>
        <v/>
      </c>
      <c r="T1388">
        <f>IF(AND(ISNUMBER(SEARCH("Folio",$A1388)),$D1388&lt;&gt;""),1,"")</f>
        <v/>
      </c>
      <c r="U1388">
        <f>IF($T1388=1,COUNTIF($T$9:$T1388,1),"")</f>
        <v/>
      </c>
      <c r="V1388">
        <f>IF(AND(ISTEXT($A1388),LEFT($A1389,3)="Pan"),1,"")</f>
        <v/>
      </c>
    </row>
    <row r="1389">
      <c r="S1389">
        <f>IF(AND(ISTEXT($A1389),ISNUMBER(SEARCH(" - ",$A1389)),ISERROR(SEARCH("Folio",$A1389)),$D1389=""),TRIM($A1389),$S1388)</f>
        <v/>
      </c>
      <c r="T1389">
        <f>IF(AND(ISNUMBER(SEARCH("Folio",$A1389)),$D1389&lt;&gt;""),1,"")</f>
        <v/>
      </c>
      <c r="U1389">
        <f>IF($T1389=1,COUNTIF($T$9:$T1389,1),"")</f>
        <v/>
      </c>
      <c r="V1389">
        <f>IF(AND(ISTEXT($A1389),LEFT($A1390,3)="Pan"),1,"")</f>
        <v/>
      </c>
    </row>
    <row r="1390">
      <c r="S1390">
        <f>IF(AND(ISTEXT($A1390),ISNUMBER(SEARCH(" - ",$A1390)),ISERROR(SEARCH("Folio",$A1390)),$D1390=""),TRIM($A1390),$S1389)</f>
        <v/>
      </c>
      <c r="T1390">
        <f>IF(AND(ISNUMBER(SEARCH("Folio",$A1390)),$D1390&lt;&gt;""),1,"")</f>
        <v/>
      </c>
      <c r="U1390">
        <f>IF($T1390=1,COUNTIF($T$9:$T1390,1),"")</f>
        <v/>
      </c>
      <c r="V1390">
        <f>IF(AND(ISTEXT($A1390),LEFT($A1391,3)="Pan"),1,"")</f>
        <v/>
      </c>
    </row>
    <row r="1391">
      <c r="S1391">
        <f>IF(AND(ISTEXT($A1391),ISNUMBER(SEARCH(" - ",$A1391)),ISERROR(SEARCH("Folio",$A1391)),$D1391=""),TRIM($A1391),$S1390)</f>
        <v/>
      </c>
      <c r="T1391">
        <f>IF(AND(ISNUMBER(SEARCH("Folio",$A1391)),$D1391&lt;&gt;""),1,"")</f>
        <v/>
      </c>
      <c r="U1391">
        <f>IF($T1391=1,COUNTIF($T$9:$T1391,1),"")</f>
        <v/>
      </c>
      <c r="V1391">
        <f>IF(AND(ISTEXT($A1391),LEFT($A1392,3)="Pan"),1,"")</f>
        <v/>
      </c>
    </row>
    <row r="1392">
      <c r="S1392">
        <f>IF(AND(ISTEXT($A1392),ISNUMBER(SEARCH(" - ",$A1392)),ISERROR(SEARCH("Folio",$A1392)),$D1392=""),TRIM($A1392),$S1391)</f>
        <v/>
      </c>
      <c r="T1392">
        <f>IF(AND(ISNUMBER(SEARCH("Folio",$A1392)),$D1392&lt;&gt;""),1,"")</f>
        <v/>
      </c>
      <c r="U1392">
        <f>IF($T1392=1,COUNTIF($T$9:$T1392,1),"")</f>
        <v/>
      </c>
      <c r="V1392">
        <f>IF(AND(ISTEXT($A1392),LEFT($A1393,3)="Pan"),1,"")</f>
        <v/>
      </c>
    </row>
    <row r="1393">
      <c r="S1393">
        <f>IF(AND(ISTEXT($A1393),ISNUMBER(SEARCH(" - ",$A1393)),ISERROR(SEARCH("Folio",$A1393)),$D1393=""),TRIM($A1393),$S1392)</f>
        <v/>
      </c>
      <c r="T1393">
        <f>IF(AND(ISNUMBER(SEARCH("Folio",$A1393)),$D1393&lt;&gt;""),1,"")</f>
        <v/>
      </c>
      <c r="U1393">
        <f>IF($T1393=1,COUNTIF($T$9:$T1393,1),"")</f>
        <v/>
      </c>
      <c r="V1393">
        <f>IF(AND(ISTEXT($A1393),LEFT($A1394,3)="Pan"),1,"")</f>
        <v/>
      </c>
    </row>
    <row r="1394">
      <c r="S1394">
        <f>IF(AND(ISTEXT($A1394),ISNUMBER(SEARCH(" - ",$A1394)),ISERROR(SEARCH("Folio",$A1394)),$D1394=""),TRIM($A1394),$S1393)</f>
        <v/>
      </c>
      <c r="T1394">
        <f>IF(AND(ISNUMBER(SEARCH("Folio",$A1394)),$D1394&lt;&gt;""),1,"")</f>
        <v/>
      </c>
      <c r="U1394">
        <f>IF($T1394=1,COUNTIF($T$9:$T1394,1),"")</f>
        <v/>
      </c>
      <c r="V1394">
        <f>IF(AND(ISTEXT($A1394),LEFT($A1395,3)="Pan"),1,"")</f>
        <v/>
      </c>
    </row>
    <row r="1395">
      <c r="S1395">
        <f>IF(AND(ISTEXT($A1395),ISNUMBER(SEARCH(" - ",$A1395)),ISERROR(SEARCH("Folio",$A1395)),$D1395=""),TRIM($A1395),$S1394)</f>
        <v/>
      </c>
      <c r="T1395">
        <f>IF(AND(ISNUMBER(SEARCH("Folio",$A1395)),$D1395&lt;&gt;""),1,"")</f>
        <v/>
      </c>
      <c r="U1395">
        <f>IF($T1395=1,COUNTIF($T$9:$T1395,1),"")</f>
        <v/>
      </c>
      <c r="V1395">
        <f>IF(AND(ISTEXT($A1395),LEFT($A1396,3)="Pan"),1,"")</f>
        <v/>
      </c>
    </row>
    <row r="1396">
      <c r="S1396">
        <f>IF(AND(ISTEXT($A1396),ISNUMBER(SEARCH(" - ",$A1396)),ISERROR(SEARCH("Folio",$A1396)),$D1396=""),TRIM($A1396),$S1395)</f>
        <v/>
      </c>
      <c r="T1396">
        <f>IF(AND(ISNUMBER(SEARCH("Folio",$A1396)),$D1396&lt;&gt;""),1,"")</f>
        <v/>
      </c>
      <c r="U1396">
        <f>IF($T1396=1,COUNTIF($T$9:$T1396,1),"")</f>
        <v/>
      </c>
      <c r="V1396">
        <f>IF(AND(ISTEXT($A1396),LEFT($A1397,3)="Pan"),1,"")</f>
        <v/>
      </c>
    </row>
    <row r="1397">
      <c r="S1397">
        <f>IF(AND(ISTEXT($A1397),ISNUMBER(SEARCH(" - ",$A1397)),ISERROR(SEARCH("Folio",$A1397)),$D1397=""),TRIM($A1397),$S1396)</f>
        <v/>
      </c>
      <c r="T1397">
        <f>IF(AND(ISNUMBER(SEARCH("Folio",$A1397)),$D1397&lt;&gt;""),1,"")</f>
        <v/>
      </c>
      <c r="U1397">
        <f>IF($T1397=1,COUNTIF($T$9:$T1397,1),"")</f>
        <v/>
      </c>
      <c r="V1397">
        <f>IF(AND(ISTEXT($A1397),LEFT($A1398,3)="Pan"),1,"")</f>
        <v/>
      </c>
    </row>
    <row r="1398">
      <c r="S1398">
        <f>IF(AND(ISTEXT($A1398),ISNUMBER(SEARCH(" - ",$A1398)),ISERROR(SEARCH("Folio",$A1398)),$D1398=""),TRIM($A1398),$S1397)</f>
        <v/>
      </c>
      <c r="T1398">
        <f>IF(AND(ISNUMBER(SEARCH("Folio",$A1398)),$D1398&lt;&gt;""),1,"")</f>
        <v/>
      </c>
      <c r="U1398">
        <f>IF($T1398=1,COUNTIF($T$9:$T1398,1),"")</f>
        <v/>
      </c>
      <c r="V1398">
        <f>IF(AND(ISTEXT($A1398),LEFT($A1399,3)="Pan"),1,"")</f>
        <v/>
      </c>
    </row>
    <row r="1399">
      <c r="S1399">
        <f>IF(AND(ISTEXT($A1399),ISNUMBER(SEARCH(" - ",$A1399)),ISERROR(SEARCH("Folio",$A1399)),$D1399=""),TRIM($A1399),$S1398)</f>
        <v/>
      </c>
      <c r="T1399">
        <f>IF(AND(ISNUMBER(SEARCH("Folio",$A1399)),$D1399&lt;&gt;""),1,"")</f>
        <v/>
      </c>
      <c r="U1399">
        <f>IF($T1399=1,COUNTIF($T$9:$T1399,1),"")</f>
        <v/>
      </c>
      <c r="V1399">
        <f>IF(AND(ISTEXT($A1399),LEFT($A1400,3)="Pan"),1,"")</f>
        <v/>
      </c>
    </row>
    <row r="1400">
      <c r="S1400">
        <f>IF(AND(ISTEXT($A1400),ISNUMBER(SEARCH(" - ",$A1400)),ISERROR(SEARCH("Folio",$A1400)),$D1400=""),TRIM($A1400),$S1399)</f>
        <v/>
      </c>
      <c r="T1400">
        <f>IF(AND(ISNUMBER(SEARCH("Folio",$A1400)),$D1400&lt;&gt;""),1,"")</f>
        <v/>
      </c>
      <c r="U1400">
        <f>IF($T1400=1,COUNTIF($T$9:$T1400,1),"")</f>
        <v/>
      </c>
      <c r="V1400">
        <f>IF(AND(ISTEXT($A1400),LEFT($A1401,3)="Pan"),1,"")</f>
        <v/>
      </c>
    </row>
    <row r="1401">
      <c r="S1401">
        <f>IF(AND(ISTEXT($A1401),ISNUMBER(SEARCH(" - ",$A1401)),ISERROR(SEARCH("Folio",$A1401)),$D1401=""),TRIM($A1401),$S1400)</f>
        <v/>
      </c>
      <c r="T1401">
        <f>IF(AND(ISNUMBER(SEARCH("Folio",$A1401)),$D1401&lt;&gt;""),1,"")</f>
        <v/>
      </c>
      <c r="U1401">
        <f>IF($T1401=1,COUNTIF($T$9:$T1401,1),"")</f>
        <v/>
      </c>
      <c r="V1401">
        <f>IF(AND(ISTEXT($A1401),LEFT($A1402,3)="Pan"),1,"")</f>
        <v/>
      </c>
    </row>
    <row r="1402">
      <c r="S1402">
        <f>IF(AND(ISTEXT($A1402),ISNUMBER(SEARCH(" - ",$A1402)),ISERROR(SEARCH("Folio",$A1402)),$D1402=""),TRIM($A1402),$S1401)</f>
        <v/>
      </c>
      <c r="T1402">
        <f>IF(AND(ISNUMBER(SEARCH("Folio",$A1402)),$D1402&lt;&gt;""),1,"")</f>
        <v/>
      </c>
      <c r="U1402">
        <f>IF($T1402=1,COUNTIF($T$9:$T1402,1),"")</f>
        <v/>
      </c>
      <c r="V1402">
        <f>IF(AND(ISTEXT($A1402),LEFT($A1403,3)="Pan"),1,"")</f>
        <v/>
      </c>
    </row>
    <row r="1403">
      <c r="S1403">
        <f>IF(AND(ISTEXT($A1403),ISNUMBER(SEARCH(" - ",$A1403)),ISERROR(SEARCH("Folio",$A1403)),$D1403=""),TRIM($A1403),$S1402)</f>
        <v/>
      </c>
      <c r="T1403">
        <f>IF(AND(ISNUMBER(SEARCH("Folio",$A1403)),$D1403&lt;&gt;""),1,"")</f>
        <v/>
      </c>
      <c r="U1403">
        <f>IF($T1403=1,COUNTIF($T$9:$T1403,1),"")</f>
        <v/>
      </c>
      <c r="V1403">
        <f>IF(AND(ISTEXT($A1403),LEFT($A1404,3)="Pan"),1,"")</f>
        <v/>
      </c>
    </row>
    <row r="1404">
      <c r="S1404">
        <f>IF(AND(ISTEXT($A1404),ISNUMBER(SEARCH(" - ",$A1404)),ISERROR(SEARCH("Folio",$A1404)),$D1404=""),TRIM($A1404),$S1403)</f>
        <v/>
      </c>
      <c r="T1404">
        <f>IF(AND(ISNUMBER(SEARCH("Folio",$A1404)),$D1404&lt;&gt;""),1,"")</f>
        <v/>
      </c>
      <c r="U1404">
        <f>IF($T1404=1,COUNTIF($T$9:$T1404,1),"")</f>
        <v/>
      </c>
      <c r="V1404">
        <f>IF(AND(ISTEXT($A1404),LEFT($A1405,3)="Pan"),1,"")</f>
        <v/>
      </c>
    </row>
    <row r="1405">
      <c r="S1405">
        <f>IF(AND(ISTEXT($A1405),ISNUMBER(SEARCH(" - ",$A1405)),ISERROR(SEARCH("Folio",$A1405)),$D1405=""),TRIM($A1405),$S1404)</f>
        <v/>
      </c>
      <c r="T1405">
        <f>IF(AND(ISNUMBER(SEARCH("Folio",$A1405)),$D1405&lt;&gt;""),1,"")</f>
        <v/>
      </c>
      <c r="U1405">
        <f>IF($T1405=1,COUNTIF($T$9:$T1405,1),"")</f>
        <v/>
      </c>
      <c r="V1405">
        <f>IF(AND(ISTEXT($A1405),LEFT($A1406,3)="Pan"),1,"")</f>
        <v/>
      </c>
    </row>
    <row r="1406">
      <c r="S1406">
        <f>IF(AND(ISTEXT($A1406),ISNUMBER(SEARCH(" - ",$A1406)),ISERROR(SEARCH("Folio",$A1406)),$D1406=""),TRIM($A1406),$S1405)</f>
        <v/>
      </c>
      <c r="T1406">
        <f>IF(AND(ISNUMBER(SEARCH("Folio",$A1406)),$D1406&lt;&gt;""),1,"")</f>
        <v/>
      </c>
      <c r="U1406">
        <f>IF($T1406=1,COUNTIF($T$9:$T1406,1),"")</f>
        <v/>
      </c>
      <c r="V1406">
        <f>IF(AND(ISTEXT($A1406),LEFT($A1407,3)="Pan"),1,"")</f>
        <v/>
      </c>
    </row>
    <row r="1407">
      <c r="S1407">
        <f>IF(AND(ISTEXT($A1407),ISNUMBER(SEARCH(" - ",$A1407)),ISERROR(SEARCH("Folio",$A1407)),$D1407=""),TRIM($A1407),$S1406)</f>
        <v/>
      </c>
      <c r="T1407">
        <f>IF(AND(ISNUMBER(SEARCH("Folio",$A1407)),$D1407&lt;&gt;""),1,"")</f>
        <v/>
      </c>
      <c r="U1407">
        <f>IF($T1407=1,COUNTIF($T$9:$T1407,1),"")</f>
        <v/>
      </c>
      <c r="V1407">
        <f>IF(AND(ISTEXT($A1407),LEFT($A1408,3)="Pan"),1,"")</f>
        <v/>
      </c>
    </row>
    <row r="1408">
      <c r="S1408">
        <f>IF(AND(ISTEXT($A1408),ISNUMBER(SEARCH(" - ",$A1408)),ISERROR(SEARCH("Folio",$A1408)),$D1408=""),TRIM($A1408),$S1407)</f>
        <v/>
      </c>
      <c r="T1408">
        <f>IF(AND(ISNUMBER(SEARCH("Folio",$A1408)),$D1408&lt;&gt;""),1,"")</f>
        <v/>
      </c>
      <c r="U1408">
        <f>IF($T1408=1,COUNTIF($T$9:$T1408,1),"")</f>
        <v/>
      </c>
      <c r="V1408">
        <f>IF(AND(ISTEXT($A1408),LEFT($A1409,3)="Pan"),1,"")</f>
        <v/>
      </c>
    </row>
    <row r="1409">
      <c r="S1409">
        <f>IF(AND(ISTEXT($A1409),ISNUMBER(SEARCH(" - ",$A1409)),ISERROR(SEARCH("Folio",$A1409)),$D1409=""),TRIM($A1409),$S1408)</f>
        <v/>
      </c>
      <c r="T1409">
        <f>IF(AND(ISNUMBER(SEARCH("Folio",$A1409)),$D1409&lt;&gt;""),1,"")</f>
        <v/>
      </c>
      <c r="U1409">
        <f>IF($T1409=1,COUNTIF($T$9:$T1409,1),"")</f>
        <v/>
      </c>
      <c r="V1409">
        <f>IF(AND(ISTEXT($A1409),LEFT($A1410,3)="Pan"),1,"")</f>
        <v/>
      </c>
    </row>
    <row r="1410">
      <c r="S1410">
        <f>IF(AND(ISTEXT($A1410),ISNUMBER(SEARCH(" - ",$A1410)),ISERROR(SEARCH("Folio",$A1410)),$D1410=""),TRIM($A1410),$S1409)</f>
        <v/>
      </c>
      <c r="T1410">
        <f>IF(AND(ISNUMBER(SEARCH("Folio",$A1410)),$D1410&lt;&gt;""),1,"")</f>
        <v/>
      </c>
      <c r="U1410">
        <f>IF($T1410=1,COUNTIF($T$9:$T1410,1),"")</f>
        <v/>
      </c>
      <c r="V1410">
        <f>IF(AND(ISTEXT($A1410),LEFT($A1411,3)="Pan"),1,"")</f>
        <v/>
      </c>
    </row>
    <row r="1411">
      <c r="S1411">
        <f>IF(AND(ISTEXT($A1411),ISNUMBER(SEARCH(" - ",$A1411)),ISERROR(SEARCH("Folio",$A1411)),$D1411=""),TRIM($A1411),$S1410)</f>
        <v/>
      </c>
      <c r="T1411">
        <f>IF(AND(ISNUMBER(SEARCH("Folio",$A1411)),$D1411&lt;&gt;""),1,"")</f>
        <v/>
      </c>
      <c r="U1411">
        <f>IF($T1411=1,COUNTIF($T$9:$T1411,1),"")</f>
        <v/>
      </c>
      <c r="V1411">
        <f>IF(AND(ISTEXT($A1411),LEFT($A1412,3)="Pan"),1,"")</f>
        <v/>
      </c>
    </row>
    <row r="1412">
      <c r="S1412">
        <f>IF(AND(ISTEXT($A1412),ISNUMBER(SEARCH(" - ",$A1412)),ISERROR(SEARCH("Folio",$A1412)),$D1412=""),TRIM($A1412),$S1411)</f>
        <v/>
      </c>
      <c r="T1412">
        <f>IF(AND(ISNUMBER(SEARCH("Folio",$A1412)),$D1412&lt;&gt;""),1,"")</f>
        <v/>
      </c>
      <c r="U1412">
        <f>IF($T1412=1,COUNTIF($T$9:$T1412,1),"")</f>
        <v/>
      </c>
      <c r="V1412">
        <f>IF(AND(ISTEXT($A1412),LEFT($A1413,3)="Pan"),1,"")</f>
        <v/>
      </c>
    </row>
    <row r="1413">
      <c r="S1413">
        <f>IF(AND(ISTEXT($A1413),ISNUMBER(SEARCH(" - ",$A1413)),ISERROR(SEARCH("Folio",$A1413)),$D1413=""),TRIM($A1413),$S1412)</f>
        <v/>
      </c>
      <c r="T1413">
        <f>IF(AND(ISNUMBER(SEARCH("Folio",$A1413)),$D1413&lt;&gt;""),1,"")</f>
        <v/>
      </c>
      <c r="U1413">
        <f>IF($T1413=1,COUNTIF($T$9:$T1413,1),"")</f>
        <v/>
      </c>
      <c r="V1413">
        <f>IF(AND(ISTEXT($A1413),LEFT($A1414,3)="Pan"),1,"")</f>
        <v/>
      </c>
    </row>
    <row r="1414">
      <c r="S1414">
        <f>IF(AND(ISTEXT($A1414),ISNUMBER(SEARCH(" - ",$A1414)),ISERROR(SEARCH("Folio",$A1414)),$D1414=""),TRIM($A1414),$S1413)</f>
        <v/>
      </c>
      <c r="T1414">
        <f>IF(AND(ISNUMBER(SEARCH("Folio",$A1414)),$D1414&lt;&gt;""),1,"")</f>
        <v/>
      </c>
      <c r="U1414">
        <f>IF($T1414=1,COUNTIF($T$9:$T1414,1),"")</f>
        <v/>
      </c>
      <c r="V1414">
        <f>IF(AND(ISTEXT($A1414),LEFT($A1415,3)="Pan"),1,"")</f>
        <v/>
      </c>
    </row>
    <row r="1415">
      <c r="S1415">
        <f>IF(AND(ISTEXT($A1415),ISNUMBER(SEARCH(" - ",$A1415)),ISERROR(SEARCH("Folio",$A1415)),$D1415=""),TRIM($A1415),$S1414)</f>
        <v/>
      </c>
      <c r="T1415">
        <f>IF(AND(ISNUMBER(SEARCH("Folio",$A1415)),$D1415&lt;&gt;""),1,"")</f>
        <v/>
      </c>
      <c r="U1415">
        <f>IF($T1415=1,COUNTIF($T$9:$T1415,1),"")</f>
        <v/>
      </c>
      <c r="V1415">
        <f>IF(AND(ISTEXT($A1415),LEFT($A1416,3)="Pan"),1,"")</f>
        <v/>
      </c>
    </row>
    <row r="1416">
      <c r="S1416">
        <f>IF(AND(ISTEXT($A1416),ISNUMBER(SEARCH(" - ",$A1416)),ISERROR(SEARCH("Folio",$A1416)),$D1416=""),TRIM($A1416),$S1415)</f>
        <v/>
      </c>
      <c r="T1416">
        <f>IF(AND(ISNUMBER(SEARCH("Folio",$A1416)),$D1416&lt;&gt;""),1,"")</f>
        <v/>
      </c>
      <c r="U1416">
        <f>IF($T1416=1,COUNTIF($T$9:$T1416,1),"")</f>
        <v/>
      </c>
      <c r="V1416">
        <f>IF(AND(ISTEXT($A1416),LEFT($A1417,3)="Pan"),1,"")</f>
        <v/>
      </c>
    </row>
    <row r="1417">
      <c r="S1417">
        <f>IF(AND(ISTEXT($A1417),ISNUMBER(SEARCH(" - ",$A1417)),ISERROR(SEARCH("Folio",$A1417)),$D1417=""),TRIM($A1417),$S1416)</f>
        <v/>
      </c>
      <c r="T1417">
        <f>IF(AND(ISNUMBER(SEARCH("Folio",$A1417)),$D1417&lt;&gt;""),1,"")</f>
        <v/>
      </c>
      <c r="U1417">
        <f>IF($T1417=1,COUNTIF($T$9:$T1417,1),"")</f>
        <v/>
      </c>
      <c r="V1417">
        <f>IF(AND(ISTEXT($A1417),LEFT($A1418,3)="Pan"),1,"")</f>
        <v/>
      </c>
    </row>
    <row r="1418">
      <c r="S1418">
        <f>IF(AND(ISTEXT($A1418),ISNUMBER(SEARCH(" - ",$A1418)),ISERROR(SEARCH("Folio",$A1418)),$D1418=""),TRIM($A1418),$S1417)</f>
        <v/>
      </c>
      <c r="T1418">
        <f>IF(AND(ISNUMBER(SEARCH("Folio",$A1418)),$D1418&lt;&gt;""),1,"")</f>
        <v/>
      </c>
      <c r="U1418">
        <f>IF($T1418=1,COUNTIF($T$9:$T1418,1),"")</f>
        <v/>
      </c>
      <c r="V1418">
        <f>IF(AND(ISTEXT($A1418),LEFT($A1419,3)="Pan"),1,"")</f>
        <v/>
      </c>
    </row>
    <row r="1419">
      <c r="S1419">
        <f>IF(AND(ISTEXT($A1419),ISNUMBER(SEARCH(" - ",$A1419)),ISERROR(SEARCH("Folio",$A1419)),$D1419=""),TRIM($A1419),$S1418)</f>
        <v/>
      </c>
      <c r="T1419">
        <f>IF(AND(ISNUMBER(SEARCH("Folio",$A1419)),$D1419&lt;&gt;""),1,"")</f>
        <v/>
      </c>
      <c r="U1419">
        <f>IF($T1419=1,COUNTIF($T$9:$T1419,1),"")</f>
        <v/>
      </c>
      <c r="V1419">
        <f>IF(AND(ISTEXT($A1419),LEFT($A1420,3)="Pan"),1,"")</f>
        <v/>
      </c>
    </row>
    <row r="1420">
      <c r="S1420">
        <f>IF(AND(ISTEXT($A1420),ISNUMBER(SEARCH(" - ",$A1420)),ISERROR(SEARCH("Folio",$A1420)),$D1420=""),TRIM($A1420),$S1419)</f>
        <v/>
      </c>
      <c r="T1420">
        <f>IF(AND(ISNUMBER(SEARCH("Folio",$A1420)),$D1420&lt;&gt;""),1,"")</f>
        <v/>
      </c>
      <c r="U1420">
        <f>IF($T1420=1,COUNTIF($T$9:$T1420,1),"")</f>
        <v/>
      </c>
      <c r="V1420">
        <f>IF(AND(ISTEXT($A1420),LEFT($A1421,3)="Pan"),1,"")</f>
        <v/>
      </c>
    </row>
    <row r="1421">
      <c r="S1421">
        <f>IF(AND(ISTEXT($A1421),ISNUMBER(SEARCH(" - ",$A1421)),ISERROR(SEARCH("Folio",$A1421)),$D1421=""),TRIM($A1421),$S1420)</f>
        <v/>
      </c>
      <c r="T1421">
        <f>IF(AND(ISNUMBER(SEARCH("Folio",$A1421)),$D1421&lt;&gt;""),1,"")</f>
        <v/>
      </c>
      <c r="U1421">
        <f>IF($T1421=1,COUNTIF($T$9:$T1421,1),"")</f>
        <v/>
      </c>
      <c r="V1421">
        <f>IF(AND(ISTEXT($A1421),LEFT($A1422,3)="Pan"),1,"")</f>
        <v/>
      </c>
    </row>
    <row r="1422">
      <c r="S1422">
        <f>IF(AND(ISTEXT($A1422),ISNUMBER(SEARCH(" - ",$A1422)),ISERROR(SEARCH("Folio",$A1422)),$D1422=""),TRIM($A1422),$S1421)</f>
        <v/>
      </c>
      <c r="T1422">
        <f>IF(AND(ISNUMBER(SEARCH("Folio",$A1422)),$D1422&lt;&gt;""),1,"")</f>
        <v/>
      </c>
      <c r="U1422">
        <f>IF($T1422=1,COUNTIF($T$9:$T1422,1),"")</f>
        <v/>
      </c>
      <c r="V1422">
        <f>IF(AND(ISTEXT($A1422),LEFT($A1423,3)="Pan"),1,"")</f>
        <v/>
      </c>
    </row>
    <row r="1423">
      <c r="S1423">
        <f>IF(AND(ISTEXT($A1423),ISNUMBER(SEARCH(" - ",$A1423)),ISERROR(SEARCH("Folio",$A1423)),$D1423=""),TRIM($A1423),$S1422)</f>
        <v/>
      </c>
      <c r="T1423">
        <f>IF(AND(ISNUMBER(SEARCH("Folio",$A1423)),$D1423&lt;&gt;""),1,"")</f>
        <v/>
      </c>
      <c r="U1423">
        <f>IF($T1423=1,COUNTIF($T$9:$T1423,1),"")</f>
        <v/>
      </c>
      <c r="V1423">
        <f>IF(AND(ISTEXT($A1423),LEFT($A1424,3)="Pan"),1,"")</f>
        <v/>
      </c>
    </row>
    <row r="1424">
      <c r="S1424">
        <f>IF(AND(ISTEXT($A1424),ISNUMBER(SEARCH(" - ",$A1424)),ISERROR(SEARCH("Folio",$A1424)),$D1424=""),TRIM($A1424),$S1423)</f>
        <v/>
      </c>
      <c r="T1424">
        <f>IF(AND(ISNUMBER(SEARCH("Folio",$A1424)),$D1424&lt;&gt;""),1,"")</f>
        <v/>
      </c>
      <c r="U1424">
        <f>IF($T1424=1,COUNTIF($T$9:$T1424,1),"")</f>
        <v/>
      </c>
      <c r="V1424">
        <f>IF(AND(ISTEXT($A1424),LEFT($A1425,3)="Pan"),1,"")</f>
        <v/>
      </c>
    </row>
    <row r="1425">
      <c r="S1425">
        <f>IF(AND(ISTEXT($A1425),ISNUMBER(SEARCH(" - ",$A1425)),ISERROR(SEARCH("Folio",$A1425)),$D1425=""),TRIM($A1425),$S1424)</f>
        <v/>
      </c>
      <c r="T1425">
        <f>IF(AND(ISNUMBER(SEARCH("Folio",$A1425)),$D1425&lt;&gt;""),1,"")</f>
        <v/>
      </c>
      <c r="U1425">
        <f>IF($T1425=1,COUNTIF($T$9:$T1425,1),"")</f>
        <v/>
      </c>
      <c r="V1425">
        <f>IF(AND(ISTEXT($A1425),LEFT($A1426,3)="Pan"),1,"")</f>
        <v/>
      </c>
    </row>
    <row r="1426">
      <c r="S1426">
        <f>IF(AND(ISTEXT($A1426),ISNUMBER(SEARCH(" - ",$A1426)),ISERROR(SEARCH("Folio",$A1426)),$D1426=""),TRIM($A1426),$S1425)</f>
        <v/>
      </c>
      <c r="T1426">
        <f>IF(AND(ISNUMBER(SEARCH("Folio",$A1426)),$D1426&lt;&gt;""),1,"")</f>
        <v/>
      </c>
      <c r="U1426">
        <f>IF($T1426=1,COUNTIF($T$9:$T1426,1),"")</f>
        <v/>
      </c>
      <c r="V1426">
        <f>IF(AND(ISTEXT($A1426),LEFT($A1427,3)="Pan"),1,"")</f>
        <v/>
      </c>
    </row>
    <row r="1427">
      <c r="S1427">
        <f>IF(AND(ISTEXT($A1427),ISNUMBER(SEARCH(" - ",$A1427)),ISERROR(SEARCH("Folio",$A1427)),$D1427=""),TRIM($A1427),$S1426)</f>
        <v/>
      </c>
      <c r="T1427">
        <f>IF(AND(ISNUMBER(SEARCH("Folio",$A1427)),$D1427&lt;&gt;""),1,"")</f>
        <v/>
      </c>
      <c r="U1427">
        <f>IF($T1427=1,COUNTIF($T$9:$T1427,1),"")</f>
        <v/>
      </c>
      <c r="V1427">
        <f>IF(AND(ISTEXT($A1427),LEFT($A1428,3)="Pan"),1,"")</f>
        <v/>
      </c>
    </row>
    <row r="1428">
      <c r="S1428">
        <f>IF(AND(ISTEXT($A1428),ISNUMBER(SEARCH(" - ",$A1428)),ISERROR(SEARCH("Folio",$A1428)),$D1428=""),TRIM($A1428),$S1427)</f>
        <v/>
      </c>
      <c r="T1428">
        <f>IF(AND(ISNUMBER(SEARCH("Folio",$A1428)),$D1428&lt;&gt;""),1,"")</f>
        <v/>
      </c>
      <c r="U1428">
        <f>IF($T1428=1,COUNTIF($T$9:$T1428,1),"")</f>
        <v/>
      </c>
      <c r="V1428">
        <f>IF(AND(ISTEXT($A1428),LEFT($A1429,3)="Pan"),1,"")</f>
        <v/>
      </c>
    </row>
    <row r="1429">
      <c r="S1429">
        <f>IF(AND(ISTEXT($A1429),ISNUMBER(SEARCH(" - ",$A1429)),ISERROR(SEARCH("Folio",$A1429)),$D1429=""),TRIM($A1429),$S1428)</f>
        <v/>
      </c>
      <c r="T1429">
        <f>IF(AND(ISNUMBER(SEARCH("Folio",$A1429)),$D1429&lt;&gt;""),1,"")</f>
        <v/>
      </c>
      <c r="U1429">
        <f>IF($T1429=1,COUNTIF($T$9:$T1429,1),"")</f>
        <v/>
      </c>
      <c r="V1429">
        <f>IF(AND(ISTEXT($A1429),LEFT($A1430,3)="Pan"),1,"")</f>
        <v/>
      </c>
    </row>
    <row r="1430">
      <c r="S1430">
        <f>IF(AND(ISTEXT($A1430),ISNUMBER(SEARCH(" - ",$A1430)),ISERROR(SEARCH("Folio",$A1430)),$D1430=""),TRIM($A1430),$S1429)</f>
        <v/>
      </c>
      <c r="T1430">
        <f>IF(AND(ISNUMBER(SEARCH("Folio",$A1430)),$D1430&lt;&gt;""),1,"")</f>
        <v/>
      </c>
      <c r="U1430">
        <f>IF($T1430=1,COUNTIF($T$9:$T1430,1),"")</f>
        <v/>
      </c>
      <c r="V1430">
        <f>IF(AND(ISTEXT($A1430),LEFT($A1431,3)="Pan"),1,"")</f>
        <v/>
      </c>
    </row>
    <row r="1431">
      <c r="S1431">
        <f>IF(AND(ISTEXT($A1431),ISNUMBER(SEARCH(" - ",$A1431)),ISERROR(SEARCH("Folio",$A1431)),$D1431=""),TRIM($A1431),$S1430)</f>
        <v/>
      </c>
      <c r="T1431">
        <f>IF(AND(ISNUMBER(SEARCH("Folio",$A1431)),$D1431&lt;&gt;""),1,"")</f>
        <v/>
      </c>
      <c r="U1431">
        <f>IF($T1431=1,COUNTIF($T$9:$T1431,1),"")</f>
        <v/>
      </c>
      <c r="V1431">
        <f>IF(AND(ISTEXT($A1431),LEFT($A1432,3)="Pan"),1,"")</f>
        <v/>
      </c>
    </row>
    <row r="1432">
      <c r="S1432">
        <f>IF(AND(ISTEXT($A1432),ISNUMBER(SEARCH(" - ",$A1432)),ISERROR(SEARCH("Folio",$A1432)),$D1432=""),TRIM($A1432),$S1431)</f>
        <v/>
      </c>
      <c r="T1432">
        <f>IF(AND(ISNUMBER(SEARCH("Folio",$A1432)),$D1432&lt;&gt;""),1,"")</f>
        <v/>
      </c>
      <c r="U1432">
        <f>IF($T1432=1,COUNTIF($T$9:$T1432,1),"")</f>
        <v/>
      </c>
      <c r="V1432">
        <f>IF(AND(ISTEXT($A1432),LEFT($A1433,3)="Pan"),1,"")</f>
        <v/>
      </c>
    </row>
    <row r="1433">
      <c r="S1433">
        <f>IF(AND(ISTEXT($A1433),ISNUMBER(SEARCH(" - ",$A1433)),ISERROR(SEARCH("Folio",$A1433)),$D1433=""),TRIM($A1433),$S1432)</f>
        <v/>
      </c>
      <c r="T1433">
        <f>IF(AND(ISNUMBER(SEARCH("Folio",$A1433)),$D1433&lt;&gt;""),1,"")</f>
        <v/>
      </c>
      <c r="U1433">
        <f>IF($T1433=1,COUNTIF($T$9:$T1433,1),"")</f>
        <v/>
      </c>
      <c r="V1433">
        <f>IF(AND(ISTEXT($A1433),LEFT($A1434,3)="Pan"),1,"")</f>
        <v/>
      </c>
    </row>
    <row r="1434">
      <c r="S1434">
        <f>IF(AND(ISTEXT($A1434),ISNUMBER(SEARCH(" - ",$A1434)),ISERROR(SEARCH("Folio",$A1434)),$D1434=""),TRIM($A1434),$S1433)</f>
        <v/>
      </c>
      <c r="T1434">
        <f>IF(AND(ISNUMBER(SEARCH("Folio",$A1434)),$D1434&lt;&gt;""),1,"")</f>
        <v/>
      </c>
      <c r="U1434">
        <f>IF($T1434=1,COUNTIF($T$9:$T1434,1),"")</f>
        <v/>
      </c>
      <c r="V1434">
        <f>IF(AND(ISTEXT($A1434),LEFT($A1435,3)="Pan"),1,"")</f>
        <v/>
      </c>
    </row>
    <row r="1435">
      <c r="S1435">
        <f>IF(AND(ISTEXT($A1435),ISNUMBER(SEARCH(" - ",$A1435)),ISERROR(SEARCH("Folio",$A1435)),$D1435=""),TRIM($A1435),$S1434)</f>
        <v/>
      </c>
      <c r="T1435">
        <f>IF(AND(ISNUMBER(SEARCH("Folio",$A1435)),$D1435&lt;&gt;""),1,"")</f>
        <v/>
      </c>
      <c r="U1435">
        <f>IF($T1435=1,COUNTIF($T$9:$T1435,1),"")</f>
        <v/>
      </c>
      <c r="V1435">
        <f>IF(AND(ISTEXT($A1435),LEFT($A1436,3)="Pan"),1,"")</f>
        <v/>
      </c>
    </row>
    <row r="1436">
      <c r="S1436">
        <f>IF(AND(ISTEXT($A1436),ISNUMBER(SEARCH(" - ",$A1436)),ISERROR(SEARCH("Folio",$A1436)),$D1436=""),TRIM($A1436),$S1435)</f>
        <v/>
      </c>
      <c r="T1436">
        <f>IF(AND(ISNUMBER(SEARCH("Folio",$A1436)),$D1436&lt;&gt;""),1,"")</f>
        <v/>
      </c>
      <c r="U1436">
        <f>IF($T1436=1,COUNTIF($T$9:$T1436,1),"")</f>
        <v/>
      </c>
      <c r="V1436">
        <f>IF(AND(ISTEXT($A1436),LEFT($A1437,3)="Pan"),1,"")</f>
        <v/>
      </c>
    </row>
    <row r="1437">
      <c r="S1437">
        <f>IF(AND(ISTEXT($A1437),ISNUMBER(SEARCH(" - ",$A1437)),ISERROR(SEARCH("Folio",$A1437)),$D1437=""),TRIM($A1437),$S1436)</f>
        <v/>
      </c>
      <c r="T1437">
        <f>IF(AND(ISNUMBER(SEARCH("Folio",$A1437)),$D1437&lt;&gt;""),1,"")</f>
        <v/>
      </c>
      <c r="U1437">
        <f>IF($T1437=1,COUNTIF($T$9:$T1437,1),"")</f>
        <v/>
      </c>
      <c r="V1437">
        <f>IF(AND(ISTEXT($A1437),LEFT($A1438,3)="Pan"),1,"")</f>
        <v/>
      </c>
    </row>
    <row r="1438">
      <c r="S1438">
        <f>IF(AND(ISTEXT($A1438),ISNUMBER(SEARCH(" - ",$A1438)),ISERROR(SEARCH("Folio",$A1438)),$D1438=""),TRIM($A1438),$S1437)</f>
        <v/>
      </c>
      <c r="T1438">
        <f>IF(AND(ISNUMBER(SEARCH("Folio",$A1438)),$D1438&lt;&gt;""),1,"")</f>
        <v/>
      </c>
      <c r="U1438">
        <f>IF($T1438=1,COUNTIF($T$9:$T1438,1),"")</f>
        <v/>
      </c>
      <c r="V1438">
        <f>IF(AND(ISTEXT($A1438),LEFT($A1439,3)="Pan"),1,"")</f>
        <v/>
      </c>
    </row>
    <row r="1439">
      <c r="S1439">
        <f>IF(AND(ISTEXT($A1439),ISNUMBER(SEARCH(" - ",$A1439)),ISERROR(SEARCH("Folio",$A1439)),$D1439=""),TRIM($A1439),$S1438)</f>
        <v/>
      </c>
      <c r="T1439">
        <f>IF(AND(ISNUMBER(SEARCH("Folio",$A1439)),$D1439&lt;&gt;""),1,"")</f>
        <v/>
      </c>
      <c r="U1439">
        <f>IF($T1439=1,COUNTIF($T$9:$T1439,1),"")</f>
        <v/>
      </c>
      <c r="V1439">
        <f>IF(AND(ISTEXT($A1439),LEFT($A1440,3)="Pan"),1,"")</f>
        <v/>
      </c>
    </row>
    <row r="1440">
      <c r="S1440">
        <f>IF(AND(ISTEXT($A1440),ISNUMBER(SEARCH(" - ",$A1440)),ISERROR(SEARCH("Folio",$A1440)),$D1440=""),TRIM($A1440),$S1439)</f>
        <v/>
      </c>
      <c r="T1440">
        <f>IF(AND(ISNUMBER(SEARCH("Folio",$A1440)),$D1440&lt;&gt;""),1,"")</f>
        <v/>
      </c>
      <c r="U1440">
        <f>IF($T1440=1,COUNTIF($T$9:$T1440,1),"")</f>
        <v/>
      </c>
      <c r="V1440">
        <f>IF(AND(ISTEXT($A1440),LEFT($A1441,3)="Pan"),1,"")</f>
        <v/>
      </c>
    </row>
    <row r="1441">
      <c r="S1441">
        <f>IF(AND(ISTEXT($A1441),ISNUMBER(SEARCH(" - ",$A1441)),ISERROR(SEARCH("Folio",$A1441)),$D1441=""),TRIM($A1441),$S1440)</f>
        <v/>
      </c>
      <c r="T1441">
        <f>IF(AND(ISNUMBER(SEARCH("Folio",$A1441)),$D1441&lt;&gt;""),1,"")</f>
        <v/>
      </c>
      <c r="U1441">
        <f>IF($T1441=1,COUNTIF($T$9:$T1441,1),"")</f>
        <v/>
      </c>
      <c r="V1441">
        <f>IF(AND(ISTEXT($A1441),LEFT($A1442,3)="Pan"),1,"")</f>
        <v/>
      </c>
    </row>
    <row r="1442">
      <c r="S1442">
        <f>IF(AND(ISTEXT($A1442),ISNUMBER(SEARCH(" - ",$A1442)),ISERROR(SEARCH("Folio",$A1442)),$D1442=""),TRIM($A1442),$S1441)</f>
        <v/>
      </c>
      <c r="T1442">
        <f>IF(AND(ISNUMBER(SEARCH("Folio",$A1442)),$D1442&lt;&gt;""),1,"")</f>
        <v/>
      </c>
      <c r="U1442">
        <f>IF($T1442=1,COUNTIF($T$9:$T1442,1),"")</f>
        <v/>
      </c>
      <c r="V1442">
        <f>IF(AND(ISTEXT($A1442),LEFT($A1443,3)="Pan"),1,"")</f>
        <v/>
      </c>
    </row>
    <row r="1443">
      <c r="S1443">
        <f>IF(AND(ISTEXT($A1443),ISNUMBER(SEARCH(" - ",$A1443)),ISERROR(SEARCH("Folio",$A1443)),$D1443=""),TRIM($A1443),$S1442)</f>
        <v/>
      </c>
      <c r="T1443">
        <f>IF(AND(ISNUMBER(SEARCH("Folio",$A1443)),$D1443&lt;&gt;""),1,"")</f>
        <v/>
      </c>
      <c r="U1443">
        <f>IF($T1443=1,COUNTIF($T$9:$T1443,1),"")</f>
        <v/>
      </c>
      <c r="V1443">
        <f>IF(AND(ISTEXT($A1443),LEFT($A1444,3)="Pan"),1,"")</f>
        <v/>
      </c>
    </row>
    <row r="1444">
      <c r="S1444">
        <f>IF(AND(ISTEXT($A1444),ISNUMBER(SEARCH(" - ",$A1444)),ISERROR(SEARCH("Folio",$A1444)),$D1444=""),TRIM($A1444),$S1443)</f>
        <v/>
      </c>
      <c r="T1444">
        <f>IF(AND(ISNUMBER(SEARCH("Folio",$A1444)),$D1444&lt;&gt;""),1,"")</f>
        <v/>
      </c>
      <c r="U1444">
        <f>IF($T1444=1,COUNTIF($T$9:$T1444,1),"")</f>
        <v/>
      </c>
      <c r="V1444">
        <f>IF(AND(ISTEXT($A1444),LEFT($A1445,3)="Pan"),1,"")</f>
        <v/>
      </c>
    </row>
    <row r="1445">
      <c r="S1445">
        <f>IF(AND(ISTEXT($A1445),ISNUMBER(SEARCH(" - ",$A1445)),ISERROR(SEARCH("Folio",$A1445)),$D1445=""),TRIM($A1445),$S1444)</f>
        <v/>
      </c>
      <c r="T1445">
        <f>IF(AND(ISNUMBER(SEARCH("Folio",$A1445)),$D1445&lt;&gt;""),1,"")</f>
        <v/>
      </c>
      <c r="U1445">
        <f>IF($T1445=1,COUNTIF($T$9:$T1445,1),"")</f>
        <v/>
      </c>
      <c r="V1445">
        <f>IF(AND(ISTEXT($A1445),LEFT($A1446,3)="Pan"),1,"")</f>
        <v/>
      </c>
    </row>
    <row r="1446">
      <c r="S1446">
        <f>IF(AND(ISTEXT($A1446),ISNUMBER(SEARCH(" - ",$A1446)),ISERROR(SEARCH("Folio",$A1446)),$D1446=""),TRIM($A1446),$S1445)</f>
        <v/>
      </c>
      <c r="T1446">
        <f>IF(AND(ISNUMBER(SEARCH("Folio",$A1446)),$D1446&lt;&gt;""),1,"")</f>
        <v/>
      </c>
      <c r="U1446">
        <f>IF($T1446=1,COUNTIF($T$9:$T1446,1),"")</f>
        <v/>
      </c>
      <c r="V1446">
        <f>IF(AND(ISTEXT($A1446),LEFT($A1447,3)="Pan"),1,"")</f>
        <v/>
      </c>
    </row>
    <row r="1447">
      <c r="S1447">
        <f>IF(AND(ISTEXT($A1447),ISNUMBER(SEARCH(" - ",$A1447)),ISERROR(SEARCH("Folio",$A1447)),$D1447=""),TRIM($A1447),$S1446)</f>
        <v/>
      </c>
      <c r="T1447">
        <f>IF(AND(ISNUMBER(SEARCH("Folio",$A1447)),$D1447&lt;&gt;""),1,"")</f>
        <v/>
      </c>
      <c r="U1447">
        <f>IF($T1447=1,COUNTIF($T$9:$T1447,1),"")</f>
        <v/>
      </c>
      <c r="V1447">
        <f>IF(AND(ISTEXT($A1447),LEFT($A1448,3)="Pan"),1,"")</f>
        <v/>
      </c>
    </row>
    <row r="1448">
      <c r="S1448">
        <f>IF(AND(ISTEXT($A1448),ISNUMBER(SEARCH(" - ",$A1448)),ISERROR(SEARCH("Folio",$A1448)),$D1448=""),TRIM($A1448),$S1447)</f>
        <v/>
      </c>
      <c r="T1448">
        <f>IF(AND(ISNUMBER(SEARCH("Folio",$A1448)),$D1448&lt;&gt;""),1,"")</f>
        <v/>
      </c>
      <c r="U1448">
        <f>IF($T1448=1,COUNTIF($T$9:$T1448,1),"")</f>
        <v/>
      </c>
      <c r="V1448">
        <f>IF(AND(ISTEXT($A1448),LEFT($A1449,3)="Pan"),1,"")</f>
        <v/>
      </c>
    </row>
    <row r="1449">
      <c r="S1449">
        <f>IF(AND(ISTEXT($A1449),ISNUMBER(SEARCH(" - ",$A1449)),ISERROR(SEARCH("Folio",$A1449)),$D1449=""),TRIM($A1449),$S1448)</f>
        <v/>
      </c>
      <c r="T1449">
        <f>IF(AND(ISNUMBER(SEARCH("Folio",$A1449)),$D1449&lt;&gt;""),1,"")</f>
        <v/>
      </c>
      <c r="U1449">
        <f>IF($T1449=1,COUNTIF($T$9:$T1449,1),"")</f>
        <v/>
      </c>
      <c r="V1449">
        <f>IF(AND(ISTEXT($A1449),LEFT($A1450,3)="Pan"),1,"")</f>
        <v/>
      </c>
    </row>
    <row r="1450">
      <c r="S1450">
        <f>IF(AND(ISTEXT($A1450),ISNUMBER(SEARCH(" - ",$A1450)),ISERROR(SEARCH("Folio",$A1450)),$D1450=""),TRIM($A1450),$S1449)</f>
        <v/>
      </c>
      <c r="T1450">
        <f>IF(AND(ISNUMBER(SEARCH("Folio",$A1450)),$D1450&lt;&gt;""),1,"")</f>
        <v/>
      </c>
      <c r="U1450">
        <f>IF($T1450=1,COUNTIF($T$9:$T1450,1),"")</f>
        <v/>
      </c>
      <c r="V1450">
        <f>IF(AND(ISTEXT($A1450),LEFT($A1451,3)="Pan"),1,"")</f>
        <v/>
      </c>
    </row>
    <row r="1451">
      <c r="S1451">
        <f>IF(AND(ISTEXT($A1451),ISNUMBER(SEARCH(" - ",$A1451)),ISERROR(SEARCH("Folio",$A1451)),$D1451=""),TRIM($A1451),$S1450)</f>
        <v/>
      </c>
      <c r="T1451">
        <f>IF(AND(ISNUMBER(SEARCH("Folio",$A1451)),$D1451&lt;&gt;""),1,"")</f>
        <v/>
      </c>
      <c r="U1451">
        <f>IF($T1451=1,COUNTIF($T$9:$T1451,1),"")</f>
        <v/>
      </c>
      <c r="V1451">
        <f>IF(AND(ISTEXT($A1451),LEFT($A1452,3)="Pan"),1,"")</f>
        <v/>
      </c>
    </row>
    <row r="1452">
      <c r="S1452">
        <f>IF(AND(ISTEXT($A1452),ISNUMBER(SEARCH(" - ",$A1452)),ISERROR(SEARCH("Folio",$A1452)),$D1452=""),TRIM($A1452),$S1451)</f>
        <v/>
      </c>
      <c r="T1452">
        <f>IF(AND(ISNUMBER(SEARCH("Folio",$A1452)),$D1452&lt;&gt;""),1,"")</f>
        <v/>
      </c>
      <c r="U1452">
        <f>IF($T1452=1,COUNTIF($T$9:$T1452,1),"")</f>
        <v/>
      </c>
      <c r="V1452">
        <f>IF(AND(ISTEXT($A1452),LEFT($A1453,3)="Pan"),1,"")</f>
        <v/>
      </c>
    </row>
    <row r="1453">
      <c r="S1453">
        <f>IF(AND(ISTEXT($A1453),ISNUMBER(SEARCH(" - ",$A1453)),ISERROR(SEARCH("Folio",$A1453)),$D1453=""),TRIM($A1453),$S1452)</f>
        <v/>
      </c>
      <c r="T1453">
        <f>IF(AND(ISNUMBER(SEARCH("Folio",$A1453)),$D1453&lt;&gt;""),1,"")</f>
        <v/>
      </c>
      <c r="U1453">
        <f>IF($T1453=1,COUNTIF($T$9:$T1453,1),"")</f>
        <v/>
      </c>
      <c r="V1453">
        <f>IF(AND(ISTEXT($A1453),LEFT($A1454,3)="Pan"),1,"")</f>
        <v/>
      </c>
    </row>
    <row r="1454">
      <c r="S1454">
        <f>IF(AND(ISTEXT($A1454),ISNUMBER(SEARCH(" - ",$A1454)),ISERROR(SEARCH("Folio",$A1454)),$D1454=""),TRIM($A1454),$S1453)</f>
        <v/>
      </c>
      <c r="T1454">
        <f>IF(AND(ISNUMBER(SEARCH("Folio",$A1454)),$D1454&lt;&gt;""),1,"")</f>
        <v/>
      </c>
      <c r="U1454">
        <f>IF($T1454=1,COUNTIF($T$9:$T1454,1),"")</f>
        <v/>
      </c>
      <c r="V1454">
        <f>IF(AND(ISTEXT($A1454),LEFT($A1455,3)="Pan"),1,"")</f>
        <v/>
      </c>
    </row>
    <row r="1455">
      <c r="S1455">
        <f>IF(AND(ISTEXT($A1455),ISNUMBER(SEARCH(" - ",$A1455)),ISERROR(SEARCH("Folio",$A1455)),$D1455=""),TRIM($A1455),$S1454)</f>
        <v/>
      </c>
      <c r="T1455">
        <f>IF(AND(ISNUMBER(SEARCH("Folio",$A1455)),$D1455&lt;&gt;""),1,"")</f>
        <v/>
      </c>
      <c r="U1455">
        <f>IF($T1455=1,COUNTIF($T$9:$T1455,1),"")</f>
        <v/>
      </c>
      <c r="V1455">
        <f>IF(AND(ISTEXT($A1455),LEFT($A1456,3)="Pan"),1,"")</f>
        <v/>
      </c>
    </row>
    <row r="1456">
      <c r="S1456">
        <f>IF(AND(ISTEXT($A1456),ISNUMBER(SEARCH(" - ",$A1456)),ISERROR(SEARCH("Folio",$A1456)),$D1456=""),TRIM($A1456),$S1455)</f>
        <v/>
      </c>
      <c r="T1456">
        <f>IF(AND(ISNUMBER(SEARCH("Folio",$A1456)),$D1456&lt;&gt;""),1,"")</f>
        <v/>
      </c>
      <c r="U1456">
        <f>IF($T1456=1,COUNTIF($T$9:$T1456,1),"")</f>
        <v/>
      </c>
      <c r="V1456">
        <f>IF(AND(ISTEXT($A1456),LEFT($A1457,3)="Pan"),1,"")</f>
        <v/>
      </c>
    </row>
    <row r="1457">
      <c r="S1457">
        <f>IF(AND(ISTEXT($A1457),ISNUMBER(SEARCH(" - ",$A1457)),ISERROR(SEARCH("Folio",$A1457)),$D1457=""),TRIM($A1457),$S1456)</f>
        <v/>
      </c>
      <c r="T1457">
        <f>IF(AND(ISNUMBER(SEARCH("Folio",$A1457)),$D1457&lt;&gt;""),1,"")</f>
        <v/>
      </c>
      <c r="U1457">
        <f>IF($T1457=1,COUNTIF($T$9:$T1457,1),"")</f>
        <v/>
      </c>
      <c r="V1457">
        <f>IF(AND(ISTEXT($A1457),LEFT($A1458,3)="Pan"),1,"")</f>
        <v/>
      </c>
    </row>
    <row r="1458">
      <c r="S1458">
        <f>IF(AND(ISTEXT($A1458),ISNUMBER(SEARCH(" - ",$A1458)),ISERROR(SEARCH("Folio",$A1458)),$D1458=""),TRIM($A1458),$S1457)</f>
        <v/>
      </c>
      <c r="T1458">
        <f>IF(AND(ISNUMBER(SEARCH("Folio",$A1458)),$D1458&lt;&gt;""),1,"")</f>
        <v/>
      </c>
      <c r="U1458">
        <f>IF($T1458=1,COUNTIF($T$9:$T1458,1),"")</f>
        <v/>
      </c>
      <c r="V1458">
        <f>IF(AND(ISTEXT($A1458),LEFT($A1459,3)="Pan"),1,"")</f>
        <v/>
      </c>
    </row>
    <row r="1459">
      <c r="S1459">
        <f>IF(AND(ISTEXT($A1459),ISNUMBER(SEARCH(" - ",$A1459)),ISERROR(SEARCH("Folio",$A1459)),$D1459=""),TRIM($A1459),$S1458)</f>
        <v/>
      </c>
      <c r="T1459">
        <f>IF(AND(ISNUMBER(SEARCH("Folio",$A1459)),$D1459&lt;&gt;""),1,"")</f>
        <v/>
      </c>
      <c r="U1459">
        <f>IF($T1459=1,COUNTIF($T$9:$T1459,1),"")</f>
        <v/>
      </c>
      <c r="V1459">
        <f>IF(AND(ISTEXT($A1459),LEFT($A1460,3)="Pan"),1,"")</f>
        <v/>
      </c>
    </row>
    <row r="1460">
      <c r="S1460">
        <f>IF(AND(ISTEXT($A1460),ISNUMBER(SEARCH(" - ",$A1460)),ISERROR(SEARCH("Folio",$A1460)),$D1460=""),TRIM($A1460),$S1459)</f>
        <v/>
      </c>
      <c r="T1460">
        <f>IF(AND(ISNUMBER(SEARCH("Folio",$A1460)),$D1460&lt;&gt;""),1,"")</f>
        <v/>
      </c>
      <c r="U1460">
        <f>IF($T1460=1,COUNTIF($T$9:$T1460,1),"")</f>
        <v/>
      </c>
      <c r="V1460">
        <f>IF(AND(ISTEXT($A1460),LEFT($A1461,3)="Pan"),1,"")</f>
        <v/>
      </c>
    </row>
    <row r="1461">
      <c r="S1461">
        <f>IF(AND(ISTEXT($A1461),ISNUMBER(SEARCH(" - ",$A1461)),ISERROR(SEARCH("Folio",$A1461)),$D1461=""),TRIM($A1461),$S1460)</f>
        <v/>
      </c>
      <c r="T1461">
        <f>IF(AND(ISNUMBER(SEARCH("Folio",$A1461)),$D1461&lt;&gt;""),1,"")</f>
        <v/>
      </c>
      <c r="U1461">
        <f>IF($T1461=1,COUNTIF($T$9:$T1461,1),"")</f>
        <v/>
      </c>
      <c r="V1461">
        <f>IF(AND(ISTEXT($A1461),LEFT($A1462,3)="Pan"),1,"")</f>
        <v/>
      </c>
    </row>
    <row r="1462">
      <c r="S1462">
        <f>IF(AND(ISTEXT($A1462),ISNUMBER(SEARCH(" - ",$A1462)),ISERROR(SEARCH("Folio",$A1462)),$D1462=""),TRIM($A1462),$S1461)</f>
        <v/>
      </c>
      <c r="T1462">
        <f>IF(AND(ISNUMBER(SEARCH("Folio",$A1462)),$D1462&lt;&gt;""),1,"")</f>
        <v/>
      </c>
      <c r="U1462">
        <f>IF($T1462=1,COUNTIF($T$9:$T1462,1),"")</f>
        <v/>
      </c>
      <c r="V1462">
        <f>IF(AND(ISTEXT($A1462),LEFT($A1463,3)="Pan"),1,"")</f>
        <v/>
      </c>
    </row>
    <row r="1463">
      <c r="S1463">
        <f>IF(AND(ISTEXT($A1463),ISNUMBER(SEARCH(" - ",$A1463)),ISERROR(SEARCH("Folio",$A1463)),$D1463=""),TRIM($A1463),$S1462)</f>
        <v/>
      </c>
      <c r="T1463">
        <f>IF(AND(ISNUMBER(SEARCH("Folio",$A1463)),$D1463&lt;&gt;""),1,"")</f>
        <v/>
      </c>
      <c r="U1463">
        <f>IF($T1463=1,COUNTIF($T$9:$T1463,1),"")</f>
        <v/>
      </c>
      <c r="V1463">
        <f>IF(AND(ISTEXT($A1463),LEFT($A1464,3)="Pan"),1,"")</f>
        <v/>
      </c>
    </row>
    <row r="1464">
      <c r="S1464">
        <f>IF(AND(ISTEXT($A1464),ISNUMBER(SEARCH(" - ",$A1464)),ISERROR(SEARCH("Folio",$A1464)),$D1464=""),TRIM($A1464),$S1463)</f>
        <v/>
      </c>
      <c r="T1464">
        <f>IF(AND(ISNUMBER(SEARCH("Folio",$A1464)),$D1464&lt;&gt;""),1,"")</f>
        <v/>
      </c>
      <c r="U1464">
        <f>IF($T1464=1,COUNTIF($T$9:$T1464,1),"")</f>
        <v/>
      </c>
      <c r="V1464">
        <f>IF(AND(ISTEXT($A1464),LEFT($A1465,3)="Pan"),1,"")</f>
        <v/>
      </c>
    </row>
    <row r="1465">
      <c r="S1465">
        <f>IF(AND(ISTEXT($A1465),ISNUMBER(SEARCH(" - ",$A1465)),ISERROR(SEARCH("Folio",$A1465)),$D1465=""),TRIM($A1465),$S1464)</f>
        <v/>
      </c>
      <c r="T1465">
        <f>IF(AND(ISNUMBER(SEARCH("Folio",$A1465)),$D1465&lt;&gt;""),1,"")</f>
        <v/>
      </c>
      <c r="U1465">
        <f>IF($T1465=1,COUNTIF($T$9:$T1465,1),"")</f>
        <v/>
      </c>
      <c r="V1465">
        <f>IF(AND(ISTEXT($A1465),LEFT($A1466,3)="Pan"),1,"")</f>
        <v/>
      </c>
    </row>
    <row r="1466">
      <c r="S1466">
        <f>IF(AND(ISTEXT($A1466),ISNUMBER(SEARCH(" - ",$A1466)),ISERROR(SEARCH("Folio",$A1466)),$D1466=""),TRIM($A1466),$S1465)</f>
        <v/>
      </c>
      <c r="T1466">
        <f>IF(AND(ISNUMBER(SEARCH("Folio",$A1466)),$D1466&lt;&gt;""),1,"")</f>
        <v/>
      </c>
      <c r="U1466">
        <f>IF($T1466=1,COUNTIF($T$9:$T1466,1),"")</f>
        <v/>
      </c>
      <c r="V1466">
        <f>IF(AND(ISTEXT($A1466),LEFT($A1467,3)="Pan"),1,"")</f>
        <v/>
      </c>
    </row>
    <row r="1467">
      <c r="S1467">
        <f>IF(AND(ISTEXT($A1467),ISNUMBER(SEARCH(" - ",$A1467)),ISERROR(SEARCH("Folio",$A1467)),$D1467=""),TRIM($A1467),$S1466)</f>
        <v/>
      </c>
      <c r="T1467">
        <f>IF(AND(ISNUMBER(SEARCH("Folio",$A1467)),$D1467&lt;&gt;""),1,"")</f>
        <v/>
      </c>
      <c r="U1467">
        <f>IF($T1467=1,COUNTIF($T$9:$T1467,1),"")</f>
        <v/>
      </c>
      <c r="V1467">
        <f>IF(AND(ISTEXT($A1467),LEFT($A1468,3)="Pan"),1,"")</f>
        <v/>
      </c>
    </row>
    <row r="1468">
      <c r="S1468">
        <f>IF(AND(ISTEXT($A1468),ISNUMBER(SEARCH(" - ",$A1468)),ISERROR(SEARCH("Folio",$A1468)),$D1468=""),TRIM($A1468),$S1467)</f>
        <v/>
      </c>
      <c r="T1468">
        <f>IF(AND(ISNUMBER(SEARCH("Folio",$A1468)),$D1468&lt;&gt;""),1,"")</f>
        <v/>
      </c>
      <c r="U1468">
        <f>IF($T1468=1,COUNTIF($T$9:$T1468,1),"")</f>
        <v/>
      </c>
      <c r="V1468">
        <f>IF(AND(ISTEXT($A1468),LEFT($A1469,3)="Pan"),1,"")</f>
        <v/>
      </c>
    </row>
    <row r="1469">
      <c r="S1469">
        <f>IF(AND(ISTEXT($A1469),ISNUMBER(SEARCH(" - ",$A1469)),ISERROR(SEARCH("Folio",$A1469)),$D1469=""),TRIM($A1469),$S1468)</f>
        <v/>
      </c>
      <c r="T1469">
        <f>IF(AND(ISNUMBER(SEARCH("Folio",$A1469)),$D1469&lt;&gt;""),1,"")</f>
        <v/>
      </c>
      <c r="U1469">
        <f>IF($T1469=1,COUNTIF($T$9:$T1469,1),"")</f>
        <v/>
      </c>
      <c r="V1469">
        <f>IF(AND(ISTEXT($A1469),LEFT($A1470,3)="Pan"),1,"")</f>
        <v/>
      </c>
    </row>
    <row r="1470">
      <c r="S1470">
        <f>IF(AND(ISTEXT($A1470),ISNUMBER(SEARCH(" - ",$A1470)),ISERROR(SEARCH("Folio",$A1470)),$D1470=""),TRIM($A1470),$S1469)</f>
        <v/>
      </c>
      <c r="T1470">
        <f>IF(AND(ISNUMBER(SEARCH("Folio",$A1470)),$D1470&lt;&gt;""),1,"")</f>
        <v/>
      </c>
      <c r="U1470">
        <f>IF($T1470=1,COUNTIF($T$9:$T1470,1),"")</f>
        <v/>
      </c>
      <c r="V1470">
        <f>IF(AND(ISTEXT($A1470),LEFT($A1471,3)="Pan"),1,"")</f>
        <v/>
      </c>
    </row>
    <row r="1471">
      <c r="S1471">
        <f>IF(AND(ISTEXT($A1471),ISNUMBER(SEARCH(" - ",$A1471)),ISERROR(SEARCH("Folio",$A1471)),$D1471=""),TRIM($A1471),$S1470)</f>
        <v/>
      </c>
      <c r="T1471">
        <f>IF(AND(ISNUMBER(SEARCH("Folio",$A1471)),$D1471&lt;&gt;""),1,"")</f>
        <v/>
      </c>
      <c r="U1471">
        <f>IF($T1471=1,COUNTIF($T$9:$T1471,1),"")</f>
        <v/>
      </c>
      <c r="V1471">
        <f>IF(AND(ISTEXT($A1471),LEFT($A1472,3)="Pan"),1,"")</f>
        <v/>
      </c>
    </row>
    <row r="1472">
      <c r="S1472">
        <f>IF(AND(ISTEXT($A1472),ISNUMBER(SEARCH(" - ",$A1472)),ISERROR(SEARCH("Folio",$A1472)),$D1472=""),TRIM($A1472),$S1471)</f>
        <v/>
      </c>
      <c r="T1472">
        <f>IF(AND(ISNUMBER(SEARCH("Folio",$A1472)),$D1472&lt;&gt;""),1,"")</f>
        <v/>
      </c>
      <c r="U1472">
        <f>IF($T1472=1,COUNTIF($T$9:$T1472,1),"")</f>
        <v/>
      </c>
      <c r="V1472">
        <f>IF(AND(ISTEXT($A1472),LEFT($A1473,3)="Pan"),1,"")</f>
        <v/>
      </c>
    </row>
    <row r="1473">
      <c r="S1473">
        <f>IF(AND(ISTEXT($A1473),ISNUMBER(SEARCH(" - ",$A1473)),ISERROR(SEARCH("Folio",$A1473)),$D1473=""),TRIM($A1473),$S1472)</f>
        <v/>
      </c>
      <c r="T1473">
        <f>IF(AND(ISNUMBER(SEARCH("Folio",$A1473)),$D1473&lt;&gt;""),1,"")</f>
        <v/>
      </c>
      <c r="U1473">
        <f>IF($T1473=1,COUNTIF($T$9:$T1473,1),"")</f>
        <v/>
      </c>
      <c r="V1473">
        <f>IF(AND(ISTEXT($A1473),LEFT($A1474,3)="Pan"),1,"")</f>
        <v/>
      </c>
    </row>
    <row r="1474">
      <c r="S1474">
        <f>IF(AND(ISTEXT($A1474),ISNUMBER(SEARCH(" - ",$A1474)),ISERROR(SEARCH("Folio",$A1474)),$D1474=""),TRIM($A1474),$S1473)</f>
        <v/>
      </c>
      <c r="T1474">
        <f>IF(AND(ISNUMBER(SEARCH("Folio",$A1474)),$D1474&lt;&gt;""),1,"")</f>
        <v/>
      </c>
      <c r="U1474">
        <f>IF($T1474=1,COUNTIF($T$9:$T1474,1),"")</f>
        <v/>
      </c>
      <c r="V1474">
        <f>IF(AND(ISTEXT($A1474),LEFT($A1475,3)="Pan"),1,"")</f>
        <v/>
      </c>
    </row>
    <row r="1475">
      <c r="S1475">
        <f>IF(AND(ISTEXT($A1475),ISNUMBER(SEARCH(" - ",$A1475)),ISERROR(SEARCH("Folio",$A1475)),$D1475=""),TRIM($A1475),$S1474)</f>
        <v/>
      </c>
      <c r="T1475">
        <f>IF(AND(ISNUMBER(SEARCH("Folio",$A1475)),$D1475&lt;&gt;""),1,"")</f>
        <v/>
      </c>
      <c r="U1475">
        <f>IF($T1475=1,COUNTIF($T$9:$T1475,1),"")</f>
        <v/>
      </c>
      <c r="V1475">
        <f>IF(AND(ISTEXT($A1475),LEFT($A1476,3)="Pan"),1,"")</f>
        <v/>
      </c>
    </row>
    <row r="1476">
      <c r="S1476">
        <f>IF(AND(ISTEXT($A1476),ISNUMBER(SEARCH(" - ",$A1476)),ISERROR(SEARCH("Folio",$A1476)),$D1476=""),TRIM($A1476),$S1475)</f>
        <v/>
      </c>
      <c r="T1476">
        <f>IF(AND(ISNUMBER(SEARCH("Folio",$A1476)),$D1476&lt;&gt;""),1,"")</f>
        <v/>
      </c>
      <c r="U1476">
        <f>IF($T1476=1,COUNTIF($T$9:$T1476,1),"")</f>
        <v/>
      </c>
      <c r="V1476">
        <f>IF(AND(ISTEXT($A1476),LEFT($A1477,3)="Pan"),1,"")</f>
        <v/>
      </c>
    </row>
    <row r="1477">
      <c r="S1477">
        <f>IF(AND(ISTEXT($A1477),ISNUMBER(SEARCH(" - ",$A1477)),ISERROR(SEARCH("Folio",$A1477)),$D1477=""),TRIM($A1477),$S1476)</f>
        <v/>
      </c>
      <c r="T1477">
        <f>IF(AND(ISNUMBER(SEARCH("Folio",$A1477)),$D1477&lt;&gt;""),1,"")</f>
        <v/>
      </c>
      <c r="U1477">
        <f>IF($T1477=1,COUNTIF($T$9:$T1477,1),"")</f>
        <v/>
      </c>
      <c r="V1477">
        <f>IF(AND(ISTEXT($A1477),LEFT($A1478,3)="Pan"),1,"")</f>
        <v/>
      </c>
    </row>
    <row r="1478">
      <c r="S1478">
        <f>IF(AND(ISTEXT($A1478),ISNUMBER(SEARCH(" - ",$A1478)),ISERROR(SEARCH("Folio",$A1478)),$D1478=""),TRIM($A1478),$S1477)</f>
        <v/>
      </c>
      <c r="T1478">
        <f>IF(AND(ISNUMBER(SEARCH("Folio",$A1478)),$D1478&lt;&gt;""),1,"")</f>
        <v/>
      </c>
      <c r="U1478">
        <f>IF($T1478=1,COUNTIF($T$9:$T1478,1),"")</f>
        <v/>
      </c>
      <c r="V1478">
        <f>IF(AND(ISTEXT($A1478),LEFT($A1479,3)="Pan"),1,"")</f>
        <v/>
      </c>
    </row>
    <row r="1479">
      <c r="S1479">
        <f>IF(AND(ISTEXT($A1479),ISNUMBER(SEARCH(" - ",$A1479)),ISERROR(SEARCH("Folio",$A1479)),$D1479=""),TRIM($A1479),$S1478)</f>
        <v/>
      </c>
      <c r="T1479">
        <f>IF(AND(ISNUMBER(SEARCH("Folio",$A1479)),$D1479&lt;&gt;""),1,"")</f>
        <v/>
      </c>
      <c r="U1479">
        <f>IF($T1479=1,COUNTIF($T$9:$T1479,1),"")</f>
        <v/>
      </c>
      <c r="V1479">
        <f>IF(AND(ISTEXT($A1479),LEFT($A1480,3)="Pan"),1,"")</f>
        <v/>
      </c>
    </row>
    <row r="1480">
      <c r="S1480">
        <f>IF(AND(ISTEXT($A1480),ISNUMBER(SEARCH(" - ",$A1480)),ISERROR(SEARCH("Folio",$A1480)),$D1480=""),TRIM($A1480),$S1479)</f>
        <v/>
      </c>
      <c r="T1480">
        <f>IF(AND(ISNUMBER(SEARCH("Folio",$A1480)),$D1480&lt;&gt;""),1,"")</f>
        <v/>
      </c>
      <c r="U1480">
        <f>IF($T1480=1,COUNTIF($T$9:$T1480,1),"")</f>
        <v/>
      </c>
      <c r="V1480">
        <f>IF(AND(ISTEXT($A1480),LEFT($A1481,3)="Pan"),1,"")</f>
        <v/>
      </c>
    </row>
    <row r="1481">
      <c r="S1481">
        <f>IF(AND(ISTEXT($A1481),ISNUMBER(SEARCH(" - ",$A1481)),ISERROR(SEARCH("Folio",$A1481)),$D1481=""),TRIM($A1481),$S1480)</f>
        <v/>
      </c>
      <c r="T1481">
        <f>IF(AND(ISNUMBER(SEARCH("Folio",$A1481)),$D1481&lt;&gt;""),1,"")</f>
        <v/>
      </c>
      <c r="U1481">
        <f>IF($T1481=1,COUNTIF($T$9:$T1481,1),"")</f>
        <v/>
      </c>
      <c r="V1481">
        <f>IF(AND(ISTEXT($A1481),LEFT($A1482,3)="Pan"),1,"")</f>
        <v/>
      </c>
    </row>
    <row r="1482">
      <c r="S1482">
        <f>IF(AND(ISTEXT($A1482),ISNUMBER(SEARCH(" - ",$A1482)),ISERROR(SEARCH("Folio",$A1482)),$D1482=""),TRIM($A1482),$S1481)</f>
        <v/>
      </c>
      <c r="T1482">
        <f>IF(AND(ISNUMBER(SEARCH("Folio",$A1482)),$D1482&lt;&gt;""),1,"")</f>
        <v/>
      </c>
      <c r="U1482">
        <f>IF($T1482=1,COUNTIF($T$9:$T1482,1),"")</f>
        <v/>
      </c>
      <c r="V1482">
        <f>IF(AND(ISTEXT($A1482),LEFT($A1483,3)="Pan"),1,"")</f>
        <v/>
      </c>
    </row>
    <row r="1483">
      <c r="S1483">
        <f>IF(AND(ISTEXT($A1483),ISNUMBER(SEARCH(" - ",$A1483)),ISERROR(SEARCH("Folio",$A1483)),$D1483=""),TRIM($A1483),$S1482)</f>
        <v/>
      </c>
      <c r="T1483">
        <f>IF(AND(ISNUMBER(SEARCH("Folio",$A1483)),$D1483&lt;&gt;""),1,"")</f>
        <v/>
      </c>
      <c r="U1483">
        <f>IF($T1483=1,COUNTIF($T$9:$T1483,1),"")</f>
        <v/>
      </c>
      <c r="V1483">
        <f>IF(AND(ISTEXT($A1483),LEFT($A1484,3)="Pan"),1,"")</f>
        <v/>
      </c>
    </row>
    <row r="1484">
      <c r="S1484">
        <f>IF(AND(ISTEXT($A1484),ISNUMBER(SEARCH(" - ",$A1484)),ISERROR(SEARCH("Folio",$A1484)),$D1484=""),TRIM($A1484),$S1483)</f>
        <v/>
      </c>
      <c r="T1484">
        <f>IF(AND(ISNUMBER(SEARCH("Folio",$A1484)),$D1484&lt;&gt;""),1,"")</f>
        <v/>
      </c>
      <c r="U1484">
        <f>IF($T1484=1,COUNTIF($T$9:$T1484,1),"")</f>
        <v/>
      </c>
      <c r="V1484">
        <f>IF(AND(ISTEXT($A1484),LEFT($A1485,3)="Pan"),1,"")</f>
        <v/>
      </c>
    </row>
    <row r="1485">
      <c r="S1485">
        <f>IF(AND(ISTEXT($A1485),ISNUMBER(SEARCH(" - ",$A1485)),ISERROR(SEARCH("Folio",$A1485)),$D1485=""),TRIM($A1485),$S1484)</f>
        <v/>
      </c>
      <c r="T1485">
        <f>IF(AND(ISNUMBER(SEARCH("Folio",$A1485)),$D1485&lt;&gt;""),1,"")</f>
        <v/>
      </c>
      <c r="U1485">
        <f>IF($T1485=1,COUNTIF($T$9:$T1485,1),"")</f>
        <v/>
      </c>
      <c r="V1485">
        <f>IF(AND(ISTEXT($A1485),LEFT($A1486,3)="Pan"),1,"")</f>
        <v/>
      </c>
    </row>
    <row r="1486">
      <c r="S1486">
        <f>IF(AND(ISTEXT($A1486),ISNUMBER(SEARCH(" - ",$A1486)),ISERROR(SEARCH("Folio",$A1486)),$D1486=""),TRIM($A1486),$S1485)</f>
        <v/>
      </c>
      <c r="T1486">
        <f>IF(AND(ISNUMBER(SEARCH("Folio",$A1486)),$D1486&lt;&gt;""),1,"")</f>
        <v/>
      </c>
      <c r="U1486">
        <f>IF($T1486=1,COUNTIF($T$9:$T1486,1),"")</f>
        <v/>
      </c>
      <c r="V1486">
        <f>IF(AND(ISTEXT($A1486),LEFT($A1487,3)="Pan"),1,"")</f>
        <v/>
      </c>
    </row>
    <row r="1487">
      <c r="S1487">
        <f>IF(AND(ISTEXT($A1487),ISNUMBER(SEARCH(" - ",$A1487)),ISERROR(SEARCH("Folio",$A1487)),$D1487=""),TRIM($A1487),$S1486)</f>
        <v/>
      </c>
      <c r="T1487">
        <f>IF(AND(ISNUMBER(SEARCH("Folio",$A1487)),$D1487&lt;&gt;""),1,"")</f>
        <v/>
      </c>
      <c r="U1487">
        <f>IF($T1487=1,COUNTIF($T$9:$T1487,1),"")</f>
        <v/>
      </c>
      <c r="V1487">
        <f>IF(AND(ISTEXT($A1487),LEFT($A1488,3)="Pan"),1,"")</f>
        <v/>
      </c>
    </row>
    <row r="1488">
      <c r="S1488">
        <f>IF(AND(ISTEXT($A1488),ISNUMBER(SEARCH(" - ",$A1488)),ISERROR(SEARCH("Folio",$A1488)),$D1488=""),TRIM($A1488),$S1487)</f>
        <v/>
      </c>
      <c r="T1488">
        <f>IF(AND(ISNUMBER(SEARCH("Folio",$A1488)),$D1488&lt;&gt;""),1,"")</f>
        <v/>
      </c>
      <c r="U1488">
        <f>IF($T1488=1,COUNTIF($T$9:$T1488,1),"")</f>
        <v/>
      </c>
      <c r="V1488">
        <f>IF(AND(ISTEXT($A1488),LEFT($A1489,3)="Pan"),1,"")</f>
        <v/>
      </c>
    </row>
    <row r="1489">
      <c r="S1489">
        <f>IF(AND(ISTEXT($A1489),ISNUMBER(SEARCH(" - ",$A1489)),ISERROR(SEARCH("Folio",$A1489)),$D1489=""),TRIM($A1489),$S1488)</f>
        <v/>
      </c>
      <c r="T1489">
        <f>IF(AND(ISNUMBER(SEARCH("Folio",$A1489)),$D1489&lt;&gt;""),1,"")</f>
        <v/>
      </c>
      <c r="U1489">
        <f>IF($T1489=1,COUNTIF($T$9:$T1489,1),"")</f>
        <v/>
      </c>
      <c r="V1489">
        <f>IF(AND(ISTEXT($A1489),LEFT($A1490,3)="Pan"),1,"")</f>
        <v/>
      </c>
    </row>
    <row r="1490">
      <c r="S1490">
        <f>IF(AND(ISTEXT($A1490),ISNUMBER(SEARCH(" - ",$A1490)),ISERROR(SEARCH("Folio",$A1490)),$D1490=""),TRIM($A1490),$S1489)</f>
        <v/>
      </c>
      <c r="T1490">
        <f>IF(AND(ISNUMBER(SEARCH("Folio",$A1490)),$D1490&lt;&gt;""),1,"")</f>
        <v/>
      </c>
      <c r="U1490">
        <f>IF($T1490=1,COUNTIF($T$9:$T1490,1),"")</f>
        <v/>
      </c>
      <c r="V1490">
        <f>IF(AND(ISTEXT($A1490),LEFT($A1491,3)="Pan"),1,"")</f>
        <v/>
      </c>
    </row>
    <row r="1491">
      <c r="S1491">
        <f>IF(AND(ISTEXT($A1491),ISNUMBER(SEARCH(" - ",$A1491)),ISERROR(SEARCH("Folio",$A1491)),$D1491=""),TRIM($A1491),$S1490)</f>
        <v/>
      </c>
      <c r="T1491">
        <f>IF(AND(ISNUMBER(SEARCH("Folio",$A1491)),$D1491&lt;&gt;""),1,"")</f>
        <v/>
      </c>
      <c r="U1491">
        <f>IF($T1491=1,COUNTIF($T$9:$T1491,1),"")</f>
        <v/>
      </c>
      <c r="V1491">
        <f>IF(AND(ISTEXT($A1491),LEFT($A1492,3)="Pan"),1,"")</f>
        <v/>
      </c>
    </row>
    <row r="1492">
      <c r="S1492">
        <f>IF(AND(ISTEXT($A1492),ISNUMBER(SEARCH(" - ",$A1492)),ISERROR(SEARCH("Folio",$A1492)),$D1492=""),TRIM($A1492),$S1491)</f>
        <v/>
      </c>
      <c r="T1492">
        <f>IF(AND(ISNUMBER(SEARCH("Folio",$A1492)),$D1492&lt;&gt;""),1,"")</f>
        <v/>
      </c>
      <c r="U1492">
        <f>IF($T1492=1,COUNTIF($T$9:$T1492,1),"")</f>
        <v/>
      </c>
      <c r="V1492">
        <f>IF(AND(ISTEXT($A1492),LEFT($A1493,3)="Pan"),1,"")</f>
        <v/>
      </c>
    </row>
    <row r="1493">
      <c r="S1493">
        <f>IF(AND(ISTEXT($A1493),ISNUMBER(SEARCH(" - ",$A1493)),ISERROR(SEARCH("Folio",$A1493)),$D1493=""),TRIM($A1493),$S1492)</f>
        <v/>
      </c>
      <c r="T1493">
        <f>IF(AND(ISNUMBER(SEARCH("Folio",$A1493)),$D1493&lt;&gt;""),1,"")</f>
        <v/>
      </c>
      <c r="U1493">
        <f>IF($T1493=1,COUNTIF($T$9:$T1493,1),"")</f>
        <v/>
      </c>
      <c r="V1493">
        <f>IF(AND(ISTEXT($A1493),LEFT($A1494,3)="Pan"),1,"")</f>
        <v/>
      </c>
    </row>
    <row r="1494">
      <c r="S1494">
        <f>IF(AND(ISTEXT($A1494),ISNUMBER(SEARCH(" - ",$A1494)),ISERROR(SEARCH("Folio",$A1494)),$D1494=""),TRIM($A1494),$S1493)</f>
        <v/>
      </c>
      <c r="T1494">
        <f>IF(AND(ISNUMBER(SEARCH("Folio",$A1494)),$D1494&lt;&gt;""),1,"")</f>
        <v/>
      </c>
      <c r="U1494">
        <f>IF($T1494=1,COUNTIF($T$9:$T1494,1),"")</f>
        <v/>
      </c>
      <c r="V1494">
        <f>IF(AND(ISTEXT($A1494),LEFT($A1495,3)="Pan"),1,"")</f>
        <v/>
      </c>
    </row>
    <row r="1495">
      <c r="S1495">
        <f>IF(AND(ISTEXT($A1495),ISNUMBER(SEARCH(" - ",$A1495)),ISERROR(SEARCH("Folio",$A1495)),$D1495=""),TRIM($A1495),$S1494)</f>
        <v/>
      </c>
      <c r="T1495">
        <f>IF(AND(ISNUMBER(SEARCH("Folio",$A1495)),$D1495&lt;&gt;""),1,"")</f>
        <v/>
      </c>
      <c r="U1495">
        <f>IF($T1495=1,COUNTIF($T$9:$T1495,1),"")</f>
        <v/>
      </c>
      <c r="V1495">
        <f>IF(AND(ISTEXT($A1495),LEFT($A1496,3)="Pan"),1,"")</f>
        <v/>
      </c>
    </row>
    <row r="1496">
      <c r="S1496">
        <f>IF(AND(ISTEXT($A1496),ISNUMBER(SEARCH(" - ",$A1496)),ISERROR(SEARCH("Folio",$A1496)),$D1496=""),TRIM($A1496),$S1495)</f>
        <v/>
      </c>
      <c r="T1496">
        <f>IF(AND(ISNUMBER(SEARCH("Folio",$A1496)),$D1496&lt;&gt;""),1,"")</f>
        <v/>
      </c>
      <c r="U1496">
        <f>IF($T1496=1,COUNTIF($T$9:$T1496,1),"")</f>
        <v/>
      </c>
      <c r="V1496">
        <f>IF(AND(ISTEXT($A1496),LEFT($A1497,3)="Pan"),1,"")</f>
        <v/>
      </c>
    </row>
    <row r="1497">
      <c r="S1497">
        <f>IF(AND(ISTEXT($A1497),ISNUMBER(SEARCH(" - ",$A1497)),ISERROR(SEARCH("Folio",$A1497)),$D1497=""),TRIM($A1497),$S1496)</f>
        <v/>
      </c>
      <c r="T1497">
        <f>IF(AND(ISNUMBER(SEARCH("Folio",$A1497)),$D1497&lt;&gt;""),1,"")</f>
        <v/>
      </c>
      <c r="U1497">
        <f>IF($T1497=1,COUNTIF($T$9:$T1497,1),"")</f>
        <v/>
      </c>
      <c r="V1497">
        <f>IF(AND(ISTEXT($A1497),LEFT($A1498,3)="Pan"),1,"")</f>
        <v/>
      </c>
    </row>
    <row r="1498">
      <c r="S1498">
        <f>IF(AND(ISTEXT($A1498),ISNUMBER(SEARCH(" - ",$A1498)),ISERROR(SEARCH("Folio",$A1498)),$D1498=""),TRIM($A1498),$S1497)</f>
        <v/>
      </c>
      <c r="T1498">
        <f>IF(AND(ISNUMBER(SEARCH("Folio",$A1498)),$D1498&lt;&gt;""),1,"")</f>
        <v/>
      </c>
      <c r="U1498">
        <f>IF($T1498=1,COUNTIF($T$9:$T1498,1),"")</f>
        <v/>
      </c>
      <c r="V1498">
        <f>IF(AND(ISTEXT($A1498),LEFT($A1499,3)="Pan"),1,"")</f>
        <v/>
      </c>
    </row>
    <row r="1499">
      <c r="S1499">
        <f>IF(AND(ISTEXT($A1499),ISNUMBER(SEARCH(" - ",$A1499)),ISERROR(SEARCH("Folio",$A1499)),$D1499=""),TRIM($A1499),$S1498)</f>
        <v/>
      </c>
      <c r="T1499">
        <f>IF(AND(ISNUMBER(SEARCH("Folio",$A1499)),$D1499&lt;&gt;""),1,"")</f>
        <v/>
      </c>
      <c r="U1499">
        <f>IF($T1499=1,COUNTIF($T$9:$T1499,1),"")</f>
        <v/>
      </c>
      <c r="V1499">
        <f>IF(AND(ISTEXT($A1499),LEFT($A1500,3)="Pan"),1,"")</f>
        <v/>
      </c>
    </row>
    <row r="1500">
      <c r="S1500">
        <f>IF(AND(ISTEXT($A1500),ISNUMBER(SEARCH(" - ",$A1500)),ISERROR(SEARCH("Folio",$A1500)),$D1500=""),TRIM($A1500),$S1499)</f>
        <v/>
      </c>
      <c r="T1500">
        <f>IF(AND(ISNUMBER(SEARCH("Folio",$A1500)),$D1500&lt;&gt;""),1,"")</f>
        <v/>
      </c>
      <c r="U1500">
        <f>IF($T1500=1,COUNTIF($T$9:$T1500,1),"")</f>
        <v/>
      </c>
      <c r="V1500">
        <f>IF(AND(ISTEXT($A1500),LEFT($A1501,3)="Pan"),1,"")</f>
        <v/>
      </c>
    </row>
    <row r="1501">
      <c r="S1501">
        <f>IF(AND(ISTEXT($A1501),ISNUMBER(SEARCH(" - ",$A1501)),ISERROR(SEARCH("Folio",$A1501)),$D1501=""),TRIM($A1501),$S1500)</f>
        <v/>
      </c>
      <c r="T1501">
        <f>IF(AND(ISNUMBER(SEARCH("Folio",$A1501)),$D1501&lt;&gt;""),1,"")</f>
        <v/>
      </c>
      <c r="U1501">
        <f>IF($T1501=1,COUNTIF($T$9:$T1501,1),"")</f>
        <v/>
      </c>
      <c r="V1501">
        <f>IF(AND(ISTEXT($A1501),LEFT($A1502,3)="Pan"),1,"")</f>
        <v/>
      </c>
    </row>
    <row r="1502">
      <c r="S1502">
        <f>IF(AND(ISTEXT($A1502),ISNUMBER(SEARCH(" - ",$A1502)),ISERROR(SEARCH("Folio",$A1502)),$D1502=""),TRIM($A1502),$S1501)</f>
        <v/>
      </c>
      <c r="T1502">
        <f>IF(AND(ISNUMBER(SEARCH("Folio",$A1502)),$D1502&lt;&gt;""),1,"")</f>
        <v/>
      </c>
      <c r="U1502">
        <f>IF($T1502=1,COUNTIF($T$9:$T1502,1),"")</f>
        <v/>
      </c>
      <c r="V1502">
        <f>IF(AND(ISTEXT($A1502),LEFT($A1503,3)="Pan"),1,"")</f>
        <v/>
      </c>
    </row>
    <row r="1503">
      <c r="S1503">
        <f>IF(AND(ISTEXT($A1503),ISNUMBER(SEARCH(" - ",$A1503)),ISERROR(SEARCH("Folio",$A1503)),$D1503=""),TRIM($A1503),$S1502)</f>
        <v/>
      </c>
      <c r="T1503">
        <f>IF(AND(ISNUMBER(SEARCH("Folio",$A1503)),$D1503&lt;&gt;""),1,"")</f>
        <v/>
      </c>
      <c r="U1503">
        <f>IF($T1503=1,COUNTIF($T$9:$T1503,1),"")</f>
        <v/>
      </c>
      <c r="V1503">
        <f>IF(AND(ISTEXT($A1503),LEFT($A1504,3)="Pan"),1,"")</f>
        <v/>
      </c>
    </row>
    <row r="1504">
      <c r="S1504">
        <f>IF(AND(ISTEXT($A1504),ISNUMBER(SEARCH(" - ",$A1504)),ISERROR(SEARCH("Folio",$A1504)),$D1504=""),TRIM($A1504),$S1503)</f>
        <v/>
      </c>
      <c r="T1504">
        <f>IF(AND(ISNUMBER(SEARCH("Folio",$A1504)),$D1504&lt;&gt;""),1,"")</f>
        <v/>
      </c>
      <c r="U1504">
        <f>IF($T1504=1,COUNTIF($T$9:$T1504,1),"")</f>
        <v/>
      </c>
      <c r="V1504">
        <f>IF(AND(ISTEXT($A1504),LEFT($A1505,3)="Pan"),1,"")</f>
        <v/>
      </c>
    </row>
    <row r="1505">
      <c r="S1505">
        <f>IF(AND(ISTEXT($A1505),ISNUMBER(SEARCH(" - ",$A1505)),ISERROR(SEARCH("Folio",$A1505)),$D1505=""),TRIM($A1505),$S1504)</f>
        <v/>
      </c>
      <c r="T1505">
        <f>IF(AND(ISNUMBER(SEARCH("Folio",$A1505)),$D1505&lt;&gt;""),1,"")</f>
        <v/>
      </c>
      <c r="U1505">
        <f>IF($T1505=1,COUNTIF($T$9:$T1505,1),"")</f>
        <v/>
      </c>
      <c r="V1505">
        <f>IF(AND(ISTEXT($A1505),LEFT($A1506,3)="Pan"),1,"")</f>
        <v/>
      </c>
    </row>
    <row r="1506">
      <c r="S1506">
        <f>IF(AND(ISTEXT($A1506),ISNUMBER(SEARCH(" - ",$A1506)),ISERROR(SEARCH("Folio",$A1506)),$D1506=""),TRIM($A1506),$S1505)</f>
        <v/>
      </c>
      <c r="T1506">
        <f>IF(AND(ISNUMBER(SEARCH("Folio",$A1506)),$D1506&lt;&gt;""),1,"")</f>
        <v/>
      </c>
      <c r="U1506">
        <f>IF($T1506=1,COUNTIF($T$9:$T1506,1),"")</f>
        <v/>
      </c>
      <c r="V1506">
        <f>IF(AND(ISTEXT($A1506),LEFT($A1507,3)="Pan"),1,"")</f>
        <v/>
      </c>
    </row>
    <row r="1507">
      <c r="S1507">
        <f>IF(AND(ISTEXT($A1507),ISNUMBER(SEARCH(" - ",$A1507)),ISERROR(SEARCH("Folio",$A1507)),$D1507=""),TRIM($A1507),$S1506)</f>
        <v/>
      </c>
      <c r="T1507">
        <f>IF(AND(ISNUMBER(SEARCH("Folio",$A1507)),$D1507&lt;&gt;""),1,"")</f>
        <v/>
      </c>
      <c r="U1507">
        <f>IF($T1507=1,COUNTIF($T$9:$T1507,1),"")</f>
        <v/>
      </c>
      <c r="V1507">
        <f>IF(AND(ISTEXT($A1507),LEFT($A1508,3)="Pan"),1,"")</f>
        <v/>
      </c>
    </row>
    <row r="1508">
      <c r="S1508">
        <f>IF(AND(ISTEXT($A1508),ISNUMBER(SEARCH(" - ",$A1508)),ISERROR(SEARCH("Folio",$A1508)),$D1508=""),TRIM($A1508),$S1507)</f>
        <v/>
      </c>
      <c r="T1508">
        <f>IF(AND(ISNUMBER(SEARCH("Folio",$A1508)),$D1508&lt;&gt;""),1,"")</f>
        <v/>
      </c>
      <c r="U1508">
        <f>IF($T1508=1,COUNTIF($T$9:$T1508,1),"")</f>
        <v/>
      </c>
      <c r="V1508">
        <f>IF(AND(ISTEXT($A1508),LEFT($A1509,3)="Pan"),1,"")</f>
        <v/>
      </c>
    </row>
    <row r="1509">
      <c r="S1509">
        <f>IF(AND(ISTEXT($A1509),ISNUMBER(SEARCH(" - ",$A1509)),ISERROR(SEARCH("Folio",$A1509)),$D1509=""),TRIM($A1509),$S1508)</f>
        <v/>
      </c>
      <c r="T1509">
        <f>IF(AND(ISNUMBER(SEARCH("Folio",$A1509)),$D1509&lt;&gt;""),1,"")</f>
        <v/>
      </c>
      <c r="U1509">
        <f>IF($T1509=1,COUNTIF($T$9:$T1509,1),"")</f>
        <v/>
      </c>
      <c r="V1509">
        <f>IF(AND(ISTEXT($A1509),LEFT($A1510,3)="Pan"),1,"")</f>
        <v/>
      </c>
    </row>
    <row r="1510">
      <c r="S1510">
        <f>IF(AND(ISTEXT($A1510),ISNUMBER(SEARCH(" - ",$A1510)),ISERROR(SEARCH("Folio",$A1510)),$D1510=""),TRIM($A1510),$S1509)</f>
        <v/>
      </c>
      <c r="T1510">
        <f>IF(AND(ISNUMBER(SEARCH("Folio",$A1510)),$D1510&lt;&gt;""),1,"")</f>
        <v/>
      </c>
      <c r="U1510">
        <f>IF($T1510=1,COUNTIF($T$9:$T1510,1),"")</f>
        <v/>
      </c>
      <c r="V1510">
        <f>IF(AND(ISTEXT($A1510),LEFT($A1511,3)="Pan"),1,"")</f>
        <v/>
      </c>
    </row>
    <row r="1511">
      <c r="S1511">
        <f>IF(AND(ISTEXT($A1511),ISNUMBER(SEARCH(" - ",$A1511)),ISERROR(SEARCH("Folio",$A1511)),$D1511=""),TRIM($A1511),$S1510)</f>
        <v/>
      </c>
      <c r="T1511">
        <f>IF(AND(ISNUMBER(SEARCH("Folio",$A1511)),$D1511&lt;&gt;""),1,"")</f>
        <v/>
      </c>
      <c r="U1511">
        <f>IF($T1511=1,COUNTIF($T$9:$T1511,1),"")</f>
        <v/>
      </c>
      <c r="V1511">
        <f>IF(AND(ISTEXT($A1511),LEFT($A1512,3)="Pan"),1,"")</f>
        <v/>
      </c>
    </row>
    <row r="1512">
      <c r="S1512">
        <f>IF(AND(ISTEXT($A1512),ISNUMBER(SEARCH(" - ",$A1512)),ISERROR(SEARCH("Folio",$A1512)),$D1512=""),TRIM($A1512),$S1511)</f>
        <v/>
      </c>
      <c r="T1512">
        <f>IF(AND(ISNUMBER(SEARCH("Folio",$A1512)),$D1512&lt;&gt;""),1,"")</f>
        <v/>
      </c>
      <c r="U1512">
        <f>IF($T1512=1,COUNTIF($T$9:$T1512,1),"")</f>
        <v/>
      </c>
      <c r="V1512">
        <f>IF(AND(ISTEXT($A1512),LEFT($A1513,3)="Pan"),1,"")</f>
        <v/>
      </c>
    </row>
    <row r="1513">
      <c r="S1513">
        <f>IF(AND(ISTEXT($A1513),ISNUMBER(SEARCH(" - ",$A1513)),ISERROR(SEARCH("Folio",$A1513)),$D1513=""),TRIM($A1513),$S1512)</f>
        <v/>
      </c>
      <c r="T1513">
        <f>IF(AND(ISNUMBER(SEARCH("Folio",$A1513)),$D1513&lt;&gt;""),1,"")</f>
        <v/>
      </c>
      <c r="U1513">
        <f>IF($T1513=1,COUNTIF($T$9:$T1513,1),"")</f>
        <v/>
      </c>
      <c r="V1513">
        <f>IF(AND(ISTEXT($A1513),LEFT($A1514,3)="Pan"),1,"")</f>
        <v/>
      </c>
    </row>
    <row r="1514">
      <c r="S1514">
        <f>IF(AND(ISTEXT($A1514),ISNUMBER(SEARCH(" - ",$A1514)),ISERROR(SEARCH("Folio",$A1514)),$D1514=""),TRIM($A1514),$S1513)</f>
        <v/>
      </c>
      <c r="T1514">
        <f>IF(AND(ISNUMBER(SEARCH("Folio",$A1514)),$D1514&lt;&gt;""),1,"")</f>
        <v/>
      </c>
      <c r="U1514">
        <f>IF($T1514=1,COUNTIF($T$9:$T1514,1),"")</f>
        <v/>
      </c>
      <c r="V1514">
        <f>IF(AND(ISTEXT($A1514),LEFT($A1515,3)="Pan"),1,"")</f>
        <v/>
      </c>
    </row>
    <row r="1515">
      <c r="S1515">
        <f>IF(AND(ISTEXT($A1515),ISNUMBER(SEARCH(" - ",$A1515)),ISERROR(SEARCH("Folio",$A1515)),$D1515=""),TRIM($A1515),$S1514)</f>
        <v/>
      </c>
      <c r="T1515">
        <f>IF(AND(ISNUMBER(SEARCH("Folio",$A1515)),$D1515&lt;&gt;""),1,"")</f>
        <v/>
      </c>
      <c r="U1515">
        <f>IF($T1515=1,COUNTIF($T$9:$T1515,1),"")</f>
        <v/>
      </c>
      <c r="V1515">
        <f>IF(AND(ISTEXT($A1515),LEFT($A1516,3)="Pan"),1,"")</f>
        <v/>
      </c>
    </row>
    <row r="1516">
      <c r="S1516">
        <f>IF(AND(ISTEXT($A1516),ISNUMBER(SEARCH(" - ",$A1516)),ISERROR(SEARCH("Folio",$A1516)),$D1516=""),TRIM($A1516),$S1515)</f>
        <v/>
      </c>
      <c r="T1516">
        <f>IF(AND(ISNUMBER(SEARCH("Folio",$A1516)),$D1516&lt;&gt;""),1,"")</f>
        <v/>
      </c>
      <c r="U1516">
        <f>IF($T1516=1,COUNTIF($T$9:$T1516,1),"")</f>
        <v/>
      </c>
      <c r="V1516">
        <f>IF(AND(ISTEXT($A1516),LEFT($A1517,3)="Pan"),1,"")</f>
        <v/>
      </c>
    </row>
    <row r="1517">
      <c r="S1517">
        <f>IF(AND(ISTEXT($A1517),ISNUMBER(SEARCH(" - ",$A1517)),ISERROR(SEARCH("Folio",$A1517)),$D1517=""),TRIM($A1517),$S1516)</f>
        <v/>
      </c>
      <c r="T1517">
        <f>IF(AND(ISNUMBER(SEARCH("Folio",$A1517)),$D1517&lt;&gt;""),1,"")</f>
        <v/>
      </c>
      <c r="U1517">
        <f>IF($T1517=1,COUNTIF($T$9:$T1517,1),"")</f>
        <v/>
      </c>
      <c r="V1517">
        <f>IF(AND(ISTEXT($A1517),LEFT($A1518,3)="Pan"),1,"")</f>
        <v/>
      </c>
    </row>
    <row r="1518">
      <c r="S1518">
        <f>IF(AND(ISTEXT($A1518),ISNUMBER(SEARCH(" - ",$A1518)),ISERROR(SEARCH("Folio",$A1518)),$D1518=""),TRIM($A1518),$S1517)</f>
        <v/>
      </c>
      <c r="T1518">
        <f>IF(AND(ISNUMBER(SEARCH("Folio",$A1518)),$D1518&lt;&gt;""),1,"")</f>
        <v/>
      </c>
      <c r="U1518">
        <f>IF($T1518=1,COUNTIF($T$9:$T1518,1),"")</f>
        <v/>
      </c>
      <c r="V1518">
        <f>IF(AND(ISTEXT($A1518),LEFT($A1519,3)="Pan"),1,"")</f>
        <v/>
      </c>
    </row>
    <row r="1519">
      <c r="S1519">
        <f>IF(AND(ISTEXT($A1519),ISNUMBER(SEARCH(" - ",$A1519)),ISERROR(SEARCH("Folio",$A1519)),$D1519=""),TRIM($A1519),$S1518)</f>
        <v/>
      </c>
      <c r="T1519">
        <f>IF(AND(ISNUMBER(SEARCH("Folio",$A1519)),$D1519&lt;&gt;""),1,"")</f>
        <v/>
      </c>
      <c r="U1519">
        <f>IF($T1519=1,COUNTIF($T$9:$T1519,1),"")</f>
        <v/>
      </c>
      <c r="V1519">
        <f>IF(AND(ISTEXT($A1519),LEFT($A1520,3)="Pan"),1,"")</f>
        <v/>
      </c>
    </row>
    <row r="1520">
      <c r="S1520">
        <f>IF(AND(ISTEXT($A1520),ISNUMBER(SEARCH(" - ",$A1520)),ISERROR(SEARCH("Folio",$A1520)),$D1520=""),TRIM($A1520),$S1519)</f>
        <v/>
      </c>
      <c r="T1520">
        <f>IF(AND(ISNUMBER(SEARCH("Folio",$A1520)),$D1520&lt;&gt;""),1,"")</f>
        <v/>
      </c>
      <c r="U1520">
        <f>IF($T1520=1,COUNTIF($T$9:$T1520,1),"")</f>
        <v/>
      </c>
      <c r="V1520">
        <f>IF(AND(ISTEXT($A1520),LEFT($A1521,3)="Pan"),1,"")</f>
        <v/>
      </c>
    </row>
    <row r="1521">
      <c r="S1521">
        <f>IF(AND(ISTEXT($A1521),ISNUMBER(SEARCH(" - ",$A1521)),ISERROR(SEARCH("Folio",$A1521)),$D1521=""),TRIM($A1521),$S1520)</f>
        <v/>
      </c>
      <c r="T1521">
        <f>IF(AND(ISNUMBER(SEARCH("Folio",$A1521)),$D1521&lt;&gt;""),1,"")</f>
        <v/>
      </c>
      <c r="U1521">
        <f>IF($T1521=1,COUNTIF($T$9:$T1521,1),"")</f>
        <v/>
      </c>
      <c r="V1521">
        <f>IF(AND(ISTEXT($A1521),LEFT($A1522,3)="Pan"),1,"")</f>
        <v/>
      </c>
    </row>
    <row r="1522">
      <c r="S1522">
        <f>IF(AND(ISTEXT($A1522),ISNUMBER(SEARCH(" - ",$A1522)),ISERROR(SEARCH("Folio",$A1522)),$D1522=""),TRIM($A1522),$S1521)</f>
        <v/>
      </c>
      <c r="T1522">
        <f>IF(AND(ISNUMBER(SEARCH("Folio",$A1522)),$D1522&lt;&gt;""),1,"")</f>
        <v/>
      </c>
      <c r="U1522">
        <f>IF($T1522=1,COUNTIF($T$9:$T1522,1),"")</f>
        <v/>
      </c>
      <c r="V1522">
        <f>IF(AND(ISTEXT($A1522),LEFT($A1523,3)="Pan"),1,"")</f>
        <v/>
      </c>
    </row>
    <row r="1523">
      <c r="S1523">
        <f>IF(AND(ISTEXT($A1523),ISNUMBER(SEARCH(" - ",$A1523)),ISERROR(SEARCH("Folio",$A1523)),$D1523=""),TRIM($A1523),$S1522)</f>
        <v/>
      </c>
      <c r="T1523">
        <f>IF(AND(ISNUMBER(SEARCH("Folio",$A1523)),$D1523&lt;&gt;""),1,"")</f>
        <v/>
      </c>
      <c r="U1523">
        <f>IF($T1523=1,COUNTIF($T$9:$T1523,1),"")</f>
        <v/>
      </c>
      <c r="V1523">
        <f>IF(AND(ISTEXT($A1523),LEFT($A1524,3)="Pan"),1,"")</f>
        <v/>
      </c>
    </row>
    <row r="1524">
      <c r="S1524">
        <f>IF(AND(ISTEXT($A1524),ISNUMBER(SEARCH(" - ",$A1524)),ISERROR(SEARCH("Folio",$A1524)),$D1524=""),TRIM($A1524),$S1523)</f>
        <v/>
      </c>
      <c r="T1524">
        <f>IF(AND(ISNUMBER(SEARCH("Folio",$A1524)),$D1524&lt;&gt;""),1,"")</f>
        <v/>
      </c>
      <c r="U1524">
        <f>IF($T1524=1,COUNTIF($T$9:$T1524,1),"")</f>
        <v/>
      </c>
      <c r="V1524">
        <f>IF(AND(ISTEXT($A1524),LEFT($A1525,3)="Pan"),1,"")</f>
        <v/>
      </c>
    </row>
    <row r="1525">
      <c r="S1525">
        <f>IF(AND(ISTEXT($A1525),ISNUMBER(SEARCH(" - ",$A1525)),ISERROR(SEARCH("Folio",$A1525)),$D1525=""),TRIM($A1525),$S1524)</f>
        <v/>
      </c>
      <c r="T1525">
        <f>IF(AND(ISNUMBER(SEARCH("Folio",$A1525)),$D1525&lt;&gt;""),1,"")</f>
        <v/>
      </c>
      <c r="U1525">
        <f>IF($T1525=1,COUNTIF($T$9:$T1525,1),"")</f>
        <v/>
      </c>
      <c r="V1525">
        <f>IF(AND(ISTEXT($A1525),LEFT($A1526,3)="Pan"),1,"")</f>
        <v/>
      </c>
    </row>
    <row r="1526">
      <c r="S1526">
        <f>IF(AND(ISTEXT($A1526),ISNUMBER(SEARCH(" - ",$A1526)),ISERROR(SEARCH("Folio",$A1526)),$D1526=""),TRIM($A1526),$S1525)</f>
        <v/>
      </c>
      <c r="T1526">
        <f>IF(AND(ISNUMBER(SEARCH("Folio",$A1526)),$D1526&lt;&gt;""),1,"")</f>
        <v/>
      </c>
      <c r="U1526">
        <f>IF($T1526=1,COUNTIF($T$9:$T1526,1),"")</f>
        <v/>
      </c>
      <c r="V1526">
        <f>IF(AND(ISTEXT($A1526),LEFT($A1527,3)="Pan"),1,"")</f>
        <v/>
      </c>
    </row>
    <row r="1527">
      <c r="S1527">
        <f>IF(AND(ISTEXT($A1527),ISNUMBER(SEARCH(" - ",$A1527)),ISERROR(SEARCH("Folio",$A1527)),$D1527=""),TRIM($A1527),$S1526)</f>
        <v/>
      </c>
      <c r="T1527">
        <f>IF(AND(ISNUMBER(SEARCH("Folio",$A1527)),$D1527&lt;&gt;""),1,"")</f>
        <v/>
      </c>
      <c r="U1527">
        <f>IF($T1527=1,COUNTIF($T$9:$T1527,1),"")</f>
        <v/>
      </c>
      <c r="V1527">
        <f>IF(AND(ISTEXT($A1527),LEFT($A1528,3)="Pan"),1,"")</f>
        <v/>
      </c>
    </row>
    <row r="1528">
      <c r="S1528">
        <f>IF(AND(ISTEXT($A1528),ISNUMBER(SEARCH(" - ",$A1528)),ISERROR(SEARCH("Folio",$A1528)),$D1528=""),TRIM($A1528),$S1527)</f>
        <v/>
      </c>
      <c r="T1528">
        <f>IF(AND(ISNUMBER(SEARCH("Folio",$A1528)),$D1528&lt;&gt;""),1,"")</f>
        <v/>
      </c>
      <c r="U1528">
        <f>IF($T1528=1,COUNTIF($T$9:$T1528,1),"")</f>
        <v/>
      </c>
      <c r="V1528">
        <f>IF(AND(ISTEXT($A1528),LEFT($A1529,3)="Pan"),1,"")</f>
        <v/>
      </c>
    </row>
    <row r="1529">
      <c r="S1529">
        <f>IF(AND(ISTEXT($A1529),ISNUMBER(SEARCH(" - ",$A1529)),ISERROR(SEARCH("Folio",$A1529)),$D1529=""),TRIM($A1529),$S1528)</f>
        <v/>
      </c>
      <c r="T1529">
        <f>IF(AND(ISNUMBER(SEARCH("Folio",$A1529)),$D1529&lt;&gt;""),1,"")</f>
        <v/>
      </c>
      <c r="U1529">
        <f>IF($T1529=1,COUNTIF($T$9:$T1529,1),"")</f>
        <v/>
      </c>
      <c r="V1529">
        <f>IF(AND(ISTEXT($A1529),LEFT($A1530,3)="Pan"),1,"")</f>
        <v/>
      </c>
    </row>
    <row r="1530">
      <c r="S1530">
        <f>IF(AND(ISTEXT($A1530),ISNUMBER(SEARCH(" - ",$A1530)),ISERROR(SEARCH("Folio",$A1530)),$D1530=""),TRIM($A1530),$S1529)</f>
        <v/>
      </c>
      <c r="T1530">
        <f>IF(AND(ISNUMBER(SEARCH("Folio",$A1530)),$D1530&lt;&gt;""),1,"")</f>
        <v/>
      </c>
      <c r="U1530">
        <f>IF($T1530=1,COUNTIF($T$9:$T1530,1),"")</f>
        <v/>
      </c>
      <c r="V1530">
        <f>IF(AND(ISTEXT($A1530),LEFT($A1531,3)="Pan"),1,"")</f>
        <v/>
      </c>
    </row>
    <row r="1531">
      <c r="S1531">
        <f>IF(AND(ISTEXT($A1531),ISNUMBER(SEARCH(" - ",$A1531)),ISERROR(SEARCH("Folio",$A1531)),$D1531=""),TRIM($A1531),$S1530)</f>
        <v/>
      </c>
      <c r="T1531">
        <f>IF(AND(ISNUMBER(SEARCH("Folio",$A1531)),$D1531&lt;&gt;""),1,"")</f>
        <v/>
      </c>
      <c r="U1531">
        <f>IF($T1531=1,COUNTIF($T$9:$T1531,1),"")</f>
        <v/>
      </c>
      <c r="V1531">
        <f>IF(AND(ISTEXT($A1531),LEFT($A1532,3)="Pan"),1,"")</f>
        <v/>
      </c>
    </row>
    <row r="1532">
      <c r="S1532">
        <f>IF(AND(ISTEXT($A1532),ISNUMBER(SEARCH(" - ",$A1532)),ISERROR(SEARCH("Folio",$A1532)),$D1532=""),TRIM($A1532),$S1531)</f>
        <v/>
      </c>
      <c r="T1532">
        <f>IF(AND(ISNUMBER(SEARCH("Folio",$A1532)),$D1532&lt;&gt;""),1,"")</f>
        <v/>
      </c>
      <c r="U1532">
        <f>IF($T1532=1,COUNTIF($T$9:$T1532,1),"")</f>
        <v/>
      </c>
      <c r="V1532">
        <f>IF(AND(ISTEXT($A1532),LEFT($A1533,3)="Pan"),1,"")</f>
        <v/>
      </c>
    </row>
    <row r="1533">
      <c r="S1533">
        <f>IF(AND(ISTEXT($A1533),ISNUMBER(SEARCH(" - ",$A1533)),ISERROR(SEARCH("Folio",$A1533)),$D1533=""),TRIM($A1533),$S1532)</f>
        <v/>
      </c>
      <c r="T1533">
        <f>IF(AND(ISNUMBER(SEARCH("Folio",$A1533)),$D1533&lt;&gt;""),1,"")</f>
        <v/>
      </c>
      <c r="U1533">
        <f>IF($T1533=1,COUNTIF($T$9:$T1533,1),"")</f>
        <v/>
      </c>
      <c r="V1533">
        <f>IF(AND(ISTEXT($A1533),LEFT($A1534,3)="Pan"),1,"")</f>
        <v/>
      </c>
    </row>
    <row r="1534">
      <c r="S1534">
        <f>IF(AND(ISTEXT($A1534),ISNUMBER(SEARCH(" - ",$A1534)),ISERROR(SEARCH("Folio",$A1534)),$D1534=""),TRIM($A1534),$S1533)</f>
        <v/>
      </c>
      <c r="T1534">
        <f>IF(AND(ISNUMBER(SEARCH("Folio",$A1534)),$D1534&lt;&gt;""),1,"")</f>
        <v/>
      </c>
      <c r="U1534">
        <f>IF($T1534=1,COUNTIF($T$9:$T1534,1),"")</f>
        <v/>
      </c>
      <c r="V1534">
        <f>IF(AND(ISTEXT($A1534),LEFT($A1535,3)="Pan"),1,"")</f>
        <v/>
      </c>
    </row>
    <row r="1535">
      <c r="S1535">
        <f>IF(AND(ISTEXT($A1535),ISNUMBER(SEARCH(" - ",$A1535)),ISERROR(SEARCH("Folio",$A1535)),$D1535=""),TRIM($A1535),$S1534)</f>
        <v/>
      </c>
      <c r="T1535">
        <f>IF(AND(ISNUMBER(SEARCH("Folio",$A1535)),$D1535&lt;&gt;""),1,"")</f>
        <v/>
      </c>
      <c r="U1535">
        <f>IF($T1535=1,COUNTIF($T$9:$T1535,1),"")</f>
        <v/>
      </c>
      <c r="V1535">
        <f>IF(AND(ISTEXT($A1535),LEFT($A1536,3)="Pan"),1,"")</f>
        <v/>
      </c>
    </row>
    <row r="1536">
      <c r="S1536">
        <f>IF(AND(ISTEXT($A1536),ISNUMBER(SEARCH(" - ",$A1536)),ISERROR(SEARCH("Folio",$A1536)),$D1536=""),TRIM($A1536),$S1535)</f>
        <v/>
      </c>
      <c r="T1536">
        <f>IF(AND(ISNUMBER(SEARCH("Folio",$A1536)),$D1536&lt;&gt;""),1,"")</f>
        <v/>
      </c>
      <c r="U1536">
        <f>IF($T1536=1,COUNTIF($T$9:$T1536,1),"")</f>
        <v/>
      </c>
      <c r="V1536">
        <f>IF(AND(ISTEXT($A1536),LEFT($A1537,3)="Pan"),1,"")</f>
        <v/>
      </c>
    </row>
    <row r="1537">
      <c r="S1537">
        <f>IF(AND(ISTEXT($A1537),ISNUMBER(SEARCH(" - ",$A1537)),ISERROR(SEARCH("Folio",$A1537)),$D1537=""),TRIM($A1537),$S1536)</f>
        <v/>
      </c>
      <c r="T1537">
        <f>IF(AND(ISNUMBER(SEARCH("Folio",$A1537)),$D1537&lt;&gt;""),1,"")</f>
        <v/>
      </c>
      <c r="U1537">
        <f>IF($T1537=1,COUNTIF($T$9:$T1537,1),"")</f>
        <v/>
      </c>
      <c r="V1537">
        <f>IF(AND(ISTEXT($A1537),LEFT($A1538,3)="Pan"),1,"")</f>
        <v/>
      </c>
    </row>
    <row r="1538">
      <c r="S1538">
        <f>IF(AND(ISTEXT($A1538),ISNUMBER(SEARCH(" - ",$A1538)),ISERROR(SEARCH("Folio",$A1538)),$D1538=""),TRIM($A1538),$S1537)</f>
        <v/>
      </c>
      <c r="T1538">
        <f>IF(AND(ISNUMBER(SEARCH("Folio",$A1538)),$D1538&lt;&gt;""),1,"")</f>
        <v/>
      </c>
      <c r="U1538">
        <f>IF($T1538=1,COUNTIF($T$9:$T1538,1),"")</f>
        <v/>
      </c>
      <c r="V1538">
        <f>IF(AND(ISTEXT($A1538),LEFT($A1539,3)="Pan"),1,"")</f>
        <v/>
      </c>
    </row>
    <row r="1539">
      <c r="S1539">
        <f>IF(AND(ISTEXT($A1539),ISNUMBER(SEARCH(" - ",$A1539)),ISERROR(SEARCH("Folio",$A1539)),$D1539=""),TRIM($A1539),$S1538)</f>
        <v/>
      </c>
      <c r="T1539">
        <f>IF(AND(ISNUMBER(SEARCH("Folio",$A1539)),$D1539&lt;&gt;""),1,"")</f>
        <v/>
      </c>
      <c r="U1539">
        <f>IF($T1539=1,COUNTIF($T$9:$T1539,1),"")</f>
        <v/>
      </c>
      <c r="V1539">
        <f>IF(AND(ISTEXT($A1539),LEFT($A1540,3)="Pan"),1,"")</f>
        <v/>
      </c>
    </row>
    <row r="1540">
      <c r="S1540">
        <f>IF(AND(ISTEXT($A1540),ISNUMBER(SEARCH(" - ",$A1540)),ISERROR(SEARCH("Folio",$A1540)),$D1540=""),TRIM($A1540),$S1539)</f>
        <v/>
      </c>
      <c r="T1540">
        <f>IF(AND(ISNUMBER(SEARCH("Folio",$A1540)),$D1540&lt;&gt;""),1,"")</f>
        <v/>
      </c>
      <c r="U1540">
        <f>IF($T1540=1,COUNTIF($T$9:$T1540,1),"")</f>
        <v/>
      </c>
      <c r="V1540">
        <f>IF(AND(ISTEXT($A1540),LEFT($A1541,3)="Pan"),1,"")</f>
        <v/>
      </c>
    </row>
    <row r="1541">
      <c r="S1541">
        <f>IF(AND(ISTEXT($A1541),ISNUMBER(SEARCH(" - ",$A1541)),ISERROR(SEARCH("Folio",$A1541)),$D1541=""),TRIM($A1541),$S1540)</f>
        <v/>
      </c>
      <c r="T1541">
        <f>IF(AND(ISNUMBER(SEARCH("Folio",$A1541)),$D1541&lt;&gt;""),1,"")</f>
        <v/>
      </c>
      <c r="U1541">
        <f>IF($T1541=1,COUNTIF($T$9:$T1541,1),"")</f>
        <v/>
      </c>
      <c r="V1541">
        <f>IF(AND(ISTEXT($A1541),LEFT($A1542,3)="Pan"),1,"")</f>
        <v/>
      </c>
    </row>
    <row r="1542">
      <c r="S1542">
        <f>IF(AND(ISTEXT($A1542),ISNUMBER(SEARCH(" - ",$A1542)),ISERROR(SEARCH("Folio",$A1542)),$D1542=""),TRIM($A1542),$S1541)</f>
        <v/>
      </c>
      <c r="T1542">
        <f>IF(AND(ISNUMBER(SEARCH("Folio",$A1542)),$D1542&lt;&gt;""),1,"")</f>
        <v/>
      </c>
      <c r="U1542">
        <f>IF($T1542=1,COUNTIF($T$9:$T1542,1),"")</f>
        <v/>
      </c>
      <c r="V1542">
        <f>IF(AND(ISTEXT($A1542),LEFT($A1543,3)="Pan"),1,"")</f>
        <v/>
      </c>
    </row>
    <row r="1543">
      <c r="S1543">
        <f>IF(AND(ISTEXT($A1543),ISNUMBER(SEARCH(" - ",$A1543)),ISERROR(SEARCH("Folio",$A1543)),$D1543=""),TRIM($A1543),$S1542)</f>
        <v/>
      </c>
      <c r="T1543">
        <f>IF(AND(ISNUMBER(SEARCH("Folio",$A1543)),$D1543&lt;&gt;""),1,"")</f>
        <v/>
      </c>
      <c r="U1543">
        <f>IF($T1543=1,COUNTIF($T$9:$T1543,1),"")</f>
        <v/>
      </c>
      <c r="V1543">
        <f>IF(AND(ISTEXT($A1543),LEFT($A1544,3)="Pan"),1,"")</f>
        <v/>
      </c>
    </row>
    <row r="1544">
      <c r="S1544">
        <f>IF(AND(ISTEXT($A1544),ISNUMBER(SEARCH(" - ",$A1544)),ISERROR(SEARCH("Folio",$A1544)),$D1544=""),TRIM($A1544),$S1543)</f>
        <v/>
      </c>
      <c r="T1544">
        <f>IF(AND(ISNUMBER(SEARCH("Folio",$A1544)),$D1544&lt;&gt;""),1,"")</f>
        <v/>
      </c>
      <c r="U1544">
        <f>IF($T1544=1,COUNTIF($T$9:$T1544,1),"")</f>
        <v/>
      </c>
      <c r="V1544">
        <f>IF(AND(ISTEXT($A1544),LEFT($A1545,3)="Pan"),1,"")</f>
        <v/>
      </c>
    </row>
    <row r="1545">
      <c r="S1545">
        <f>IF(AND(ISTEXT($A1545),ISNUMBER(SEARCH(" - ",$A1545)),ISERROR(SEARCH("Folio",$A1545)),$D1545=""),TRIM($A1545),$S1544)</f>
        <v/>
      </c>
      <c r="T1545">
        <f>IF(AND(ISNUMBER(SEARCH("Folio",$A1545)),$D1545&lt;&gt;""),1,"")</f>
        <v/>
      </c>
      <c r="U1545">
        <f>IF($T1545=1,COUNTIF($T$9:$T1545,1),"")</f>
        <v/>
      </c>
      <c r="V1545">
        <f>IF(AND(ISTEXT($A1545),LEFT($A1546,3)="Pan"),1,"")</f>
        <v/>
      </c>
    </row>
    <row r="1546">
      <c r="S1546">
        <f>IF(AND(ISTEXT($A1546),ISNUMBER(SEARCH(" - ",$A1546)),ISERROR(SEARCH("Folio",$A1546)),$D1546=""),TRIM($A1546),$S1545)</f>
        <v/>
      </c>
      <c r="T1546">
        <f>IF(AND(ISNUMBER(SEARCH("Folio",$A1546)),$D1546&lt;&gt;""),1,"")</f>
        <v/>
      </c>
      <c r="U1546">
        <f>IF($T1546=1,COUNTIF($T$9:$T1546,1),"")</f>
        <v/>
      </c>
      <c r="V1546">
        <f>IF(AND(ISTEXT($A1546),LEFT($A1547,3)="Pan"),1,"")</f>
        <v/>
      </c>
    </row>
    <row r="1547">
      <c r="S1547">
        <f>IF(AND(ISTEXT($A1547),ISNUMBER(SEARCH(" - ",$A1547)),ISERROR(SEARCH("Folio",$A1547)),$D1547=""),TRIM($A1547),$S1546)</f>
        <v/>
      </c>
      <c r="T1547">
        <f>IF(AND(ISNUMBER(SEARCH("Folio",$A1547)),$D1547&lt;&gt;""),1,"")</f>
        <v/>
      </c>
      <c r="U1547">
        <f>IF($T1547=1,COUNTIF($T$9:$T1547,1),"")</f>
        <v/>
      </c>
      <c r="V1547">
        <f>IF(AND(ISTEXT($A1547),LEFT($A1548,3)="Pan"),1,"")</f>
        <v/>
      </c>
    </row>
    <row r="1548">
      <c r="S1548">
        <f>IF(AND(ISTEXT($A1548),ISNUMBER(SEARCH(" - ",$A1548)),ISERROR(SEARCH("Folio",$A1548)),$D1548=""),TRIM($A1548),$S1547)</f>
        <v/>
      </c>
      <c r="T1548">
        <f>IF(AND(ISNUMBER(SEARCH("Folio",$A1548)),$D1548&lt;&gt;""),1,"")</f>
        <v/>
      </c>
      <c r="U1548">
        <f>IF($T1548=1,COUNTIF($T$9:$T1548,1),"")</f>
        <v/>
      </c>
      <c r="V1548">
        <f>IF(AND(ISTEXT($A1548),LEFT($A1549,3)="Pan"),1,"")</f>
        <v/>
      </c>
    </row>
    <row r="1549">
      <c r="S1549">
        <f>IF(AND(ISTEXT($A1549),ISNUMBER(SEARCH(" - ",$A1549)),ISERROR(SEARCH("Folio",$A1549)),$D1549=""),TRIM($A1549),$S1548)</f>
        <v/>
      </c>
      <c r="T1549">
        <f>IF(AND(ISNUMBER(SEARCH("Folio",$A1549)),$D1549&lt;&gt;""),1,"")</f>
        <v/>
      </c>
      <c r="U1549">
        <f>IF($T1549=1,COUNTIF($T$9:$T1549,1),"")</f>
        <v/>
      </c>
      <c r="V1549">
        <f>IF(AND(ISTEXT($A1549),LEFT($A1550,3)="Pan"),1,"")</f>
        <v/>
      </c>
    </row>
    <row r="1550">
      <c r="S1550">
        <f>IF(AND(ISTEXT($A1550),ISNUMBER(SEARCH(" - ",$A1550)),ISERROR(SEARCH("Folio",$A1550)),$D1550=""),TRIM($A1550),$S1549)</f>
        <v/>
      </c>
      <c r="T1550">
        <f>IF(AND(ISNUMBER(SEARCH("Folio",$A1550)),$D1550&lt;&gt;""),1,"")</f>
        <v/>
      </c>
      <c r="U1550">
        <f>IF($T1550=1,COUNTIF($T$9:$T1550,1),"")</f>
        <v/>
      </c>
      <c r="V1550">
        <f>IF(AND(ISTEXT($A1550),LEFT($A1551,3)="Pan"),1,"")</f>
        <v/>
      </c>
    </row>
    <row r="1551">
      <c r="S1551">
        <f>IF(AND(ISTEXT($A1551),ISNUMBER(SEARCH(" - ",$A1551)),ISERROR(SEARCH("Folio",$A1551)),$D1551=""),TRIM($A1551),$S1550)</f>
        <v/>
      </c>
      <c r="T1551">
        <f>IF(AND(ISNUMBER(SEARCH("Folio",$A1551)),$D1551&lt;&gt;""),1,"")</f>
        <v/>
      </c>
      <c r="U1551">
        <f>IF($T1551=1,COUNTIF($T$9:$T1551,1),"")</f>
        <v/>
      </c>
      <c r="V1551">
        <f>IF(AND(ISTEXT($A1551),LEFT($A1552,3)="Pan"),1,"")</f>
        <v/>
      </c>
    </row>
    <row r="1552">
      <c r="S1552">
        <f>IF(AND(ISTEXT($A1552),ISNUMBER(SEARCH(" - ",$A1552)),ISERROR(SEARCH("Folio",$A1552)),$D1552=""),TRIM($A1552),$S1551)</f>
        <v/>
      </c>
      <c r="T1552">
        <f>IF(AND(ISNUMBER(SEARCH("Folio",$A1552)),$D1552&lt;&gt;""),1,"")</f>
        <v/>
      </c>
      <c r="U1552">
        <f>IF($T1552=1,COUNTIF($T$9:$T1552,1),"")</f>
        <v/>
      </c>
      <c r="V1552">
        <f>IF(AND(ISTEXT($A1552),LEFT($A1553,3)="Pan"),1,"")</f>
        <v/>
      </c>
    </row>
    <row r="1553">
      <c r="S1553">
        <f>IF(AND(ISTEXT($A1553),ISNUMBER(SEARCH(" - ",$A1553)),ISERROR(SEARCH("Folio",$A1553)),$D1553=""),TRIM($A1553),$S1552)</f>
        <v/>
      </c>
      <c r="T1553">
        <f>IF(AND(ISNUMBER(SEARCH("Folio",$A1553)),$D1553&lt;&gt;""),1,"")</f>
        <v/>
      </c>
      <c r="U1553">
        <f>IF($T1553=1,COUNTIF($T$9:$T1553,1),"")</f>
        <v/>
      </c>
      <c r="V1553">
        <f>IF(AND(ISTEXT($A1553),LEFT($A1554,3)="Pan"),1,"")</f>
        <v/>
      </c>
    </row>
    <row r="1554">
      <c r="S1554">
        <f>IF(AND(ISTEXT($A1554),ISNUMBER(SEARCH(" - ",$A1554)),ISERROR(SEARCH("Folio",$A1554)),$D1554=""),TRIM($A1554),$S1553)</f>
        <v/>
      </c>
      <c r="T1554">
        <f>IF(AND(ISNUMBER(SEARCH("Folio",$A1554)),$D1554&lt;&gt;""),1,"")</f>
        <v/>
      </c>
      <c r="U1554">
        <f>IF($T1554=1,COUNTIF($T$9:$T1554,1),"")</f>
        <v/>
      </c>
      <c r="V1554">
        <f>IF(AND(ISTEXT($A1554),LEFT($A1555,3)="Pan"),1,"")</f>
        <v/>
      </c>
    </row>
    <row r="1555">
      <c r="S1555">
        <f>IF(AND(ISTEXT($A1555),ISNUMBER(SEARCH(" - ",$A1555)),ISERROR(SEARCH("Folio",$A1555)),$D1555=""),TRIM($A1555),$S1554)</f>
        <v/>
      </c>
      <c r="T1555">
        <f>IF(AND(ISNUMBER(SEARCH("Folio",$A1555)),$D1555&lt;&gt;""),1,"")</f>
        <v/>
      </c>
      <c r="U1555">
        <f>IF($T1555=1,COUNTIF($T$9:$T1555,1),"")</f>
        <v/>
      </c>
      <c r="V1555">
        <f>IF(AND(ISTEXT($A1555),LEFT($A1556,3)="Pan"),1,"")</f>
        <v/>
      </c>
    </row>
    <row r="1556">
      <c r="S1556">
        <f>IF(AND(ISTEXT($A1556),ISNUMBER(SEARCH(" - ",$A1556)),ISERROR(SEARCH("Folio",$A1556)),$D1556=""),TRIM($A1556),$S1555)</f>
        <v/>
      </c>
      <c r="T1556">
        <f>IF(AND(ISNUMBER(SEARCH("Folio",$A1556)),$D1556&lt;&gt;""),1,"")</f>
        <v/>
      </c>
      <c r="U1556">
        <f>IF($T1556=1,COUNTIF($T$9:$T1556,1),"")</f>
        <v/>
      </c>
      <c r="V1556">
        <f>IF(AND(ISTEXT($A1556),LEFT($A1557,3)="Pan"),1,"")</f>
        <v/>
      </c>
    </row>
    <row r="1557">
      <c r="S1557">
        <f>IF(AND(ISTEXT($A1557),ISNUMBER(SEARCH(" - ",$A1557)),ISERROR(SEARCH("Folio",$A1557)),$D1557=""),TRIM($A1557),$S1556)</f>
        <v/>
      </c>
      <c r="T1557">
        <f>IF(AND(ISNUMBER(SEARCH("Folio",$A1557)),$D1557&lt;&gt;""),1,"")</f>
        <v/>
      </c>
      <c r="U1557">
        <f>IF($T1557=1,COUNTIF($T$9:$T1557,1),"")</f>
        <v/>
      </c>
      <c r="V1557">
        <f>IF(AND(ISTEXT($A1557),LEFT($A1558,3)="Pan"),1,"")</f>
        <v/>
      </c>
    </row>
    <row r="1558">
      <c r="S1558">
        <f>IF(AND(ISTEXT($A1558),ISNUMBER(SEARCH(" - ",$A1558)),ISERROR(SEARCH("Folio",$A1558)),$D1558=""),TRIM($A1558),$S1557)</f>
        <v/>
      </c>
      <c r="T1558">
        <f>IF(AND(ISNUMBER(SEARCH("Folio",$A1558)),$D1558&lt;&gt;""),1,"")</f>
        <v/>
      </c>
      <c r="U1558">
        <f>IF($T1558=1,COUNTIF($T$9:$T1558,1),"")</f>
        <v/>
      </c>
      <c r="V1558">
        <f>IF(AND(ISTEXT($A1558),LEFT($A1559,3)="Pan"),1,"")</f>
        <v/>
      </c>
    </row>
    <row r="1559">
      <c r="S1559">
        <f>IF(AND(ISTEXT($A1559),ISNUMBER(SEARCH(" - ",$A1559)),ISERROR(SEARCH("Folio",$A1559)),$D1559=""),TRIM($A1559),$S1558)</f>
        <v/>
      </c>
      <c r="T1559">
        <f>IF(AND(ISNUMBER(SEARCH("Folio",$A1559)),$D1559&lt;&gt;""),1,"")</f>
        <v/>
      </c>
      <c r="U1559">
        <f>IF($T1559=1,COUNTIF($T$9:$T1559,1),"")</f>
        <v/>
      </c>
      <c r="V1559">
        <f>IF(AND(ISTEXT($A1559),LEFT($A1560,3)="Pan"),1,"")</f>
        <v/>
      </c>
    </row>
    <row r="1560">
      <c r="S1560">
        <f>IF(AND(ISTEXT($A1560),ISNUMBER(SEARCH(" - ",$A1560)),ISERROR(SEARCH("Folio",$A1560)),$D1560=""),TRIM($A1560),$S1559)</f>
        <v/>
      </c>
      <c r="T1560">
        <f>IF(AND(ISNUMBER(SEARCH("Folio",$A1560)),$D1560&lt;&gt;""),1,"")</f>
        <v/>
      </c>
      <c r="U1560">
        <f>IF($T1560=1,COUNTIF($T$9:$T1560,1),"")</f>
        <v/>
      </c>
      <c r="V1560">
        <f>IF(AND(ISTEXT($A1560),LEFT($A1561,3)="Pan"),1,"")</f>
        <v/>
      </c>
    </row>
    <row r="1561">
      <c r="S1561">
        <f>IF(AND(ISTEXT($A1561),ISNUMBER(SEARCH(" - ",$A1561)),ISERROR(SEARCH("Folio",$A1561)),$D1561=""),TRIM($A1561),$S1560)</f>
        <v/>
      </c>
      <c r="T1561">
        <f>IF(AND(ISNUMBER(SEARCH("Folio",$A1561)),$D1561&lt;&gt;""),1,"")</f>
        <v/>
      </c>
      <c r="U1561">
        <f>IF($T1561=1,COUNTIF($T$9:$T1561,1),"")</f>
        <v/>
      </c>
      <c r="V1561">
        <f>IF(AND(ISTEXT($A1561),LEFT($A1562,3)="Pan"),1,"")</f>
        <v/>
      </c>
    </row>
    <row r="1562">
      <c r="S1562">
        <f>IF(AND(ISTEXT($A1562),ISNUMBER(SEARCH(" - ",$A1562)),ISERROR(SEARCH("Folio",$A1562)),$D1562=""),TRIM($A1562),$S1561)</f>
        <v/>
      </c>
      <c r="T1562">
        <f>IF(AND(ISNUMBER(SEARCH("Folio",$A1562)),$D1562&lt;&gt;""),1,"")</f>
        <v/>
      </c>
      <c r="U1562">
        <f>IF($T1562=1,COUNTIF($T$9:$T1562,1),"")</f>
        <v/>
      </c>
      <c r="V1562">
        <f>IF(AND(ISTEXT($A1562),LEFT($A1563,3)="Pan"),1,"")</f>
        <v/>
      </c>
    </row>
    <row r="1563">
      <c r="S1563">
        <f>IF(AND(ISTEXT($A1563),ISNUMBER(SEARCH(" - ",$A1563)),ISERROR(SEARCH("Folio",$A1563)),$D1563=""),TRIM($A1563),$S1562)</f>
        <v/>
      </c>
      <c r="T1563">
        <f>IF(AND(ISNUMBER(SEARCH("Folio",$A1563)),$D1563&lt;&gt;""),1,"")</f>
        <v/>
      </c>
      <c r="U1563">
        <f>IF($T1563=1,COUNTIF($T$9:$T1563,1),"")</f>
        <v/>
      </c>
      <c r="V1563">
        <f>IF(AND(ISTEXT($A1563),LEFT($A1564,3)="Pan"),1,"")</f>
        <v/>
      </c>
    </row>
    <row r="1564">
      <c r="S1564">
        <f>IF(AND(ISTEXT($A1564),ISNUMBER(SEARCH(" - ",$A1564)),ISERROR(SEARCH("Folio",$A1564)),$D1564=""),TRIM($A1564),$S1563)</f>
        <v/>
      </c>
      <c r="T1564">
        <f>IF(AND(ISNUMBER(SEARCH("Folio",$A1564)),$D1564&lt;&gt;""),1,"")</f>
        <v/>
      </c>
      <c r="U1564">
        <f>IF($T1564=1,COUNTIF($T$9:$T1564,1),"")</f>
        <v/>
      </c>
      <c r="V1564">
        <f>IF(AND(ISTEXT($A1564),LEFT($A1565,3)="Pan"),1,"")</f>
        <v/>
      </c>
    </row>
    <row r="1565">
      <c r="S1565">
        <f>IF(AND(ISTEXT($A1565),ISNUMBER(SEARCH(" - ",$A1565)),ISERROR(SEARCH("Folio",$A1565)),$D1565=""),TRIM($A1565),$S1564)</f>
        <v/>
      </c>
      <c r="T1565">
        <f>IF(AND(ISNUMBER(SEARCH("Folio",$A1565)),$D1565&lt;&gt;""),1,"")</f>
        <v/>
      </c>
      <c r="U1565">
        <f>IF($T1565=1,COUNTIF($T$9:$T1565,1),"")</f>
        <v/>
      </c>
      <c r="V1565">
        <f>IF(AND(ISTEXT($A1565),LEFT($A1566,3)="Pan"),1,"")</f>
        <v/>
      </c>
    </row>
    <row r="1566">
      <c r="S1566">
        <f>IF(AND(ISTEXT($A1566),ISNUMBER(SEARCH(" - ",$A1566)),ISERROR(SEARCH("Folio",$A1566)),$D1566=""),TRIM($A1566),$S1565)</f>
        <v/>
      </c>
      <c r="T1566">
        <f>IF(AND(ISNUMBER(SEARCH("Folio",$A1566)),$D1566&lt;&gt;""),1,"")</f>
        <v/>
      </c>
      <c r="U1566">
        <f>IF($T1566=1,COUNTIF($T$9:$T1566,1),"")</f>
        <v/>
      </c>
      <c r="V1566">
        <f>IF(AND(ISTEXT($A1566),LEFT($A1567,3)="Pan"),1,"")</f>
        <v/>
      </c>
    </row>
    <row r="1567">
      <c r="S1567">
        <f>IF(AND(ISTEXT($A1567),ISNUMBER(SEARCH(" - ",$A1567)),ISERROR(SEARCH("Folio",$A1567)),$D1567=""),TRIM($A1567),$S1566)</f>
        <v/>
      </c>
      <c r="T1567">
        <f>IF(AND(ISNUMBER(SEARCH("Folio",$A1567)),$D1567&lt;&gt;""),1,"")</f>
        <v/>
      </c>
      <c r="U1567">
        <f>IF($T1567=1,COUNTIF($T$9:$T1567,1),"")</f>
        <v/>
      </c>
      <c r="V1567">
        <f>IF(AND(ISTEXT($A1567),LEFT($A1568,3)="Pan"),1,"")</f>
        <v/>
      </c>
    </row>
    <row r="1568">
      <c r="S1568">
        <f>IF(AND(ISTEXT($A1568),ISNUMBER(SEARCH(" - ",$A1568)),ISERROR(SEARCH("Folio",$A1568)),$D1568=""),TRIM($A1568),$S1567)</f>
        <v/>
      </c>
      <c r="T1568">
        <f>IF(AND(ISNUMBER(SEARCH("Folio",$A1568)),$D1568&lt;&gt;""),1,"")</f>
        <v/>
      </c>
      <c r="U1568">
        <f>IF($T1568=1,COUNTIF($T$9:$T1568,1),"")</f>
        <v/>
      </c>
      <c r="V1568">
        <f>IF(AND(ISTEXT($A1568),LEFT($A1569,3)="Pan"),1,"")</f>
        <v/>
      </c>
    </row>
    <row r="1569">
      <c r="S1569">
        <f>IF(AND(ISTEXT($A1569),ISNUMBER(SEARCH(" - ",$A1569)),ISERROR(SEARCH("Folio",$A1569)),$D1569=""),TRIM($A1569),$S1568)</f>
        <v/>
      </c>
      <c r="T1569">
        <f>IF(AND(ISNUMBER(SEARCH("Folio",$A1569)),$D1569&lt;&gt;""),1,"")</f>
        <v/>
      </c>
      <c r="U1569">
        <f>IF($T1569=1,COUNTIF($T$9:$T1569,1),"")</f>
        <v/>
      </c>
      <c r="V1569">
        <f>IF(AND(ISTEXT($A1569),LEFT($A1570,3)="Pan"),1,"")</f>
        <v/>
      </c>
    </row>
    <row r="1570">
      <c r="S1570">
        <f>IF(AND(ISTEXT($A1570),ISNUMBER(SEARCH(" - ",$A1570)),ISERROR(SEARCH("Folio",$A1570)),$D1570=""),TRIM($A1570),$S1569)</f>
        <v/>
      </c>
      <c r="T1570">
        <f>IF(AND(ISNUMBER(SEARCH("Folio",$A1570)),$D1570&lt;&gt;""),1,"")</f>
        <v/>
      </c>
      <c r="U1570">
        <f>IF($T1570=1,COUNTIF($T$9:$T1570,1),"")</f>
        <v/>
      </c>
      <c r="V1570">
        <f>IF(AND(ISTEXT($A1570),LEFT($A1571,3)="Pan"),1,"")</f>
        <v/>
      </c>
    </row>
    <row r="1571">
      <c r="S1571">
        <f>IF(AND(ISTEXT($A1571),ISNUMBER(SEARCH(" - ",$A1571)),ISERROR(SEARCH("Folio",$A1571)),$D1571=""),TRIM($A1571),$S1570)</f>
        <v/>
      </c>
      <c r="T1571">
        <f>IF(AND(ISNUMBER(SEARCH("Folio",$A1571)),$D1571&lt;&gt;""),1,"")</f>
        <v/>
      </c>
      <c r="U1571">
        <f>IF($T1571=1,COUNTIF($T$9:$T1571,1),"")</f>
        <v/>
      </c>
      <c r="V1571">
        <f>IF(AND(ISTEXT($A1571),LEFT($A1572,3)="Pan"),1,"")</f>
        <v/>
      </c>
    </row>
    <row r="1572">
      <c r="S1572">
        <f>IF(AND(ISTEXT($A1572),ISNUMBER(SEARCH(" - ",$A1572)),ISERROR(SEARCH("Folio",$A1572)),$D1572=""),TRIM($A1572),$S1571)</f>
        <v/>
      </c>
      <c r="T1572">
        <f>IF(AND(ISNUMBER(SEARCH("Folio",$A1572)),$D1572&lt;&gt;""),1,"")</f>
        <v/>
      </c>
      <c r="U1572">
        <f>IF($T1572=1,COUNTIF($T$9:$T1572,1),"")</f>
        <v/>
      </c>
      <c r="V1572">
        <f>IF(AND(ISTEXT($A1572),LEFT($A1573,3)="Pan"),1,"")</f>
        <v/>
      </c>
    </row>
    <row r="1573">
      <c r="S1573">
        <f>IF(AND(ISTEXT($A1573),ISNUMBER(SEARCH(" - ",$A1573)),ISERROR(SEARCH("Folio",$A1573)),$D1573=""),TRIM($A1573),$S1572)</f>
        <v/>
      </c>
      <c r="T1573">
        <f>IF(AND(ISNUMBER(SEARCH("Folio",$A1573)),$D1573&lt;&gt;""),1,"")</f>
        <v/>
      </c>
      <c r="U1573">
        <f>IF($T1573=1,COUNTIF($T$9:$T1573,1),"")</f>
        <v/>
      </c>
      <c r="V1573">
        <f>IF(AND(ISTEXT($A1573),LEFT($A1574,3)="Pan"),1,"")</f>
        <v/>
      </c>
    </row>
    <row r="1574">
      <c r="S1574">
        <f>IF(AND(ISTEXT($A1574),ISNUMBER(SEARCH(" - ",$A1574)),ISERROR(SEARCH("Folio",$A1574)),$D1574=""),TRIM($A1574),$S1573)</f>
        <v/>
      </c>
      <c r="T1574">
        <f>IF(AND(ISNUMBER(SEARCH("Folio",$A1574)),$D1574&lt;&gt;""),1,"")</f>
        <v/>
      </c>
      <c r="U1574">
        <f>IF($T1574=1,COUNTIF($T$9:$T1574,1),"")</f>
        <v/>
      </c>
      <c r="V1574">
        <f>IF(AND(ISTEXT($A1574),LEFT($A1575,3)="Pan"),1,"")</f>
        <v/>
      </c>
    </row>
    <row r="1575">
      <c r="S1575">
        <f>IF(AND(ISTEXT($A1575),ISNUMBER(SEARCH(" - ",$A1575)),ISERROR(SEARCH("Folio",$A1575)),$D1575=""),TRIM($A1575),$S1574)</f>
        <v/>
      </c>
      <c r="T1575">
        <f>IF(AND(ISNUMBER(SEARCH("Folio",$A1575)),$D1575&lt;&gt;""),1,"")</f>
        <v/>
      </c>
      <c r="U1575">
        <f>IF($T1575=1,COUNTIF($T$9:$T1575,1),"")</f>
        <v/>
      </c>
      <c r="V1575">
        <f>IF(AND(ISTEXT($A1575),LEFT($A1576,3)="Pan"),1,"")</f>
        <v/>
      </c>
    </row>
    <row r="1576">
      <c r="S1576">
        <f>IF(AND(ISTEXT($A1576),ISNUMBER(SEARCH(" - ",$A1576)),ISERROR(SEARCH("Folio",$A1576)),$D1576=""),TRIM($A1576),$S1575)</f>
        <v/>
      </c>
      <c r="T1576">
        <f>IF(AND(ISNUMBER(SEARCH("Folio",$A1576)),$D1576&lt;&gt;""),1,"")</f>
        <v/>
      </c>
      <c r="U1576">
        <f>IF($T1576=1,COUNTIF($T$9:$T1576,1),"")</f>
        <v/>
      </c>
      <c r="V1576">
        <f>IF(AND(ISTEXT($A1576),LEFT($A1577,3)="Pan"),1,"")</f>
        <v/>
      </c>
    </row>
    <row r="1577">
      <c r="S1577">
        <f>IF(AND(ISTEXT($A1577),ISNUMBER(SEARCH(" - ",$A1577)),ISERROR(SEARCH("Folio",$A1577)),$D1577=""),TRIM($A1577),$S1576)</f>
        <v/>
      </c>
      <c r="T1577">
        <f>IF(AND(ISNUMBER(SEARCH("Folio",$A1577)),$D1577&lt;&gt;""),1,"")</f>
        <v/>
      </c>
      <c r="U1577">
        <f>IF($T1577=1,COUNTIF($T$9:$T1577,1),"")</f>
        <v/>
      </c>
      <c r="V1577">
        <f>IF(AND(ISTEXT($A1577),LEFT($A1578,3)="Pan"),1,"")</f>
        <v/>
      </c>
    </row>
    <row r="1578">
      <c r="S1578">
        <f>IF(AND(ISTEXT($A1578),ISNUMBER(SEARCH(" - ",$A1578)),ISERROR(SEARCH("Folio",$A1578)),$D1578=""),TRIM($A1578),$S1577)</f>
        <v/>
      </c>
      <c r="T1578">
        <f>IF(AND(ISNUMBER(SEARCH("Folio",$A1578)),$D1578&lt;&gt;""),1,"")</f>
        <v/>
      </c>
      <c r="U1578">
        <f>IF($T1578=1,COUNTIF($T$9:$T1578,1),"")</f>
        <v/>
      </c>
      <c r="V1578">
        <f>IF(AND(ISTEXT($A1578),LEFT($A1579,3)="Pan"),1,"")</f>
        <v/>
      </c>
    </row>
    <row r="1579">
      <c r="S1579">
        <f>IF(AND(ISTEXT($A1579),ISNUMBER(SEARCH(" - ",$A1579)),ISERROR(SEARCH("Folio",$A1579)),$D1579=""),TRIM($A1579),$S1578)</f>
        <v/>
      </c>
      <c r="T1579">
        <f>IF(AND(ISNUMBER(SEARCH("Folio",$A1579)),$D1579&lt;&gt;""),1,"")</f>
        <v/>
      </c>
      <c r="U1579">
        <f>IF($T1579=1,COUNTIF($T$9:$T1579,1),"")</f>
        <v/>
      </c>
      <c r="V1579">
        <f>IF(AND(ISTEXT($A1579),LEFT($A1580,3)="Pan"),1,"")</f>
        <v/>
      </c>
    </row>
    <row r="1580">
      <c r="S1580">
        <f>IF(AND(ISTEXT($A1580),ISNUMBER(SEARCH(" - ",$A1580)),ISERROR(SEARCH("Folio",$A1580)),$D1580=""),TRIM($A1580),$S1579)</f>
        <v/>
      </c>
      <c r="T1580">
        <f>IF(AND(ISNUMBER(SEARCH("Folio",$A1580)),$D1580&lt;&gt;""),1,"")</f>
        <v/>
      </c>
      <c r="U1580">
        <f>IF($T1580=1,COUNTIF($T$9:$T1580,1),"")</f>
        <v/>
      </c>
      <c r="V1580">
        <f>IF(AND(ISTEXT($A1580),LEFT($A1581,3)="Pan"),1,"")</f>
        <v/>
      </c>
    </row>
    <row r="1581">
      <c r="S1581">
        <f>IF(AND(ISTEXT($A1581),ISNUMBER(SEARCH(" - ",$A1581)),ISERROR(SEARCH("Folio",$A1581)),$D1581=""),TRIM($A1581),$S1580)</f>
        <v/>
      </c>
      <c r="T1581">
        <f>IF(AND(ISNUMBER(SEARCH("Folio",$A1581)),$D1581&lt;&gt;""),1,"")</f>
        <v/>
      </c>
      <c r="U1581">
        <f>IF($T1581=1,COUNTIF($T$9:$T1581,1),"")</f>
        <v/>
      </c>
      <c r="V1581">
        <f>IF(AND(ISTEXT($A1581),LEFT($A1582,3)="Pan"),1,"")</f>
        <v/>
      </c>
    </row>
    <row r="1582">
      <c r="S1582">
        <f>IF(AND(ISTEXT($A1582),ISNUMBER(SEARCH(" - ",$A1582)),ISERROR(SEARCH("Folio",$A1582)),$D1582=""),TRIM($A1582),$S1581)</f>
        <v/>
      </c>
      <c r="T1582">
        <f>IF(AND(ISNUMBER(SEARCH("Folio",$A1582)),$D1582&lt;&gt;""),1,"")</f>
        <v/>
      </c>
      <c r="U1582">
        <f>IF($T1582=1,COUNTIF($T$9:$T1582,1),"")</f>
        <v/>
      </c>
      <c r="V1582">
        <f>IF(AND(ISTEXT($A1582),LEFT($A1583,3)="Pan"),1,"")</f>
        <v/>
      </c>
    </row>
    <row r="1583">
      <c r="S1583">
        <f>IF(AND(ISTEXT($A1583),ISNUMBER(SEARCH(" - ",$A1583)),ISERROR(SEARCH("Folio",$A1583)),$D1583=""),TRIM($A1583),$S1582)</f>
        <v/>
      </c>
      <c r="T1583">
        <f>IF(AND(ISNUMBER(SEARCH("Folio",$A1583)),$D1583&lt;&gt;""),1,"")</f>
        <v/>
      </c>
      <c r="U1583">
        <f>IF($T1583=1,COUNTIF($T$9:$T1583,1),"")</f>
        <v/>
      </c>
      <c r="V1583">
        <f>IF(AND(ISTEXT($A1583),LEFT($A1584,3)="Pan"),1,"")</f>
        <v/>
      </c>
    </row>
    <row r="1584">
      <c r="S1584">
        <f>IF(AND(ISTEXT($A1584),ISNUMBER(SEARCH(" - ",$A1584)),ISERROR(SEARCH("Folio",$A1584)),$D1584=""),TRIM($A1584),$S1583)</f>
        <v/>
      </c>
      <c r="T1584">
        <f>IF(AND(ISNUMBER(SEARCH("Folio",$A1584)),$D1584&lt;&gt;""),1,"")</f>
        <v/>
      </c>
      <c r="U1584">
        <f>IF($T1584=1,COUNTIF($T$9:$T1584,1),"")</f>
        <v/>
      </c>
      <c r="V1584">
        <f>IF(AND(ISTEXT($A1584),LEFT($A1585,3)="Pan"),1,"")</f>
        <v/>
      </c>
    </row>
    <row r="1585">
      <c r="S1585">
        <f>IF(AND(ISTEXT($A1585),ISNUMBER(SEARCH(" - ",$A1585)),ISERROR(SEARCH("Folio",$A1585)),$D1585=""),TRIM($A1585),$S1584)</f>
        <v/>
      </c>
      <c r="T1585">
        <f>IF(AND(ISNUMBER(SEARCH("Folio",$A1585)),$D1585&lt;&gt;""),1,"")</f>
        <v/>
      </c>
      <c r="U1585">
        <f>IF($T1585=1,COUNTIF($T$9:$T1585,1),"")</f>
        <v/>
      </c>
      <c r="V1585">
        <f>IF(AND(ISTEXT($A1585),LEFT($A1586,3)="Pan"),1,"")</f>
        <v/>
      </c>
    </row>
    <row r="1586">
      <c r="S1586">
        <f>IF(AND(ISTEXT($A1586),ISNUMBER(SEARCH(" - ",$A1586)),ISERROR(SEARCH("Folio",$A1586)),$D1586=""),TRIM($A1586),$S1585)</f>
        <v/>
      </c>
      <c r="T1586">
        <f>IF(AND(ISNUMBER(SEARCH("Folio",$A1586)),$D1586&lt;&gt;""),1,"")</f>
        <v/>
      </c>
      <c r="U1586">
        <f>IF($T1586=1,COUNTIF($T$9:$T1586,1),"")</f>
        <v/>
      </c>
      <c r="V1586">
        <f>IF(AND(ISTEXT($A1586),LEFT($A1587,3)="Pan"),1,"")</f>
        <v/>
      </c>
    </row>
    <row r="1587">
      <c r="S1587">
        <f>IF(AND(ISTEXT($A1587),ISNUMBER(SEARCH(" - ",$A1587)),ISERROR(SEARCH("Folio",$A1587)),$D1587=""),TRIM($A1587),$S1586)</f>
        <v/>
      </c>
      <c r="T1587">
        <f>IF(AND(ISNUMBER(SEARCH("Folio",$A1587)),$D1587&lt;&gt;""),1,"")</f>
        <v/>
      </c>
      <c r="U1587">
        <f>IF($T1587=1,COUNTIF($T$9:$T1587,1),"")</f>
        <v/>
      </c>
      <c r="V1587">
        <f>IF(AND(ISTEXT($A1587),LEFT($A1588,3)="Pan"),1,"")</f>
        <v/>
      </c>
    </row>
    <row r="1588">
      <c r="S1588">
        <f>IF(AND(ISTEXT($A1588),ISNUMBER(SEARCH(" - ",$A1588)),ISERROR(SEARCH("Folio",$A1588)),$D1588=""),TRIM($A1588),$S1587)</f>
        <v/>
      </c>
      <c r="T1588">
        <f>IF(AND(ISNUMBER(SEARCH("Folio",$A1588)),$D1588&lt;&gt;""),1,"")</f>
        <v/>
      </c>
      <c r="U1588">
        <f>IF($T1588=1,COUNTIF($T$9:$T1588,1),"")</f>
        <v/>
      </c>
      <c r="V1588">
        <f>IF(AND(ISTEXT($A1588),LEFT($A1589,3)="Pan"),1,"")</f>
        <v/>
      </c>
    </row>
    <row r="1589">
      <c r="S1589">
        <f>IF(AND(ISTEXT($A1589),ISNUMBER(SEARCH(" - ",$A1589)),ISERROR(SEARCH("Folio",$A1589)),$D1589=""),TRIM($A1589),$S1588)</f>
        <v/>
      </c>
      <c r="T1589">
        <f>IF(AND(ISNUMBER(SEARCH("Folio",$A1589)),$D1589&lt;&gt;""),1,"")</f>
        <v/>
      </c>
      <c r="U1589">
        <f>IF($T1589=1,COUNTIF($T$9:$T1589,1),"")</f>
        <v/>
      </c>
      <c r="V1589">
        <f>IF(AND(ISTEXT($A1589),LEFT($A1590,3)="Pan"),1,"")</f>
        <v/>
      </c>
    </row>
    <row r="1590">
      <c r="S1590">
        <f>IF(AND(ISTEXT($A1590),ISNUMBER(SEARCH(" - ",$A1590)),ISERROR(SEARCH("Folio",$A1590)),$D1590=""),TRIM($A1590),$S1589)</f>
        <v/>
      </c>
      <c r="T1590">
        <f>IF(AND(ISNUMBER(SEARCH("Folio",$A1590)),$D1590&lt;&gt;""),1,"")</f>
        <v/>
      </c>
      <c r="U1590">
        <f>IF($T1590=1,COUNTIF($T$9:$T1590,1),"")</f>
        <v/>
      </c>
      <c r="V1590">
        <f>IF(AND(ISTEXT($A1590),LEFT($A1591,3)="Pan"),1,"")</f>
        <v/>
      </c>
    </row>
    <row r="1591">
      <c r="S1591">
        <f>IF(AND(ISTEXT($A1591),ISNUMBER(SEARCH(" - ",$A1591)),ISERROR(SEARCH("Folio",$A1591)),$D1591=""),TRIM($A1591),$S1590)</f>
        <v/>
      </c>
      <c r="T1591">
        <f>IF(AND(ISNUMBER(SEARCH("Folio",$A1591)),$D1591&lt;&gt;""),1,"")</f>
        <v/>
      </c>
      <c r="U1591">
        <f>IF($T1591=1,COUNTIF($T$9:$T1591,1),"")</f>
        <v/>
      </c>
      <c r="V1591">
        <f>IF(AND(ISTEXT($A1591),LEFT($A1592,3)="Pan"),1,"")</f>
        <v/>
      </c>
    </row>
    <row r="1592">
      <c r="S1592">
        <f>IF(AND(ISTEXT($A1592),ISNUMBER(SEARCH(" - ",$A1592)),ISERROR(SEARCH("Folio",$A1592)),$D1592=""),TRIM($A1592),$S1591)</f>
        <v/>
      </c>
      <c r="T1592">
        <f>IF(AND(ISNUMBER(SEARCH("Folio",$A1592)),$D1592&lt;&gt;""),1,"")</f>
        <v/>
      </c>
      <c r="U1592">
        <f>IF($T1592=1,COUNTIF($T$9:$T1592,1),"")</f>
        <v/>
      </c>
      <c r="V1592">
        <f>IF(AND(ISTEXT($A1592),LEFT($A1593,3)="Pan"),1,"")</f>
        <v/>
      </c>
    </row>
    <row r="1593">
      <c r="S1593">
        <f>IF(AND(ISTEXT($A1593),ISNUMBER(SEARCH(" - ",$A1593)),ISERROR(SEARCH("Folio",$A1593)),$D1593=""),TRIM($A1593),$S1592)</f>
        <v/>
      </c>
      <c r="T1593">
        <f>IF(AND(ISNUMBER(SEARCH("Folio",$A1593)),$D1593&lt;&gt;""),1,"")</f>
        <v/>
      </c>
      <c r="U1593">
        <f>IF($T1593=1,COUNTIF($T$9:$T1593,1),"")</f>
        <v/>
      </c>
      <c r="V1593">
        <f>IF(AND(ISTEXT($A1593),LEFT($A1594,3)="Pan"),1,"")</f>
        <v/>
      </c>
    </row>
    <row r="1594">
      <c r="S1594">
        <f>IF(AND(ISTEXT($A1594),ISNUMBER(SEARCH(" - ",$A1594)),ISERROR(SEARCH("Folio",$A1594)),$D1594=""),TRIM($A1594),$S1593)</f>
        <v/>
      </c>
      <c r="T1594">
        <f>IF(AND(ISNUMBER(SEARCH("Folio",$A1594)),$D1594&lt;&gt;""),1,"")</f>
        <v/>
      </c>
      <c r="U1594">
        <f>IF($T1594=1,COUNTIF($T$9:$T1594,1),"")</f>
        <v/>
      </c>
      <c r="V1594">
        <f>IF(AND(ISTEXT($A1594),LEFT($A1595,3)="Pan"),1,"")</f>
        <v/>
      </c>
    </row>
    <row r="1595">
      <c r="S1595">
        <f>IF(AND(ISTEXT($A1595),ISNUMBER(SEARCH(" - ",$A1595)),ISERROR(SEARCH("Folio",$A1595)),$D1595=""),TRIM($A1595),$S1594)</f>
        <v/>
      </c>
      <c r="T1595">
        <f>IF(AND(ISNUMBER(SEARCH("Folio",$A1595)),$D1595&lt;&gt;""),1,"")</f>
        <v/>
      </c>
      <c r="U1595">
        <f>IF($T1595=1,COUNTIF($T$9:$T1595,1),"")</f>
        <v/>
      </c>
      <c r="V1595">
        <f>IF(AND(ISTEXT($A1595),LEFT($A1596,3)="Pan"),1,"")</f>
        <v/>
      </c>
    </row>
    <row r="1596">
      <c r="S1596">
        <f>IF(AND(ISTEXT($A1596),ISNUMBER(SEARCH(" - ",$A1596)),ISERROR(SEARCH("Folio",$A1596)),$D1596=""),TRIM($A1596),$S1595)</f>
        <v/>
      </c>
      <c r="T1596">
        <f>IF(AND(ISNUMBER(SEARCH("Folio",$A1596)),$D1596&lt;&gt;""),1,"")</f>
        <v/>
      </c>
      <c r="U1596">
        <f>IF($T1596=1,COUNTIF($T$9:$T1596,1),"")</f>
        <v/>
      </c>
      <c r="V1596">
        <f>IF(AND(ISTEXT($A1596),LEFT($A1597,3)="Pan"),1,"")</f>
        <v/>
      </c>
    </row>
    <row r="1597">
      <c r="S1597">
        <f>IF(AND(ISTEXT($A1597),ISNUMBER(SEARCH(" - ",$A1597)),ISERROR(SEARCH("Folio",$A1597)),$D1597=""),TRIM($A1597),$S1596)</f>
        <v/>
      </c>
      <c r="T1597">
        <f>IF(AND(ISNUMBER(SEARCH("Folio",$A1597)),$D1597&lt;&gt;""),1,"")</f>
        <v/>
      </c>
      <c r="U1597">
        <f>IF($T1597=1,COUNTIF($T$9:$T1597,1),"")</f>
        <v/>
      </c>
      <c r="V1597">
        <f>IF(AND(ISTEXT($A1597),LEFT($A1598,3)="Pan"),1,"")</f>
        <v/>
      </c>
    </row>
    <row r="1598">
      <c r="S1598">
        <f>IF(AND(ISTEXT($A1598),ISNUMBER(SEARCH(" - ",$A1598)),ISERROR(SEARCH("Folio",$A1598)),$D1598=""),TRIM($A1598),$S1597)</f>
        <v/>
      </c>
      <c r="T1598">
        <f>IF(AND(ISNUMBER(SEARCH("Folio",$A1598)),$D1598&lt;&gt;""),1,"")</f>
        <v/>
      </c>
      <c r="U1598">
        <f>IF($T1598=1,COUNTIF($T$9:$T1598,1),"")</f>
        <v/>
      </c>
      <c r="V1598">
        <f>IF(AND(ISTEXT($A1598),LEFT($A1599,3)="Pan"),1,"")</f>
        <v/>
      </c>
    </row>
    <row r="1599">
      <c r="S1599">
        <f>IF(AND(ISTEXT($A1599),ISNUMBER(SEARCH(" - ",$A1599)),ISERROR(SEARCH("Folio",$A1599)),$D1599=""),TRIM($A1599),$S1598)</f>
        <v/>
      </c>
      <c r="T1599">
        <f>IF(AND(ISNUMBER(SEARCH("Folio",$A1599)),$D1599&lt;&gt;""),1,"")</f>
        <v/>
      </c>
      <c r="U1599">
        <f>IF($T1599=1,COUNTIF($T$9:$T1599,1),"")</f>
        <v/>
      </c>
      <c r="V1599">
        <f>IF(AND(ISTEXT($A1599),LEFT($A1600,3)="Pan"),1,"")</f>
        <v/>
      </c>
    </row>
    <row r="1600">
      <c r="S1600">
        <f>IF(AND(ISTEXT($A1600),ISNUMBER(SEARCH(" - ",$A1600)),ISERROR(SEARCH("Folio",$A1600)),$D1600=""),TRIM($A1600),$S1599)</f>
        <v/>
      </c>
      <c r="T1600">
        <f>IF(AND(ISNUMBER(SEARCH("Folio",$A1600)),$D1600&lt;&gt;""),1,"")</f>
        <v/>
      </c>
      <c r="U1600">
        <f>IF($T1600=1,COUNTIF($T$9:$T1600,1),"")</f>
        <v/>
      </c>
      <c r="V1600">
        <f>IF(AND(ISTEXT($A1600),LEFT($A1601,3)="Pan"),1,"")</f>
        <v/>
      </c>
    </row>
    <row r="1601">
      <c r="S1601">
        <f>IF(AND(ISTEXT($A1601),ISNUMBER(SEARCH(" - ",$A1601)),ISERROR(SEARCH("Folio",$A1601)),$D1601=""),TRIM($A1601),$S1600)</f>
        <v/>
      </c>
      <c r="T1601">
        <f>IF(AND(ISNUMBER(SEARCH("Folio",$A1601)),$D1601&lt;&gt;""),1,"")</f>
        <v/>
      </c>
      <c r="U1601">
        <f>IF($T1601=1,COUNTIF($T$9:$T1601,1),"")</f>
        <v/>
      </c>
      <c r="V1601">
        <f>IF(AND(ISTEXT($A1601),LEFT($A1602,3)="Pan"),1,"")</f>
        <v/>
      </c>
    </row>
    <row r="1602">
      <c r="S1602">
        <f>IF(AND(ISTEXT($A1602),ISNUMBER(SEARCH(" - ",$A1602)),ISERROR(SEARCH("Folio",$A1602)),$D1602=""),TRIM($A1602),$S1601)</f>
        <v/>
      </c>
      <c r="T1602">
        <f>IF(AND(ISNUMBER(SEARCH("Folio",$A1602)),$D1602&lt;&gt;""),1,"")</f>
        <v/>
      </c>
      <c r="U1602">
        <f>IF($T1602=1,COUNTIF($T$9:$T1602,1),"")</f>
        <v/>
      </c>
      <c r="V1602">
        <f>IF(AND(ISTEXT($A1602),LEFT($A1603,3)="Pan"),1,"")</f>
        <v/>
      </c>
    </row>
    <row r="1603">
      <c r="S1603">
        <f>IF(AND(ISTEXT($A1603),ISNUMBER(SEARCH(" - ",$A1603)),ISERROR(SEARCH("Folio",$A1603)),$D1603=""),TRIM($A1603),$S1602)</f>
        <v/>
      </c>
      <c r="T1603">
        <f>IF(AND(ISNUMBER(SEARCH("Folio",$A1603)),$D1603&lt;&gt;""),1,"")</f>
        <v/>
      </c>
      <c r="U1603">
        <f>IF($T1603=1,COUNTIF($T$9:$T1603,1),"")</f>
        <v/>
      </c>
      <c r="V1603">
        <f>IF(AND(ISTEXT($A1603),LEFT($A1604,3)="Pan"),1,"")</f>
        <v/>
      </c>
    </row>
    <row r="1604">
      <c r="S1604">
        <f>IF(AND(ISTEXT($A1604),ISNUMBER(SEARCH(" - ",$A1604)),ISERROR(SEARCH("Folio",$A1604)),$D1604=""),TRIM($A1604),$S1603)</f>
        <v/>
      </c>
      <c r="T1604">
        <f>IF(AND(ISNUMBER(SEARCH("Folio",$A1604)),$D1604&lt;&gt;""),1,"")</f>
        <v/>
      </c>
      <c r="U1604">
        <f>IF($T1604=1,COUNTIF($T$9:$T1604,1),"")</f>
        <v/>
      </c>
      <c r="V1604">
        <f>IF(AND(ISTEXT($A1604),LEFT($A1605,3)="Pan"),1,"")</f>
        <v/>
      </c>
    </row>
    <row r="1605">
      <c r="S1605">
        <f>IF(AND(ISTEXT($A1605),ISNUMBER(SEARCH(" - ",$A1605)),ISERROR(SEARCH("Folio",$A1605)),$D1605=""),TRIM($A1605),$S1604)</f>
        <v/>
      </c>
      <c r="T1605">
        <f>IF(AND(ISNUMBER(SEARCH("Folio",$A1605)),$D1605&lt;&gt;""),1,"")</f>
        <v/>
      </c>
      <c r="U1605">
        <f>IF($T1605=1,COUNTIF($T$9:$T1605,1),"")</f>
        <v/>
      </c>
      <c r="V1605">
        <f>IF(AND(ISTEXT($A1605),LEFT($A1606,3)="Pan"),1,"")</f>
        <v/>
      </c>
    </row>
    <row r="1606">
      <c r="S1606">
        <f>IF(AND(ISTEXT($A1606),ISNUMBER(SEARCH(" - ",$A1606)),ISERROR(SEARCH("Folio",$A1606)),$D1606=""),TRIM($A1606),$S1605)</f>
        <v/>
      </c>
      <c r="T1606">
        <f>IF(AND(ISNUMBER(SEARCH("Folio",$A1606)),$D1606&lt;&gt;""),1,"")</f>
        <v/>
      </c>
      <c r="U1606">
        <f>IF($T1606=1,COUNTIF($T$9:$T1606,1),"")</f>
        <v/>
      </c>
      <c r="V1606">
        <f>IF(AND(ISTEXT($A1606),LEFT($A1607,3)="Pan"),1,"")</f>
        <v/>
      </c>
    </row>
    <row r="1607">
      <c r="S1607">
        <f>IF(AND(ISTEXT($A1607),ISNUMBER(SEARCH(" - ",$A1607)),ISERROR(SEARCH("Folio",$A1607)),$D1607=""),TRIM($A1607),$S1606)</f>
        <v/>
      </c>
      <c r="T1607">
        <f>IF(AND(ISNUMBER(SEARCH("Folio",$A1607)),$D1607&lt;&gt;""),1,"")</f>
        <v/>
      </c>
      <c r="U1607">
        <f>IF($T1607=1,COUNTIF($T$9:$T1607,1),"")</f>
        <v/>
      </c>
      <c r="V1607">
        <f>IF(AND(ISTEXT($A1607),LEFT($A1608,3)="Pan"),1,"")</f>
        <v/>
      </c>
    </row>
    <row r="1608">
      <c r="S1608">
        <f>IF(AND(ISTEXT($A1608),ISNUMBER(SEARCH(" - ",$A1608)),ISERROR(SEARCH("Folio",$A1608)),$D1608=""),TRIM($A1608),$S1607)</f>
        <v/>
      </c>
      <c r="T1608">
        <f>IF(AND(ISNUMBER(SEARCH("Folio",$A1608)),$D1608&lt;&gt;""),1,"")</f>
        <v/>
      </c>
      <c r="U1608">
        <f>IF($T1608=1,COUNTIF($T$9:$T1608,1),"")</f>
        <v/>
      </c>
      <c r="V1608">
        <f>IF(AND(ISTEXT($A1608),LEFT($A1609,3)="Pan"),1,"")</f>
        <v/>
      </c>
    </row>
    <row r="1609">
      <c r="S1609">
        <f>IF(AND(ISTEXT($A1609),ISNUMBER(SEARCH(" - ",$A1609)),ISERROR(SEARCH("Folio",$A1609)),$D1609=""),TRIM($A1609),$S1608)</f>
        <v/>
      </c>
      <c r="T1609">
        <f>IF(AND(ISNUMBER(SEARCH("Folio",$A1609)),$D1609&lt;&gt;""),1,"")</f>
        <v/>
      </c>
      <c r="U1609">
        <f>IF($T1609=1,COUNTIF($T$9:$T1609,1),"")</f>
        <v/>
      </c>
      <c r="V1609">
        <f>IF(AND(ISTEXT($A1609),LEFT($A1610,3)="Pan"),1,"")</f>
        <v/>
      </c>
    </row>
    <row r="1610">
      <c r="S1610">
        <f>IF(AND(ISTEXT($A1610),ISNUMBER(SEARCH(" - ",$A1610)),ISERROR(SEARCH("Folio",$A1610)),$D1610=""),TRIM($A1610),$S1609)</f>
        <v/>
      </c>
      <c r="T1610">
        <f>IF(AND(ISNUMBER(SEARCH("Folio",$A1610)),$D1610&lt;&gt;""),1,"")</f>
        <v/>
      </c>
      <c r="U1610">
        <f>IF($T1610=1,COUNTIF($T$9:$T1610,1),"")</f>
        <v/>
      </c>
      <c r="V1610">
        <f>IF(AND(ISTEXT($A1610),LEFT($A1611,3)="Pan"),1,"")</f>
        <v/>
      </c>
    </row>
    <row r="1611">
      <c r="S1611">
        <f>IF(AND(ISTEXT($A1611),ISNUMBER(SEARCH(" - ",$A1611)),ISERROR(SEARCH("Folio",$A1611)),$D1611=""),TRIM($A1611),$S1610)</f>
        <v/>
      </c>
      <c r="T1611">
        <f>IF(AND(ISNUMBER(SEARCH("Folio",$A1611)),$D1611&lt;&gt;""),1,"")</f>
        <v/>
      </c>
      <c r="U1611">
        <f>IF($T1611=1,COUNTIF($T$9:$T1611,1),"")</f>
        <v/>
      </c>
      <c r="V1611">
        <f>IF(AND(ISTEXT($A1611),LEFT($A1612,3)="Pan"),1,"")</f>
        <v/>
      </c>
    </row>
    <row r="1612">
      <c r="S1612">
        <f>IF(AND(ISTEXT($A1612),ISNUMBER(SEARCH(" - ",$A1612)),ISERROR(SEARCH("Folio",$A1612)),$D1612=""),TRIM($A1612),$S1611)</f>
        <v/>
      </c>
      <c r="T1612">
        <f>IF(AND(ISNUMBER(SEARCH("Folio",$A1612)),$D1612&lt;&gt;""),1,"")</f>
        <v/>
      </c>
      <c r="U1612">
        <f>IF($T1612=1,COUNTIF($T$9:$T1612,1),"")</f>
        <v/>
      </c>
      <c r="V1612">
        <f>IF(AND(ISTEXT($A1612),LEFT($A1613,3)="Pan"),1,"")</f>
        <v/>
      </c>
    </row>
    <row r="1613">
      <c r="S1613">
        <f>IF(AND(ISTEXT($A1613),ISNUMBER(SEARCH(" - ",$A1613)),ISERROR(SEARCH("Folio",$A1613)),$D1613=""),TRIM($A1613),$S1612)</f>
        <v/>
      </c>
      <c r="T1613">
        <f>IF(AND(ISNUMBER(SEARCH("Folio",$A1613)),$D1613&lt;&gt;""),1,"")</f>
        <v/>
      </c>
      <c r="U1613">
        <f>IF($T1613=1,COUNTIF($T$9:$T1613,1),"")</f>
        <v/>
      </c>
      <c r="V1613">
        <f>IF(AND(ISTEXT($A1613),LEFT($A1614,3)="Pan"),1,"")</f>
        <v/>
      </c>
    </row>
    <row r="1614">
      <c r="S1614">
        <f>IF(AND(ISTEXT($A1614),ISNUMBER(SEARCH(" - ",$A1614)),ISERROR(SEARCH("Folio",$A1614)),$D1614=""),TRIM($A1614),$S1613)</f>
        <v/>
      </c>
      <c r="T1614">
        <f>IF(AND(ISNUMBER(SEARCH("Folio",$A1614)),$D1614&lt;&gt;""),1,"")</f>
        <v/>
      </c>
      <c r="U1614">
        <f>IF($T1614=1,COUNTIF($T$9:$T1614,1),"")</f>
        <v/>
      </c>
      <c r="V1614">
        <f>IF(AND(ISTEXT($A1614),LEFT($A1615,3)="Pan"),1,"")</f>
        <v/>
      </c>
    </row>
    <row r="1615">
      <c r="S1615">
        <f>IF(AND(ISTEXT($A1615),ISNUMBER(SEARCH(" - ",$A1615)),ISERROR(SEARCH("Folio",$A1615)),$D1615=""),TRIM($A1615),$S1614)</f>
        <v/>
      </c>
      <c r="T1615">
        <f>IF(AND(ISNUMBER(SEARCH("Folio",$A1615)),$D1615&lt;&gt;""),1,"")</f>
        <v/>
      </c>
      <c r="U1615">
        <f>IF($T1615=1,COUNTIF($T$9:$T1615,1),"")</f>
        <v/>
      </c>
      <c r="V1615">
        <f>IF(AND(ISTEXT($A1615),LEFT($A1616,3)="Pan"),1,"")</f>
        <v/>
      </c>
    </row>
    <row r="1616">
      <c r="S1616">
        <f>IF(AND(ISTEXT($A1616),ISNUMBER(SEARCH(" - ",$A1616)),ISERROR(SEARCH("Folio",$A1616)),$D1616=""),TRIM($A1616),$S1615)</f>
        <v/>
      </c>
      <c r="T1616">
        <f>IF(AND(ISNUMBER(SEARCH("Folio",$A1616)),$D1616&lt;&gt;""),1,"")</f>
        <v/>
      </c>
      <c r="U1616">
        <f>IF($T1616=1,COUNTIF($T$9:$T1616,1),"")</f>
        <v/>
      </c>
      <c r="V1616">
        <f>IF(AND(ISTEXT($A1616),LEFT($A1617,3)="Pan"),1,"")</f>
        <v/>
      </c>
    </row>
    <row r="1617">
      <c r="S1617">
        <f>IF(AND(ISTEXT($A1617),ISNUMBER(SEARCH(" - ",$A1617)),ISERROR(SEARCH("Folio",$A1617)),$D1617=""),TRIM($A1617),$S1616)</f>
        <v/>
      </c>
      <c r="T1617">
        <f>IF(AND(ISNUMBER(SEARCH("Folio",$A1617)),$D1617&lt;&gt;""),1,"")</f>
        <v/>
      </c>
      <c r="U1617">
        <f>IF($T1617=1,COUNTIF($T$9:$T1617,1),"")</f>
        <v/>
      </c>
      <c r="V1617">
        <f>IF(AND(ISTEXT($A1617),LEFT($A1618,3)="Pan"),1,"")</f>
        <v/>
      </c>
    </row>
    <row r="1618">
      <c r="S1618">
        <f>IF(AND(ISTEXT($A1618),ISNUMBER(SEARCH(" - ",$A1618)),ISERROR(SEARCH("Folio",$A1618)),$D1618=""),TRIM($A1618),$S1617)</f>
        <v/>
      </c>
      <c r="T1618">
        <f>IF(AND(ISNUMBER(SEARCH("Folio",$A1618)),$D1618&lt;&gt;""),1,"")</f>
        <v/>
      </c>
      <c r="U1618">
        <f>IF($T1618=1,COUNTIF($T$9:$T1618,1),"")</f>
        <v/>
      </c>
      <c r="V1618">
        <f>IF(AND(ISTEXT($A1618),LEFT($A1619,3)="Pan"),1,"")</f>
        <v/>
      </c>
    </row>
    <row r="1619">
      <c r="S1619">
        <f>IF(AND(ISTEXT($A1619),ISNUMBER(SEARCH(" - ",$A1619)),ISERROR(SEARCH("Folio",$A1619)),$D1619=""),TRIM($A1619),$S1618)</f>
        <v/>
      </c>
      <c r="T1619">
        <f>IF(AND(ISNUMBER(SEARCH("Folio",$A1619)),$D1619&lt;&gt;""),1,"")</f>
        <v/>
      </c>
      <c r="U1619">
        <f>IF($T1619=1,COUNTIF($T$9:$T1619,1),"")</f>
        <v/>
      </c>
      <c r="V1619">
        <f>IF(AND(ISTEXT($A1619),LEFT($A1620,3)="Pan"),1,"")</f>
        <v/>
      </c>
    </row>
    <row r="1620">
      <c r="S1620">
        <f>IF(AND(ISTEXT($A1620),ISNUMBER(SEARCH(" - ",$A1620)),ISERROR(SEARCH("Folio",$A1620)),$D1620=""),TRIM($A1620),$S1619)</f>
        <v/>
      </c>
      <c r="T1620">
        <f>IF(AND(ISNUMBER(SEARCH("Folio",$A1620)),$D1620&lt;&gt;""),1,"")</f>
        <v/>
      </c>
      <c r="U1620">
        <f>IF($T1620=1,COUNTIF($T$9:$T1620,1),"")</f>
        <v/>
      </c>
      <c r="V1620">
        <f>IF(AND(ISTEXT($A1620),LEFT($A1621,3)="Pan"),1,"")</f>
        <v/>
      </c>
    </row>
    <row r="1621">
      <c r="S1621">
        <f>IF(AND(ISTEXT($A1621),ISNUMBER(SEARCH(" - ",$A1621)),ISERROR(SEARCH("Folio",$A1621)),$D1621=""),TRIM($A1621),$S1620)</f>
        <v/>
      </c>
      <c r="T1621">
        <f>IF(AND(ISNUMBER(SEARCH("Folio",$A1621)),$D1621&lt;&gt;""),1,"")</f>
        <v/>
      </c>
      <c r="U1621">
        <f>IF($T1621=1,COUNTIF($T$9:$T1621,1),"")</f>
        <v/>
      </c>
      <c r="V1621">
        <f>IF(AND(ISTEXT($A1621),LEFT($A1622,3)="Pan"),1,"")</f>
        <v/>
      </c>
    </row>
    <row r="1622">
      <c r="S1622">
        <f>IF(AND(ISTEXT($A1622),ISNUMBER(SEARCH(" - ",$A1622)),ISERROR(SEARCH("Folio",$A1622)),$D1622=""),TRIM($A1622),$S1621)</f>
        <v/>
      </c>
      <c r="T1622">
        <f>IF(AND(ISNUMBER(SEARCH("Folio",$A1622)),$D1622&lt;&gt;""),1,"")</f>
        <v/>
      </c>
      <c r="U1622">
        <f>IF($T1622=1,COUNTIF($T$9:$T1622,1),"")</f>
        <v/>
      </c>
      <c r="V1622">
        <f>IF(AND(ISTEXT($A1622),LEFT($A1623,3)="Pan"),1,"")</f>
        <v/>
      </c>
    </row>
    <row r="1623">
      <c r="S1623">
        <f>IF(AND(ISTEXT($A1623),ISNUMBER(SEARCH(" - ",$A1623)),ISERROR(SEARCH("Folio",$A1623)),$D1623=""),TRIM($A1623),$S1622)</f>
        <v/>
      </c>
      <c r="T1623">
        <f>IF(AND(ISNUMBER(SEARCH("Folio",$A1623)),$D1623&lt;&gt;""),1,"")</f>
        <v/>
      </c>
      <c r="U1623">
        <f>IF($T1623=1,COUNTIF($T$9:$T1623,1),"")</f>
        <v/>
      </c>
      <c r="V1623">
        <f>IF(AND(ISTEXT($A1623),LEFT($A1624,3)="Pan"),1,"")</f>
        <v/>
      </c>
    </row>
    <row r="1624">
      <c r="S1624">
        <f>IF(AND(ISTEXT($A1624),ISNUMBER(SEARCH(" - ",$A1624)),ISERROR(SEARCH("Folio",$A1624)),$D1624=""),TRIM($A1624),$S1623)</f>
        <v/>
      </c>
      <c r="T1624">
        <f>IF(AND(ISNUMBER(SEARCH("Folio",$A1624)),$D1624&lt;&gt;""),1,"")</f>
        <v/>
      </c>
      <c r="U1624">
        <f>IF($T1624=1,COUNTIF($T$9:$T1624,1),"")</f>
        <v/>
      </c>
      <c r="V1624">
        <f>IF(AND(ISTEXT($A1624),LEFT($A1625,3)="Pan"),1,"")</f>
        <v/>
      </c>
    </row>
    <row r="1625">
      <c r="S1625">
        <f>IF(AND(ISTEXT($A1625),ISNUMBER(SEARCH(" - ",$A1625)),ISERROR(SEARCH("Folio",$A1625)),$D1625=""),TRIM($A1625),$S1624)</f>
        <v/>
      </c>
      <c r="T1625">
        <f>IF(AND(ISNUMBER(SEARCH("Folio",$A1625)),$D1625&lt;&gt;""),1,"")</f>
        <v/>
      </c>
      <c r="U1625">
        <f>IF($T1625=1,COUNTIF($T$9:$T1625,1),"")</f>
        <v/>
      </c>
      <c r="V1625">
        <f>IF(AND(ISTEXT($A1625),LEFT($A1626,3)="Pan"),1,"")</f>
        <v/>
      </c>
    </row>
    <row r="1626">
      <c r="S1626">
        <f>IF(AND(ISTEXT($A1626),ISNUMBER(SEARCH(" - ",$A1626)),ISERROR(SEARCH("Folio",$A1626)),$D1626=""),TRIM($A1626),$S1625)</f>
        <v/>
      </c>
      <c r="T1626">
        <f>IF(AND(ISNUMBER(SEARCH("Folio",$A1626)),$D1626&lt;&gt;""),1,"")</f>
        <v/>
      </c>
      <c r="U1626">
        <f>IF($T1626=1,COUNTIF($T$9:$T1626,1),"")</f>
        <v/>
      </c>
      <c r="V1626">
        <f>IF(AND(ISTEXT($A1626),LEFT($A1627,3)="Pan"),1,"")</f>
        <v/>
      </c>
    </row>
    <row r="1627">
      <c r="S1627">
        <f>IF(AND(ISTEXT($A1627),ISNUMBER(SEARCH(" - ",$A1627)),ISERROR(SEARCH("Folio",$A1627)),$D1627=""),TRIM($A1627),$S1626)</f>
        <v/>
      </c>
      <c r="T1627">
        <f>IF(AND(ISNUMBER(SEARCH("Folio",$A1627)),$D1627&lt;&gt;""),1,"")</f>
        <v/>
      </c>
      <c r="U1627">
        <f>IF($T1627=1,COUNTIF($T$9:$T1627,1),"")</f>
        <v/>
      </c>
      <c r="V1627">
        <f>IF(AND(ISTEXT($A1627),LEFT($A1628,3)="Pan"),1,"")</f>
        <v/>
      </c>
    </row>
    <row r="1628">
      <c r="S1628">
        <f>IF(AND(ISTEXT($A1628),ISNUMBER(SEARCH(" - ",$A1628)),ISERROR(SEARCH("Folio",$A1628)),$D1628=""),TRIM($A1628),$S1627)</f>
        <v/>
      </c>
      <c r="T1628">
        <f>IF(AND(ISNUMBER(SEARCH("Folio",$A1628)),$D1628&lt;&gt;""),1,"")</f>
        <v/>
      </c>
      <c r="U1628">
        <f>IF($T1628=1,COUNTIF($T$9:$T1628,1),"")</f>
        <v/>
      </c>
      <c r="V1628">
        <f>IF(AND(ISTEXT($A1628),LEFT($A1629,3)="Pan"),1,"")</f>
        <v/>
      </c>
    </row>
    <row r="1629">
      <c r="S1629">
        <f>IF(AND(ISTEXT($A1629),ISNUMBER(SEARCH(" - ",$A1629)),ISERROR(SEARCH("Folio",$A1629)),$D1629=""),TRIM($A1629),$S1628)</f>
        <v/>
      </c>
      <c r="T1629">
        <f>IF(AND(ISNUMBER(SEARCH("Folio",$A1629)),$D1629&lt;&gt;""),1,"")</f>
        <v/>
      </c>
      <c r="U1629">
        <f>IF($T1629=1,COUNTIF($T$9:$T1629,1),"")</f>
        <v/>
      </c>
      <c r="V1629">
        <f>IF(AND(ISTEXT($A1629),LEFT($A1630,3)="Pan"),1,"")</f>
        <v/>
      </c>
    </row>
    <row r="1630">
      <c r="S1630">
        <f>IF(AND(ISTEXT($A1630),ISNUMBER(SEARCH(" - ",$A1630)),ISERROR(SEARCH("Folio",$A1630)),$D1630=""),TRIM($A1630),$S1629)</f>
        <v/>
      </c>
      <c r="T1630">
        <f>IF(AND(ISNUMBER(SEARCH("Folio",$A1630)),$D1630&lt;&gt;""),1,"")</f>
        <v/>
      </c>
      <c r="U1630">
        <f>IF($T1630=1,COUNTIF($T$9:$T1630,1),"")</f>
        <v/>
      </c>
      <c r="V1630">
        <f>IF(AND(ISTEXT($A1630),LEFT($A1631,3)="Pan"),1,"")</f>
        <v/>
      </c>
    </row>
    <row r="1631">
      <c r="S1631">
        <f>IF(AND(ISTEXT($A1631),ISNUMBER(SEARCH(" - ",$A1631)),ISERROR(SEARCH("Folio",$A1631)),$D1631=""),TRIM($A1631),$S1630)</f>
        <v/>
      </c>
      <c r="T1631">
        <f>IF(AND(ISNUMBER(SEARCH("Folio",$A1631)),$D1631&lt;&gt;""),1,"")</f>
        <v/>
      </c>
      <c r="U1631">
        <f>IF($T1631=1,COUNTIF($T$9:$T1631,1),"")</f>
        <v/>
      </c>
      <c r="V1631">
        <f>IF(AND(ISTEXT($A1631),LEFT($A1632,3)="Pan"),1,"")</f>
        <v/>
      </c>
    </row>
    <row r="1632">
      <c r="S1632">
        <f>IF(AND(ISTEXT($A1632),ISNUMBER(SEARCH(" - ",$A1632)),ISERROR(SEARCH("Folio",$A1632)),$D1632=""),TRIM($A1632),$S1631)</f>
        <v/>
      </c>
      <c r="T1632">
        <f>IF(AND(ISNUMBER(SEARCH("Folio",$A1632)),$D1632&lt;&gt;""),1,"")</f>
        <v/>
      </c>
      <c r="U1632">
        <f>IF($T1632=1,COUNTIF($T$9:$T1632,1),"")</f>
        <v/>
      </c>
      <c r="V1632">
        <f>IF(AND(ISTEXT($A1632),LEFT($A1633,3)="Pan"),1,"")</f>
        <v/>
      </c>
    </row>
    <row r="1633">
      <c r="S1633">
        <f>IF(AND(ISTEXT($A1633),ISNUMBER(SEARCH(" - ",$A1633)),ISERROR(SEARCH("Folio",$A1633)),$D1633=""),TRIM($A1633),$S1632)</f>
        <v/>
      </c>
      <c r="T1633">
        <f>IF(AND(ISNUMBER(SEARCH("Folio",$A1633)),$D1633&lt;&gt;""),1,"")</f>
        <v/>
      </c>
      <c r="U1633">
        <f>IF($T1633=1,COUNTIF($T$9:$T1633,1),"")</f>
        <v/>
      </c>
      <c r="V1633">
        <f>IF(AND(ISTEXT($A1633),LEFT($A1634,3)="Pan"),1,"")</f>
        <v/>
      </c>
    </row>
    <row r="1634">
      <c r="S1634">
        <f>IF(AND(ISTEXT($A1634),ISNUMBER(SEARCH(" - ",$A1634)),ISERROR(SEARCH("Folio",$A1634)),$D1634=""),TRIM($A1634),$S1633)</f>
        <v/>
      </c>
      <c r="T1634">
        <f>IF(AND(ISNUMBER(SEARCH("Folio",$A1634)),$D1634&lt;&gt;""),1,"")</f>
        <v/>
      </c>
      <c r="U1634">
        <f>IF($T1634=1,COUNTIF($T$9:$T1634,1),"")</f>
        <v/>
      </c>
      <c r="V1634">
        <f>IF(AND(ISTEXT($A1634),LEFT($A1635,3)="Pan"),1,"")</f>
        <v/>
      </c>
    </row>
    <row r="1635">
      <c r="S1635">
        <f>IF(AND(ISTEXT($A1635),ISNUMBER(SEARCH(" - ",$A1635)),ISERROR(SEARCH("Folio",$A1635)),$D1635=""),TRIM($A1635),$S1634)</f>
        <v/>
      </c>
      <c r="T1635">
        <f>IF(AND(ISNUMBER(SEARCH("Folio",$A1635)),$D1635&lt;&gt;""),1,"")</f>
        <v/>
      </c>
      <c r="U1635">
        <f>IF($T1635=1,COUNTIF($T$9:$T1635,1),"")</f>
        <v/>
      </c>
      <c r="V1635">
        <f>IF(AND(ISTEXT($A1635),LEFT($A1636,3)="Pan"),1,"")</f>
        <v/>
      </c>
    </row>
    <row r="1636">
      <c r="S1636">
        <f>IF(AND(ISTEXT($A1636),ISNUMBER(SEARCH(" - ",$A1636)),ISERROR(SEARCH("Folio",$A1636)),$D1636=""),TRIM($A1636),$S1635)</f>
        <v/>
      </c>
      <c r="T1636">
        <f>IF(AND(ISNUMBER(SEARCH("Folio",$A1636)),$D1636&lt;&gt;""),1,"")</f>
        <v/>
      </c>
      <c r="U1636">
        <f>IF($T1636=1,COUNTIF($T$9:$T1636,1),"")</f>
        <v/>
      </c>
      <c r="V1636">
        <f>IF(AND(ISTEXT($A1636),LEFT($A1637,3)="Pan"),1,"")</f>
        <v/>
      </c>
    </row>
    <row r="1637">
      <c r="S1637">
        <f>IF(AND(ISTEXT($A1637),ISNUMBER(SEARCH(" - ",$A1637)),ISERROR(SEARCH("Folio",$A1637)),$D1637=""),TRIM($A1637),$S1636)</f>
        <v/>
      </c>
      <c r="T1637">
        <f>IF(AND(ISNUMBER(SEARCH("Folio",$A1637)),$D1637&lt;&gt;""),1,"")</f>
        <v/>
      </c>
      <c r="U1637">
        <f>IF($T1637=1,COUNTIF($T$9:$T1637,1),"")</f>
        <v/>
      </c>
      <c r="V1637">
        <f>IF(AND(ISTEXT($A1637),LEFT($A1638,3)="Pan"),1,"")</f>
        <v/>
      </c>
    </row>
    <row r="1638">
      <c r="S1638">
        <f>IF(AND(ISTEXT($A1638),ISNUMBER(SEARCH(" - ",$A1638)),ISERROR(SEARCH("Folio",$A1638)),$D1638=""),TRIM($A1638),$S1637)</f>
        <v/>
      </c>
      <c r="T1638">
        <f>IF(AND(ISNUMBER(SEARCH("Folio",$A1638)),$D1638&lt;&gt;""),1,"")</f>
        <v/>
      </c>
      <c r="U1638">
        <f>IF($T1638=1,COUNTIF($T$9:$T1638,1),"")</f>
        <v/>
      </c>
      <c r="V1638">
        <f>IF(AND(ISTEXT($A1638),LEFT($A1639,3)="Pan"),1,"")</f>
        <v/>
      </c>
    </row>
    <row r="1639">
      <c r="S1639">
        <f>IF(AND(ISTEXT($A1639),ISNUMBER(SEARCH(" - ",$A1639)),ISERROR(SEARCH("Folio",$A1639)),$D1639=""),TRIM($A1639),$S1638)</f>
        <v/>
      </c>
      <c r="T1639">
        <f>IF(AND(ISNUMBER(SEARCH("Folio",$A1639)),$D1639&lt;&gt;""),1,"")</f>
        <v/>
      </c>
      <c r="U1639">
        <f>IF($T1639=1,COUNTIF($T$9:$T1639,1),"")</f>
        <v/>
      </c>
      <c r="V1639">
        <f>IF(AND(ISTEXT($A1639),LEFT($A1640,3)="Pan"),1,"")</f>
        <v/>
      </c>
    </row>
    <row r="1640">
      <c r="S1640">
        <f>IF(AND(ISTEXT($A1640),ISNUMBER(SEARCH(" - ",$A1640)),ISERROR(SEARCH("Folio",$A1640)),$D1640=""),TRIM($A1640),$S1639)</f>
        <v/>
      </c>
      <c r="T1640">
        <f>IF(AND(ISNUMBER(SEARCH("Folio",$A1640)),$D1640&lt;&gt;""),1,"")</f>
        <v/>
      </c>
      <c r="U1640">
        <f>IF($T1640=1,COUNTIF($T$9:$T1640,1),"")</f>
        <v/>
      </c>
      <c r="V1640">
        <f>IF(AND(ISTEXT($A1640),LEFT($A1641,3)="Pan"),1,"")</f>
        <v/>
      </c>
    </row>
    <row r="1641">
      <c r="S1641">
        <f>IF(AND(ISTEXT($A1641),ISNUMBER(SEARCH(" - ",$A1641)),ISERROR(SEARCH("Folio",$A1641)),$D1641=""),TRIM($A1641),$S1640)</f>
        <v/>
      </c>
      <c r="T1641">
        <f>IF(AND(ISNUMBER(SEARCH("Folio",$A1641)),$D1641&lt;&gt;""),1,"")</f>
        <v/>
      </c>
      <c r="U1641">
        <f>IF($T1641=1,COUNTIF($T$9:$T1641,1),"")</f>
        <v/>
      </c>
      <c r="V1641">
        <f>IF(AND(ISTEXT($A1641),LEFT($A1642,3)="Pan"),1,"")</f>
        <v/>
      </c>
    </row>
    <row r="1642">
      <c r="S1642">
        <f>IF(AND(ISTEXT($A1642),ISNUMBER(SEARCH(" - ",$A1642)),ISERROR(SEARCH("Folio",$A1642)),$D1642=""),TRIM($A1642),$S1641)</f>
        <v/>
      </c>
      <c r="T1642">
        <f>IF(AND(ISNUMBER(SEARCH("Folio",$A1642)),$D1642&lt;&gt;""),1,"")</f>
        <v/>
      </c>
      <c r="U1642">
        <f>IF($T1642=1,COUNTIF($T$9:$T1642,1),"")</f>
        <v/>
      </c>
      <c r="V1642">
        <f>IF(AND(ISTEXT($A1642),LEFT($A1643,3)="Pan"),1,"")</f>
        <v/>
      </c>
    </row>
    <row r="1643">
      <c r="S1643">
        <f>IF(AND(ISTEXT($A1643),ISNUMBER(SEARCH(" - ",$A1643)),ISERROR(SEARCH("Folio",$A1643)),$D1643=""),TRIM($A1643),$S1642)</f>
        <v/>
      </c>
      <c r="T1643">
        <f>IF(AND(ISNUMBER(SEARCH("Folio",$A1643)),$D1643&lt;&gt;""),1,"")</f>
        <v/>
      </c>
      <c r="U1643">
        <f>IF($T1643=1,COUNTIF($T$9:$T1643,1),"")</f>
        <v/>
      </c>
      <c r="V1643">
        <f>IF(AND(ISTEXT($A1643),LEFT($A1644,3)="Pan"),1,"")</f>
        <v/>
      </c>
    </row>
    <row r="1644">
      <c r="S1644">
        <f>IF(AND(ISTEXT($A1644),ISNUMBER(SEARCH(" - ",$A1644)),ISERROR(SEARCH("Folio",$A1644)),$D1644=""),TRIM($A1644),$S1643)</f>
        <v/>
      </c>
      <c r="T1644">
        <f>IF(AND(ISNUMBER(SEARCH("Folio",$A1644)),$D1644&lt;&gt;""),1,"")</f>
        <v/>
      </c>
      <c r="U1644">
        <f>IF($T1644=1,COUNTIF($T$9:$T1644,1),"")</f>
        <v/>
      </c>
      <c r="V1644">
        <f>IF(AND(ISTEXT($A1644),LEFT($A1645,3)="Pan"),1,"")</f>
        <v/>
      </c>
    </row>
    <row r="1645">
      <c r="S1645">
        <f>IF(AND(ISTEXT($A1645),ISNUMBER(SEARCH(" - ",$A1645)),ISERROR(SEARCH("Folio",$A1645)),$D1645=""),TRIM($A1645),$S1644)</f>
        <v/>
      </c>
      <c r="T1645">
        <f>IF(AND(ISNUMBER(SEARCH("Folio",$A1645)),$D1645&lt;&gt;""),1,"")</f>
        <v/>
      </c>
      <c r="U1645">
        <f>IF($T1645=1,COUNTIF($T$9:$T1645,1),"")</f>
        <v/>
      </c>
      <c r="V1645">
        <f>IF(AND(ISTEXT($A1645),LEFT($A1646,3)="Pan"),1,"")</f>
        <v/>
      </c>
    </row>
    <row r="1646">
      <c r="S1646">
        <f>IF(AND(ISTEXT($A1646),ISNUMBER(SEARCH(" - ",$A1646)),ISERROR(SEARCH("Folio",$A1646)),$D1646=""),TRIM($A1646),$S1645)</f>
        <v/>
      </c>
      <c r="T1646">
        <f>IF(AND(ISNUMBER(SEARCH("Folio",$A1646)),$D1646&lt;&gt;""),1,"")</f>
        <v/>
      </c>
      <c r="U1646">
        <f>IF($T1646=1,COUNTIF($T$9:$T1646,1),"")</f>
        <v/>
      </c>
      <c r="V1646">
        <f>IF(AND(ISTEXT($A1646),LEFT($A1647,3)="Pan"),1,"")</f>
        <v/>
      </c>
    </row>
    <row r="1647">
      <c r="S1647">
        <f>IF(AND(ISTEXT($A1647),ISNUMBER(SEARCH(" - ",$A1647)),ISERROR(SEARCH("Folio",$A1647)),$D1647=""),TRIM($A1647),$S1646)</f>
        <v/>
      </c>
      <c r="T1647">
        <f>IF(AND(ISNUMBER(SEARCH("Folio",$A1647)),$D1647&lt;&gt;""),1,"")</f>
        <v/>
      </c>
      <c r="U1647">
        <f>IF($T1647=1,COUNTIF($T$9:$T1647,1),"")</f>
        <v/>
      </c>
      <c r="V1647">
        <f>IF(AND(ISTEXT($A1647),LEFT($A1648,3)="Pan"),1,"")</f>
        <v/>
      </c>
    </row>
    <row r="1648">
      <c r="S1648">
        <f>IF(AND(ISTEXT($A1648),ISNUMBER(SEARCH(" - ",$A1648)),ISERROR(SEARCH("Folio",$A1648)),$D1648=""),TRIM($A1648),$S1647)</f>
        <v/>
      </c>
      <c r="T1648">
        <f>IF(AND(ISNUMBER(SEARCH("Folio",$A1648)),$D1648&lt;&gt;""),1,"")</f>
        <v/>
      </c>
      <c r="U1648">
        <f>IF($T1648=1,COUNTIF($T$9:$T1648,1),"")</f>
        <v/>
      </c>
      <c r="V1648">
        <f>IF(AND(ISTEXT($A1648),LEFT($A1649,3)="Pan"),1,"")</f>
        <v/>
      </c>
    </row>
    <row r="1649">
      <c r="S1649">
        <f>IF(AND(ISTEXT($A1649),ISNUMBER(SEARCH(" - ",$A1649)),ISERROR(SEARCH("Folio",$A1649)),$D1649=""),TRIM($A1649),$S1648)</f>
        <v/>
      </c>
      <c r="T1649">
        <f>IF(AND(ISNUMBER(SEARCH("Folio",$A1649)),$D1649&lt;&gt;""),1,"")</f>
        <v/>
      </c>
      <c r="U1649">
        <f>IF($T1649=1,COUNTIF($T$9:$T1649,1),"")</f>
        <v/>
      </c>
      <c r="V1649">
        <f>IF(AND(ISTEXT($A1649),LEFT($A1650,3)="Pan"),1,"")</f>
        <v/>
      </c>
    </row>
    <row r="1650">
      <c r="S1650">
        <f>IF(AND(ISTEXT($A1650),ISNUMBER(SEARCH(" - ",$A1650)),ISERROR(SEARCH("Folio",$A1650)),$D1650=""),TRIM($A1650),$S1649)</f>
        <v/>
      </c>
      <c r="T1650">
        <f>IF(AND(ISNUMBER(SEARCH("Folio",$A1650)),$D1650&lt;&gt;""),1,"")</f>
        <v/>
      </c>
      <c r="U1650">
        <f>IF($T1650=1,COUNTIF($T$9:$T1650,1),"")</f>
        <v/>
      </c>
      <c r="V1650">
        <f>IF(AND(ISTEXT($A1650),LEFT($A1651,3)="Pan"),1,"")</f>
        <v/>
      </c>
    </row>
    <row r="1651">
      <c r="S1651">
        <f>IF(AND(ISTEXT($A1651),ISNUMBER(SEARCH(" - ",$A1651)),ISERROR(SEARCH("Folio",$A1651)),$D1651=""),TRIM($A1651),$S1650)</f>
        <v/>
      </c>
      <c r="T1651">
        <f>IF(AND(ISNUMBER(SEARCH("Folio",$A1651)),$D1651&lt;&gt;""),1,"")</f>
        <v/>
      </c>
      <c r="U1651">
        <f>IF($T1651=1,COUNTIF($T$9:$T1651,1),"")</f>
        <v/>
      </c>
      <c r="V1651">
        <f>IF(AND(ISTEXT($A1651),LEFT($A1652,3)="Pan"),1,"")</f>
        <v/>
      </c>
    </row>
    <row r="1652">
      <c r="S1652">
        <f>IF(AND(ISTEXT($A1652),ISNUMBER(SEARCH(" - ",$A1652)),ISERROR(SEARCH("Folio",$A1652)),$D1652=""),TRIM($A1652),$S1651)</f>
        <v/>
      </c>
      <c r="T1652">
        <f>IF(AND(ISNUMBER(SEARCH("Folio",$A1652)),$D1652&lt;&gt;""),1,"")</f>
        <v/>
      </c>
      <c r="U1652">
        <f>IF($T1652=1,COUNTIF($T$9:$T1652,1),"")</f>
        <v/>
      </c>
      <c r="V1652">
        <f>IF(AND(ISTEXT($A1652),LEFT($A1653,3)="Pan"),1,"")</f>
        <v/>
      </c>
    </row>
    <row r="1653">
      <c r="S1653">
        <f>IF(AND(ISTEXT($A1653),ISNUMBER(SEARCH(" - ",$A1653)),ISERROR(SEARCH("Folio",$A1653)),$D1653=""),TRIM($A1653),$S1652)</f>
        <v/>
      </c>
      <c r="T1653">
        <f>IF(AND(ISNUMBER(SEARCH("Folio",$A1653)),$D1653&lt;&gt;""),1,"")</f>
        <v/>
      </c>
      <c r="U1653">
        <f>IF($T1653=1,COUNTIF($T$9:$T1653,1),"")</f>
        <v/>
      </c>
      <c r="V1653">
        <f>IF(AND(ISTEXT($A1653),LEFT($A1654,3)="Pan"),1,"")</f>
        <v/>
      </c>
    </row>
    <row r="1654">
      <c r="S1654">
        <f>IF(AND(ISTEXT($A1654),ISNUMBER(SEARCH(" - ",$A1654)),ISERROR(SEARCH("Folio",$A1654)),$D1654=""),TRIM($A1654),$S1653)</f>
        <v/>
      </c>
      <c r="T1654">
        <f>IF(AND(ISNUMBER(SEARCH("Folio",$A1654)),$D1654&lt;&gt;""),1,"")</f>
        <v/>
      </c>
      <c r="U1654">
        <f>IF($T1654=1,COUNTIF($T$9:$T1654,1),"")</f>
        <v/>
      </c>
      <c r="V1654">
        <f>IF(AND(ISTEXT($A1654),LEFT($A1655,3)="Pan"),1,"")</f>
        <v/>
      </c>
    </row>
    <row r="1655">
      <c r="S1655">
        <f>IF(AND(ISTEXT($A1655),ISNUMBER(SEARCH(" - ",$A1655)),ISERROR(SEARCH("Folio",$A1655)),$D1655=""),TRIM($A1655),$S1654)</f>
        <v/>
      </c>
      <c r="T1655">
        <f>IF(AND(ISNUMBER(SEARCH("Folio",$A1655)),$D1655&lt;&gt;""),1,"")</f>
        <v/>
      </c>
      <c r="U1655">
        <f>IF($T1655=1,COUNTIF($T$9:$T1655,1),"")</f>
        <v/>
      </c>
      <c r="V1655">
        <f>IF(AND(ISTEXT($A1655),LEFT($A1656,3)="Pan"),1,"")</f>
        <v/>
      </c>
    </row>
    <row r="1656">
      <c r="S1656">
        <f>IF(AND(ISTEXT($A1656),ISNUMBER(SEARCH(" - ",$A1656)),ISERROR(SEARCH("Folio",$A1656)),$D1656=""),TRIM($A1656),$S1655)</f>
        <v/>
      </c>
      <c r="T1656">
        <f>IF(AND(ISNUMBER(SEARCH("Folio",$A1656)),$D1656&lt;&gt;""),1,"")</f>
        <v/>
      </c>
      <c r="U1656">
        <f>IF($T1656=1,COUNTIF($T$9:$T1656,1),"")</f>
        <v/>
      </c>
      <c r="V1656">
        <f>IF(AND(ISTEXT($A1656),LEFT($A1657,3)="Pan"),1,"")</f>
        <v/>
      </c>
    </row>
    <row r="1657">
      <c r="S1657">
        <f>IF(AND(ISTEXT($A1657),ISNUMBER(SEARCH(" - ",$A1657)),ISERROR(SEARCH("Folio",$A1657)),$D1657=""),TRIM($A1657),$S1656)</f>
        <v/>
      </c>
      <c r="T1657">
        <f>IF(AND(ISNUMBER(SEARCH("Folio",$A1657)),$D1657&lt;&gt;""),1,"")</f>
        <v/>
      </c>
      <c r="U1657">
        <f>IF($T1657=1,COUNTIF($T$9:$T1657,1),"")</f>
        <v/>
      </c>
      <c r="V1657">
        <f>IF(AND(ISTEXT($A1657),LEFT($A1658,3)="Pan"),1,"")</f>
        <v/>
      </c>
    </row>
    <row r="1658">
      <c r="S1658">
        <f>IF(AND(ISTEXT($A1658),ISNUMBER(SEARCH(" - ",$A1658)),ISERROR(SEARCH("Folio",$A1658)),$D1658=""),TRIM($A1658),$S1657)</f>
        <v/>
      </c>
      <c r="T1658">
        <f>IF(AND(ISNUMBER(SEARCH("Folio",$A1658)),$D1658&lt;&gt;""),1,"")</f>
        <v/>
      </c>
      <c r="U1658">
        <f>IF($T1658=1,COUNTIF($T$9:$T1658,1),"")</f>
        <v/>
      </c>
      <c r="V1658">
        <f>IF(AND(ISTEXT($A1658),LEFT($A1659,3)="Pan"),1,"")</f>
        <v/>
      </c>
    </row>
    <row r="1659">
      <c r="S1659">
        <f>IF(AND(ISTEXT($A1659),ISNUMBER(SEARCH(" - ",$A1659)),ISERROR(SEARCH("Folio",$A1659)),$D1659=""),TRIM($A1659),$S1658)</f>
        <v/>
      </c>
      <c r="T1659">
        <f>IF(AND(ISNUMBER(SEARCH("Folio",$A1659)),$D1659&lt;&gt;""),1,"")</f>
        <v/>
      </c>
      <c r="U1659">
        <f>IF($T1659=1,COUNTIF($T$9:$T1659,1),"")</f>
        <v/>
      </c>
      <c r="V1659">
        <f>IF(AND(ISTEXT($A1659),LEFT($A1660,3)="Pan"),1,"")</f>
        <v/>
      </c>
    </row>
    <row r="1660">
      <c r="S1660">
        <f>IF(AND(ISTEXT($A1660),ISNUMBER(SEARCH(" - ",$A1660)),ISERROR(SEARCH("Folio",$A1660)),$D1660=""),TRIM($A1660),$S1659)</f>
        <v/>
      </c>
      <c r="T1660">
        <f>IF(AND(ISNUMBER(SEARCH("Folio",$A1660)),$D1660&lt;&gt;""),1,"")</f>
        <v/>
      </c>
      <c r="U1660">
        <f>IF($T1660=1,COUNTIF($T$9:$T1660,1),"")</f>
        <v/>
      </c>
      <c r="V1660">
        <f>IF(AND(ISTEXT($A1660),LEFT($A1661,3)="Pan"),1,"")</f>
        <v/>
      </c>
    </row>
    <row r="1661">
      <c r="S1661">
        <f>IF(AND(ISTEXT($A1661),ISNUMBER(SEARCH(" - ",$A1661)),ISERROR(SEARCH("Folio",$A1661)),$D1661=""),TRIM($A1661),$S1660)</f>
        <v/>
      </c>
      <c r="T1661">
        <f>IF(AND(ISNUMBER(SEARCH("Folio",$A1661)),$D1661&lt;&gt;""),1,"")</f>
        <v/>
      </c>
      <c r="U1661">
        <f>IF($T1661=1,COUNTIF($T$9:$T1661,1),"")</f>
        <v/>
      </c>
      <c r="V1661">
        <f>IF(AND(ISTEXT($A1661),LEFT($A1662,3)="Pan"),1,"")</f>
        <v/>
      </c>
    </row>
    <row r="1662">
      <c r="S1662">
        <f>IF(AND(ISTEXT($A1662),ISNUMBER(SEARCH(" - ",$A1662)),ISERROR(SEARCH("Folio",$A1662)),$D1662=""),TRIM($A1662),$S1661)</f>
        <v/>
      </c>
      <c r="T1662">
        <f>IF(AND(ISNUMBER(SEARCH("Folio",$A1662)),$D1662&lt;&gt;""),1,"")</f>
        <v/>
      </c>
      <c r="U1662">
        <f>IF($T1662=1,COUNTIF($T$9:$T1662,1),"")</f>
        <v/>
      </c>
      <c r="V1662">
        <f>IF(AND(ISTEXT($A1662),LEFT($A1663,3)="Pan"),1,"")</f>
        <v/>
      </c>
    </row>
    <row r="1663">
      <c r="S1663">
        <f>IF(AND(ISTEXT($A1663),ISNUMBER(SEARCH(" - ",$A1663)),ISERROR(SEARCH("Folio",$A1663)),$D1663=""),TRIM($A1663),$S1662)</f>
        <v/>
      </c>
      <c r="T1663">
        <f>IF(AND(ISNUMBER(SEARCH("Folio",$A1663)),$D1663&lt;&gt;""),1,"")</f>
        <v/>
      </c>
      <c r="U1663">
        <f>IF($T1663=1,COUNTIF($T$9:$T1663,1),"")</f>
        <v/>
      </c>
      <c r="V1663">
        <f>IF(AND(ISTEXT($A1663),LEFT($A1664,3)="Pan"),1,"")</f>
        <v/>
      </c>
    </row>
    <row r="1664">
      <c r="S1664">
        <f>IF(AND(ISTEXT($A1664),ISNUMBER(SEARCH(" - ",$A1664)),ISERROR(SEARCH("Folio",$A1664)),$D1664=""),TRIM($A1664),$S1663)</f>
        <v/>
      </c>
      <c r="T1664">
        <f>IF(AND(ISNUMBER(SEARCH("Folio",$A1664)),$D1664&lt;&gt;""),1,"")</f>
        <v/>
      </c>
      <c r="U1664">
        <f>IF($T1664=1,COUNTIF($T$9:$T1664,1),"")</f>
        <v/>
      </c>
      <c r="V1664">
        <f>IF(AND(ISTEXT($A1664),LEFT($A1665,3)="Pan"),1,"")</f>
        <v/>
      </c>
    </row>
    <row r="1665">
      <c r="S1665">
        <f>IF(AND(ISTEXT($A1665),ISNUMBER(SEARCH(" - ",$A1665)),ISERROR(SEARCH("Folio",$A1665)),$D1665=""),TRIM($A1665),$S1664)</f>
        <v/>
      </c>
      <c r="T1665">
        <f>IF(AND(ISNUMBER(SEARCH("Folio",$A1665)),$D1665&lt;&gt;""),1,"")</f>
        <v/>
      </c>
      <c r="U1665">
        <f>IF($T1665=1,COUNTIF($T$9:$T1665,1),"")</f>
        <v/>
      </c>
      <c r="V1665">
        <f>IF(AND(ISTEXT($A1665),LEFT($A1666,3)="Pan"),1,"")</f>
        <v/>
      </c>
    </row>
    <row r="1666">
      <c r="S1666">
        <f>IF(AND(ISTEXT($A1666),ISNUMBER(SEARCH(" - ",$A1666)),ISERROR(SEARCH("Folio",$A1666)),$D1666=""),TRIM($A1666),$S1665)</f>
        <v/>
      </c>
      <c r="T1666">
        <f>IF(AND(ISNUMBER(SEARCH("Folio",$A1666)),$D1666&lt;&gt;""),1,"")</f>
        <v/>
      </c>
      <c r="U1666">
        <f>IF($T1666=1,COUNTIF($T$9:$T1666,1),"")</f>
        <v/>
      </c>
      <c r="V1666">
        <f>IF(AND(ISTEXT($A1666),LEFT($A1667,3)="Pan"),1,"")</f>
        <v/>
      </c>
    </row>
    <row r="1667">
      <c r="S1667">
        <f>IF(AND(ISTEXT($A1667),ISNUMBER(SEARCH(" - ",$A1667)),ISERROR(SEARCH("Folio",$A1667)),$D1667=""),TRIM($A1667),$S1666)</f>
        <v/>
      </c>
      <c r="T1667">
        <f>IF(AND(ISNUMBER(SEARCH("Folio",$A1667)),$D1667&lt;&gt;""),1,"")</f>
        <v/>
      </c>
      <c r="U1667">
        <f>IF($T1667=1,COUNTIF($T$9:$T1667,1),"")</f>
        <v/>
      </c>
      <c r="V1667">
        <f>IF(AND(ISTEXT($A1667),LEFT($A1668,3)="Pan"),1,"")</f>
        <v/>
      </c>
    </row>
    <row r="1668">
      <c r="S1668">
        <f>IF(AND(ISTEXT($A1668),ISNUMBER(SEARCH(" - ",$A1668)),ISERROR(SEARCH("Folio",$A1668)),$D1668=""),TRIM($A1668),$S1667)</f>
        <v/>
      </c>
      <c r="T1668">
        <f>IF(AND(ISNUMBER(SEARCH("Folio",$A1668)),$D1668&lt;&gt;""),1,"")</f>
        <v/>
      </c>
      <c r="U1668">
        <f>IF($T1668=1,COUNTIF($T$9:$T1668,1),"")</f>
        <v/>
      </c>
      <c r="V1668">
        <f>IF(AND(ISTEXT($A1668),LEFT($A1669,3)="Pan"),1,"")</f>
        <v/>
      </c>
    </row>
    <row r="1669">
      <c r="S1669">
        <f>IF(AND(ISTEXT($A1669),ISNUMBER(SEARCH(" - ",$A1669)),ISERROR(SEARCH("Folio",$A1669)),$D1669=""),TRIM($A1669),$S1668)</f>
        <v/>
      </c>
      <c r="T1669">
        <f>IF(AND(ISNUMBER(SEARCH("Folio",$A1669)),$D1669&lt;&gt;""),1,"")</f>
        <v/>
      </c>
      <c r="U1669">
        <f>IF($T1669=1,COUNTIF($T$9:$T1669,1),"")</f>
        <v/>
      </c>
      <c r="V1669">
        <f>IF(AND(ISTEXT($A1669),LEFT($A1670,3)="Pan"),1,"")</f>
        <v/>
      </c>
    </row>
    <row r="1670">
      <c r="S1670">
        <f>IF(AND(ISTEXT($A1670),ISNUMBER(SEARCH(" - ",$A1670)),ISERROR(SEARCH("Folio",$A1670)),$D1670=""),TRIM($A1670),$S1669)</f>
        <v/>
      </c>
      <c r="T1670">
        <f>IF(AND(ISNUMBER(SEARCH("Folio",$A1670)),$D1670&lt;&gt;""),1,"")</f>
        <v/>
      </c>
      <c r="U1670">
        <f>IF($T1670=1,COUNTIF($T$9:$T1670,1),"")</f>
        <v/>
      </c>
      <c r="V1670">
        <f>IF(AND(ISTEXT($A1670),LEFT($A1671,3)="Pan"),1,"")</f>
        <v/>
      </c>
    </row>
    <row r="1671">
      <c r="S1671">
        <f>IF(AND(ISTEXT($A1671),ISNUMBER(SEARCH(" - ",$A1671)),ISERROR(SEARCH("Folio",$A1671)),$D1671=""),TRIM($A1671),$S1670)</f>
        <v/>
      </c>
      <c r="T1671">
        <f>IF(AND(ISNUMBER(SEARCH("Folio",$A1671)),$D1671&lt;&gt;""),1,"")</f>
        <v/>
      </c>
      <c r="U1671">
        <f>IF($T1671=1,COUNTIF($T$9:$T1671,1),"")</f>
        <v/>
      </c>
      <c r="V1671">
        <f>IF(AND(ISTEXT($A1671),LEFT($A1672,3)="Pan"),1,"")</f>
        <v/>
      </c>
    </row>
    <row r="1672">
      <c r="S1672">
        <f>IF(AND(ISTEXT($A1672),ISNUMBER(SEARCH(" - ",$A1672)),ISERROR(SEARCH("Folio",$A1672)),$D1672=""),TRIM($A1672),$S1671)</f>
        <v/>
      </c>
      <c r="T1672">
        <f>IF(AND(ISNUMBER(SEARCH("Folio",$A1672)),$D1672&lt;&gt;""),1,"")</f>
        <v/>
      </c>
      <c r="U1672">
        <f>IF($T1672=1,COUNTIF($T$9:$T1672,1),"")</f>
        <v/>
      </c>
      <c r="V1672">
        <f>IF(AND(ISTEXT($A1672),LEFT($A1673,3)="Pan"),1,"")</f>
        <v/>
      </c>
    </row>
    <row r="1673">
      <c r="S1673">
        <f>IF(AND(ISTEXT($A1673),ISNUMBER(SEARCH(" - ",$A1673)),ISERROR(SEARCH("Folio",$A1673)),$D1673=""),TRIM($A1673),$S1672)</f>
        <v/>
      </c>
      <c r="T1673">
        <f>IF(AND(ISNUMBER(SEARCH("Folio",$A1673)),$D1673&lt;&gt;""),1,"")</f>
        <v/>
      </c>
      <c r="U1673">
        <f>IF($T1673=1,COUNTIF($T$9:$T1673,1),"")</f>
        <v/>
      </c>
      <c r="V1673">
        <f>IF(AND(ISTEXT($A1673),LEFT($A1674,3)="Pan"),1,"")</f>
        <v/>
      </c>
    </row>
    <row r="1674">
      <c r="S1674">
        <f>IF(AND(ISTEXT($A1674),ISNUMBER(SEARCH(" - ",$A1674)),ISERROR(SEARCH("Folio",$A1674)),$D1674=""),TRIM($A1674),$S1673)</f>
        <v/>
      </c>
      <c r="T1674">
        <f>IF(AND(ISNUMBER(SEARCH("Folio",$A1674)),$D1674&lt;&gt;""),1,"")</f>
        <v/>
      </c>
      <c r="U1674">
        <f>IF($T1674=1,COUNTIF($T$9:$T1674,1),"")</f>
        <v/>
      </c>
      <c r="V1674">
        <f>IF(AND(ISTEXT($A1674),LEFT($A1675,3)="Pan"),1,"")</f>
        <v/>
      </c>
    </row>
    <row r="1675">
      <c r="S1675">
        <f>IF(AND(ISTEXT($A1675),ISNUMBER(SEARCH(" - ",$A1675)),ISERROR(SEARCH("Folio",$A1675)),$D1675=""),TRIM($A1675),$S1674)</f>
        <v/>
      </c>
      <c r="T1675">
        <f>IF(AND(ISNUMBER(SEARCH("Folio",$A1675)),$D1675&lt;&gt;""),1,"")</f>
        <v/>
      </c>
      <c r="U1675">
        <f>IF($T1675=1,COUNTIF($T$9:$T1675,1),"")</f>
        <v/>
      </c>
      <c r="V1675">
        <f>IF(AND(ISTEXT($A1675),LEFT($A1676,3)="Pan"),1,"")</f>
        <v/>
      </c>
    </row>
    <row r="1676">
      <c r="S1676">
        <f>IF(AND(ISTEXT($A1676),ISNUMBER(SEARCH(" - ",$A1676)),ISERROR(SEARCH("Folio",$A1676)),$D1676=""),TRIM($A1676),$S1675)</f>
        <v/>
      </c>
      <c r="T1676">
        <f>IF(AND(ISNUMBER(SEARCH("Folio",$A1676)),$D1676&lt;&gt;""),1,"")</f>
        <v/>
      </c>
      <c r="U1676">
        <f>IF($T1676=1,COUNTIF($T$9:$T1676,1),"")</f>
        <v/>
      </c>
      <c r="V1676">
        <f>IF(AND(ISTEXT($A1676),LEFT($A1677,3)="Pan"),1,"")</f>
        <v/>
      </c>
    </row>
    <row r="1677">
      <c r="S1677">
        <f>IF(AND(ISTEXT($A1677),ISNUMBER(SEARCH(" - ",$A1677)),ISERROR(SEARCH("Folio",$A1677)),$D1677=""),TRIM($A1677),$S1676)</f>
        <v/>
      </c>
      <c r="T1677">
        <f>IF(AND(ISNUMBER(SEARCH("Folio",$A1677)),$D1677&lt;&gt;""),1,"")</f>
        <v/>
      </c>
      <c r="U1677">
        <f>IF($T1677=1,COUNTIF($T$9:$T1677,1),"")</f>
        <v/>
      </c>
      <c r="V1677">
        <f>IF(AND(ISTEXT($A1677),LEFT($A1678,3)="Pan"),1,"")</f>
        <v/>
      </c>
    </row>
    <row r="1678">
      <c r="S1678">
        <f>IF(AND(ISTEXT($A1678),ISNUMBER(SEARCH(" - ",$A1678)),ISERROR(SEARCH("Folio",$A1678)),$D1678=""),TRIM($A1678),$S1677)</f>
        <v/>
      </c>
      <c r="T1678">
        <f>IF(AND(ISNUMBER(SEARCH("Folio",$A1678)),$D1678&lt;&gt;""),1,"")</f>
        <v/>
      </c>
      <c r="U1678">
        <f>IF($T1678=1,COUNTIF($T$9:$T1678,1),"")</f>
        <v/>
      </c>
      <c r="V1678">
        <f>IF(AND(ISTEXT($A1678),LEFT($A1679,3)="Pan"),1,"")</f>
        <v/>
      </c>
    </row>
    <row r="1679">
      <c r="S1679">
        <f>IF(AND(ISTEXT($A1679),ISNUMBER(SEARCH(" - ",$A1679)),ISERROR(SEARCH("Folio",$A1679)),$D1679=""),TRIM($A1679),$S1678)</f>
        <v/>
      </c>
      <c r="T1679">
        <f>IF(AND(ISNUMBER(SEARCH("Folio",$A1679)),$D1679&lt;&gt;""),1,"")</f>
        <v/>
      </c>
      <c r="U1679">
        <f>IF($T1679=1,COUNTIF($T$9:$T1679,1),"")</f>
        <v/>
      </c>
      <c r="V1679">
        <f>IF(AND(ISTEXT($A1679),LEFT($A1680,3)="Pan"),1,"")</f>
        <v/>
      </c>
    </row>
    <row r="1680">
      <c r="S1680">
        <f>IF(AND(ISTEXT($A1680),ISNUMBER(SEARCH(" - ",$A1680)),ISERROR(SEARCH("Folio",$A1680)),$D1680=""),TRIM($A1680),$S1679)</f>
        <v/>
      </c>
      <c r="T1680">
        <f>IF(AND(ISNUMBER(SEARCH("Folio",$A1680)),$D1680&lt;&gt;""),1,"")</f>
        <v/>
      </c>
      <c r="U1680">
        <f>IF($T1680=1,COUNTIF($T$9:$T1680,1),"")</f>
        <v/>
      </c>
      <c r="V1680">
        <f>IF(AND(ISTEXT($A1680),LEFT($A1681,3)="Pan"),1,"")</f>
        <v/>
      </c>
    </row>
    <row r="1681">
      <c r="S1681">
        <f>IF(AND(ISTEXT($A1681),ISNUMBER(SEARCH(" - ",$A1681)),ISERROR(SEARCH("Folio",$A1681)),$D1681=""),TRIM($A1681),$S1680)</f>
        <v/>
      </c>
      <c r="T1681">
        <f>IF(AND(ISNUMBER(SEARCH("Folio",$A1681)),$D1681&lt;&gt;""),1,"")</f>
        <v/>
      </c>
      <c r="U1681">
        <f>IF($T1681=1,COUNTIF($T$9:$T1681,1),"")</f>
        <v/>
      </c>
      <c r="V1681">
        <f>IF(AND(ISTEXT($A1681),LEFT($A1682,3)="Pan"),1,"")</f>
        <v/>
      </c>
    </row>
    <row r="1682">
      <c r="S1682">
        <f>IF(AND(ISTEXT($A1682),ISNUMBER(SEARCH(" - ",$A1682)),ISERROR(SEARCH("Folio",$A1682)),$D1682=""),TRIM($A1682),$S1681)</f>
        <v/>
      </c>
      <c r="T1682">
        <f>IF(AND(ISNUMBER(SEARCH("Folio",$A1682)),$D1682&lt;&gt;""),1,"")</f>
        <v/>
      </c>
      <c r="U1682">
        <f>IF($T1682=1,COUNTIF($T$9:$T1682,1),"")</f>
        <v/>
      </c>
      <c r="V1682">
        <f>IF(AND(ISTEXT($A1682),LEFT($A1683,3)="Pan"),1,"")</f>
        <v/>
      </c>
    </row>
    <row r="1683">
      <c r="S1683">
        <f>IF(AND(ISTEXT($A1683),ISNUMBER(SEARCH(" - ",$A1683)),ISERROR(SEARCH("Folio",$A1683)),$D1683=""),TRIM($A1683),$S1682)</f>
        <v/>
      </c>
      <c r="T1683">
        <f>IF(AND(ISNUMBER(SEARCH("Folio",$A1683)),$D1683&lt;&gt;""),1,"")</f>
        <v/>
      </c>
      <c r="U1683">
        <f>IF($T1683=1,COUNTIF($T$9:$T1683,1),"")</f>
        <v/>
      </c>
      <c r="V1683">
        <f>IF(AND(ISTEXT($A1683),LEFT($A1684,3)="Pan"),1,"")</f>
        <v/>
      </c>
    </row>
    <row r="1684">
      <c r="S1684">
        <f>IF(AND(ISTEXT($A1684),ISNUMBER(SEARCH(" - ",$A1684)),ISERROR(SEARCH("Folio",$A1684)),$D1684=""),TRIM($A1684),$S1683)</f>
        <v/>
      </c>
      <c r="T1684">
        <f>IF(AND(ISNUMBER(SEARCH("Folio",$A1684)),$D1684&lt;&gt;""),1,"")</f>
        <v/>
      </c>
      <c r="U1684">
        <f>IF($T1684=1,COUNTIF($T$9:$T1684,1),"")</f>
        <v/>
      </c>
      <c r="V1684">
        <f>IF(AND(ISTEXT($A1684),LEFT($A1685,3)="Pan"),1,"")</f>
        <v/>
      </c>
    </row>
    <row r="1685">
      <c r="S1685">
        <f>IF(AND(ISTEXT($A1685),ISNUMBER(SEARCH(" - ",$A1685)),ISERROR(SEARCH("Folio",$A1685)),$D1685=""),TRIM($A1685),$S1684)</f>
        <v/>
      </c>
      <c r="T1685">
        <f>IF(AND(ISNUMBER(SEARCH("Folio",$A1685)),$D1685&lt;&gt;""),1,"")</f>
        <v/>
      </c>
      <c r="U1685">
        <f>IF($T1685=1,COUNTIF($T$9:$T1685,1),"")</f>
        <v/>
      </c>
      <c r="V1685">
        <f>IF(AND(ISTEXT($A1685),LEFT($A1686,3)="Pan"),1,"")</f>
        <v/>
      </c>
    </row>
    <row r="1686">
      <c r="S1686">
        <f>IF(AND(ISTEXT($A1686),ISNUMBER(SEARCH(" - ",$A1686)),ISERROR(SEARCH("Folio",$A1686)),$D1686=""),TRIM($A1686),$S1685)</f>
        <v/>
      </c>
      <c r="T1686">
        <f>IF(AND(ISNUMBER(SEARCH("Folio",$A1686)),$D1686&lt;&gt;""),1,"")</f>
        <v/>
      </c>
      <c r="U1686">
        <f>IF($T1686=1,COUNTIF($T$9:$T1686,1),"")</f>
        <v/>
      </c>
      <c r="V1686">
        <f>IF(AND(ISTEXT($A1686),LEFT($A1687,3)="Pan"),1,"")</f>
        <v/>
      </c>
    </row>
    <row r="1687">
      <c r="S1687">
        <f>IF(AND(ISTEXT($A1687),ISNUMBER(SEARCH(" - ",$A1687)),ISERROR(SEARCH("Folio",$A1687)),$D1687=""),TRIM($A1687),$S1686)</f>
        <v/>
      </c>
      <c r="T1687">
        <f>IF(AND(ISNUMBER(SEARCH("Folio",$A1687)),$D1687&lt;&gt;""),1,"")</f>
        <v/>
      </c>
      <c r="U1687">
        <f>IF($T1687=1,COUNTIF($T$9:$T1687,1),"")</f>
        <v/>
      </c>
      <c r="V1687">
        <f>IF(AND(ISTEXT($A1687),LEFT($A1688,3)="Pan"),1,"")</f>
        <v/>
      </c>
    </row>
    <row r="1688">
      <c r="S1688">
        <f>IF(AND(ISTEXT($A1688),ISNUMBER(SEARCH(" - ",$A1688)),ISERROR(SEARCH("Folio",$A1688)),$D1688=""),TRIM($A1688),$S1687)</f>
        <v/>
      </c>
      <c r="T1688">
        <f>IF(AND(ISNUMBER(SEARCH("Folio",$A1688)),$D1688&lt;&gt;""),1,"")</f>
        <v/>
      </c>
      <c r="U1688">
        <f>IF($T1688=1,COUNTIF($T$9:$T1688,1),"")</f>
        <v/>
      </c>
      <c r="V1688">
        <f>IF(AND(ISTEXT($A1688),LEFT($A1689,3)="Pan"),1,"")</f>
        <v/>
      </c>
    </row>
    <row r="1689">
      <c r="S1689">
        <f>IF(AND(ISTEXT($A1689),ISNUMBER(SEARCH(" - ",$A1689)),ISERROR(SEARCH("Folio",$A1689)),$D1689=""),TRIM($A1689),$S1688)</f>
        <v/>
      </c>
      <c r="T1689">
        <f>IF(AND(ISNUMBER(SEARCH("Folio",$A1689)),$D1689&lt;&gt;""),1,"")</f>
        <v/>
      </c>
      <c r="U1689">
        <f>IF($T1689=1,COUNTIF($T$9:$T1689,1),"")</f>
        <v/>
      </c>
      <c r="V1689">
        <f>IF(AND(ISTEXT($A1689),LEFT($A1690,3)="Pan"),1,"")</f>
        <v/>
      </c>
    </row>
    <row r="1690">
      <c r="S1690">
        <f>IF(AND(ISTEXT($A1690),ISNUMBER(SEARCH(" - ",$A1690)),ISERROR(SEARCH("Folio",$A1690)),$D1690=""),TRIM($A1690),$S1689)</f>
        <v/>
      </c>
      <c r="T1690">
        <f>IF(AND(ISNUMBER(SEARCH("Folio",$A1690)),$D1690&lt;&gt;""),1,"")</f>
        <v/>
      </c>
      <c r="U1690">
        <f>IF($T1690=1,COUNTIF($T$9:$T1690,1),"")</f>
        <v/>
      </c>
      <c r="V1690">
        <f>IF(AND(ISTEXT($A1690),LEFT($A1691,3)="Pan"),1,"")</f>
        <v/>
      </c>
    </row>
    <row r="1691">
      <c r="S1691">
        <f>IF(AND(ISTEXT($A1691),ISNUMBER(SEARCH(" - ",$A1691)),ISERROR(SEARCH("Folio",$A1691)),$D1691=""),TRIM($A1691),$S1690)</f>
        <v/>
      </c>
      <c r="T1691">
        <f>IF(AND(ISNUMBER(SEARCH("Folio",$A1691)),$D1691&lt;&gt;""),1,"")</f>
        <v/>
      </c>
      <c r="U1691">
        <f>IF($T1691=1,COUNTIF($T$9:$T1691,1),"")</f>
        <v/>
      </c>
      <c r="V1691">
        <f>IF(AND(ISTEXT($A1691),LEFT($A1692,3)="Pan"),1,"")</f>
        <v/>
      </c>
    </row>
    <row r="1692">
      <c r="S1692">
        <f>IF(AND(ISTEXT($A1692),ISNUMBER(SEARCH(" - ",$A1692)),ISERROR(SEARCH("Folio",$A1692)),$D1692=""),TRIM($A1692),$S1691)</f>
        <v/>
      </c>
      <c r="T1692">
        <f>IF(AND(ISNUMBER(SEARCH("Folio",$A1692)),$D1692&lt;&gt;""),1,"")</f>
        <v/>
      </c>
      <c r="U1692">
        <f>IF($T1692=1,COUNTIF($T$9:$T1692,1),"")</f>
        <v/>
      </c>
      <c r="V1692">
        <f>IF(AND(ISTEXT($A1692),LEFT($A1693,3)="Pan"),1,"")</f>
        <v/>
      </c>
    </row>
    <row r="1693">
      <c r="S1693">
        <f>IF(AND(ISTEXT($A1693),ISNUMBER(SEARCH(" - ",$A1693)),ISERROR(SEARCH("Folio",$A1693)),$D1693=""),TRIM($A1693),$S1692)</f>
        <v/>
      </c>
      <c r="T1693">
        <f>IF(AND(ISNUMBER(SEARCH("Folio",$A1693)),$D1693&lt;&gt;""),1,"")</f>
        <v/>
      </c>
      <c r="U1693">
        <f>IF($T1693=1,COUNTIF($T$9:$T1693,1),"")</f>
        <v/>
      </c>
      <c r="V1693">
        <f>IF(AND(ISTEXT($A1693),LEFT($A1694,3)="Pan"),1,"")</f>
        <v/>
      </c>
    </row>
    <row r="1694">
      <c r="S1694">
        <f>IF(AND(ISTEXT($A1694),ISNUMBER(SEARCH(" - ",$A1694)),ISERROR(SEARCH("Folio",$A1694)),$D1694=""),TRIM($A1694),$S1693)</f>
        <v/>
      </c>
      <c r="T1694">
        <f>IF(AND(ISNUMBER(SEARCH("Folio",$A1694)),$D1694&lt;&gt;""),1,"")</f>
        <v/>
      </c>
      <c r="U1694">
        <f>IF($T1694=1,COUNTIF($T$9:$T1694,1),"")</f>
        <v/>
      </c>
      <c r="V1694">
        <f>IF(AND(ISTEXT($A1694),LEFT($A1695,3)="Pan"),1,"")</f>
        <v/>
      </c>
    </row>
    <row r="1695">
      <c r="S1695">
        <f>IF(AND(ISTEXT($A1695),ISNUMBER(SEARCH(" - ",$A1695)),ISERROR(SEARCH("Folio",$A1695)),$D1695=""),TRIM($A1695),$S1694)</f>
        <v/>
      </c>
      <c r="T1695">
        <f>IF(AND(ISNUMBER(SEARCH("Folio",$A1695)),$D1695&lt;&gt;""),1,"")</f>
        <v/>
      </c>
      <c r="U1695">
        <f>IF($T1695=1,COUNTIF($T$9:$T1695,1),"")</f>
        <v/>
      </c>
      <c r="V1695">
        <f>IF(AND(ISTEXT($A1695),LEFT($A1696,3)="Pan"),1,"")</f>
        <v/>
      </c>
    </row>
    <row r="1696">
      <c r="S1696">
        <f>IF(AND(ISTEXT($A1696),ISNUMBER(SEARCH(" - ",$A1696)),ISERROR(SEARCH("Folio",$A1696)),$D1696=""),TRIM($A1696),$S1695)</f>
        <v/>
      </c>
      <c r="T1696">
        <f>IF(AND(ISNUMBER(SEARCH("Folio",$A1696)),$D1696&lt;&gt;""),1,"")</f>
        <v/>
      </c>
      <c r="U1696">
        <f>IF($T1696=1,COUNTIF($T$9:$T1696,1),"")</f>
        <v/>
      </c>
      <c r="V1696">
        <f>IF(AND(ISTEXT($A1696),LEFT($A1697,3)="Pan"),1,"")</f>
        <v/>
      </c>
    </row>
    <row r="1697">
      <c r="S1697">
        <f>IF(AND(ISTEXT($A1697),ISNUMBER(SEARCH(" - ",$A1697)),ISERROR(SEARCH("Folio",$A1697)),$D1697=""),TRIM($A1697),$S1696)</f>
        <v/>
      </c>
      <c r="T1697">
        <f>IF(AND(ISNUMBER(SEARCH("Folio",$A1697)),$D1697&lt;&gt;""),1,"")</f>
        <v/>
      </c>
      <c r="U1697">
        <f>IF($T1697=1,COUNTIF($T$9:$T1697,1),"")</f>
        <v/>
      </c>
      <c r="V1697">
        <f>IF(AND(ISTEXT($A1697),LEFT($A1698,3)="Pan"),1,"")</f>
        <v/>
      </c>
    </row>
    <row r="1698">
      <c r="S1698">
        <f>IF(AND(ISTEXT($A1698),ISNUMBER(SEARCH(" - ",$A1698)),ISERROR(SEARCH("Folio",$A1698)),$D1698=""),TRIM($A1698),$S1697)</f>
        <v/>
      </c>
      <c r="T1698">
        <f>IF(AND(ISNUMBER(SEARCH("Folio",$A1698)),$D1698&lt;&gt;""),1,"")</f>
        <v/>
      </c>
      <c r="U1698">
        <f>IF($T1698=1,COUNTIF($T$9:$T1698,1),"")</f>
        <v/>
      </c>
      <c r="V1698">
        <f>IF(AND(ISTEXT($A1698),LEFT($A1699,3)="Pan"),1,"")</f>
        <v/>
      </c>
    </row>
    <row r="1699">
      <c r="S1699">
        <f>IF(AND(ISTEXT($A1699),ISNUMBER(SEARCH(" - ",$A1699)),ISERROR(SEARCH("Folio",$A1699)),$D1699=""),TRIM($A1699),$S1698)</f>
        <v/>
      </c>
      <c r="T1699">
        <f>IF(AND(ISNUMBER(SEARCH("Folio",$A1699)),$D1699&lt;&gt;""),1,"")</f>
        <v/>
      </c>
      <c r="U1699">
        <f>IF($T1699=1,COUNTIF($T$9:$T1699,1),"")</f>
        <v/>
      </c>
      <c r="V1699">
        <f>IF(AND(ISTEXT($A1699),LEFT($A1700,3)="Pan"),1,"")</f>
        <v/>
      </c>
    </row>
    <row r="1700">
      <c r="S1700">
        <f>IF(AND(ISTEXT($A1700),ISNUMBER(SEARCH(" - ",$A1700)),ISERROR(SEARCH("Folio",$A1700)),$D1700=""),TRIM($A1700),$S1699)</f>
        <v/>
      </c>
      <c r="T1700">
        <f>IF(AND(ISNUMBER(SEARCH("Folio",$A1700)),$D1700&lt;&gt;""),1,"")</f>
        <v/>
      </c>
      <c r="U1700">
        <f>IF($T1700=1,COUNTIF($T$9:$T1700,1),"")</f>
        <v/>
      </c>
      <c r="V1700">
        <f>IF(AND(ISTEXT($A1700),LEFT($A1701,3)="Pan"),1,"")</f>
        <v/>
      </c>
    </row>
    <row r="1701">
      <c r="S1701">
        <f>IF(AND(ISTEXT($A1701),ISNUMBER(SEARCH(" - ",$A1701)),ISERROR(SEARCH("Folio",$A1701)),$D1701=""),TRIM($A1701),$S1700)</f>
        <v/>
      </c>
      <c r="T1701">
        <f>IF(AND(ISNUMBER(SEARCH("Folio",$A1701)),$D1701&lt;&gt;""),1,"")</f>
        <v/>
      </c>
      <c r="U1701">
        <f>IF($T1701=1,COUNTIF($T$9:$T1701,1),"")</f>
        <v/>
      </c>
      <c r="V1701">
        <f>IF(AND(ISTEXT($A1701),LEFT($A1702,3)="Pan"),1,"")</f>
        <v/>
      </c>
    </row>
    <row r="1702">
      <c r="S1702">
        <f>IF(AND(ISTEXT($A1702),ISNUMBER(SEARCH(" - ",$A1702)),ISERROR(SEARCH("Folio",$A1702)),$D1702=""),TRIM($A1702),$S1701)</f>
        <v/>
      </c>
      <c r="T1702">
        <f>IF(AND(ISNUMBER(SEARCH("Folio",$A1702)),$D1702&lt;&gt;""),1,"")</f>
        <v/>
      </c>
      <c r="U1702">
        <f>IF($T1702=1,COUNTIF($T$9:$T1702,1),"")</f>
        <v/>
      </c>
      <c r="V1702">
        <f>IF(AND(ISTEXT($A1702),LEFT($A1703,3)="Pan"),1,"")</f>
        <v/>
      </c>
    </row>
    <row r="1703">
      <c r="S1703">
        <f>IF(AND(ISTEXT($A1703),ISNUMBER(SEARCH(" - ",$A1703)),ISERROR(SEARCH("Folio",$A1703)),$D1703=""),TRIM($A1703),$S1702)</f>
        <v/>
      </c>
      <c r="T1703">
        <f>IF(AND(ISNUMBER(SEARCH("Folio",$A1703)),$D1703&lt;&gt;""),1,"")</f>
        <v/>
      </c>
      <c r="U1703">
        <f>IF($T1703=1,COUNTIF($T$9:$T1703,1),"")</f>
        <v/>
      </c>
      <c r="V1703">
        <f>IF(AND(ISTEXT($A1703),LEFT($A1704,3)="Pan"),1,"")</f>
        <v/>
      </c>
    </row>
    <row r="1704">
      <c r="S1704">
        <f>IF(AND(ISTEXT($A1704),ISNUMBER(SEARCH(" - ",$A1704)),ISERROR(SEARCH("Folio",$A1704)),$D1704=""),TRIM($A1704),$S1703)</f>
        <v/>
      </c>
      <c r="T1704">
        <f>IF(AND(ISNUMBER(SEARCH("Folio",$A1704)),$D1704&lt;&gt;""),1,"")</f>
        <v/>
      </c>
      <c r="U1704">
        <f>IF($T1704=1,COUNTIF($T$9:$T1704,1),"")</f>
        <v/>
      </c>
      <c r="V1704">
        <f>IF(AND(ISTEXT($A1704),LEFT($A1705,3)="Pan"),1,"")</f>
        <v/>
      </c>
    </row>
    <row r="1705">
      <c r="S1705">
        <f>IF(AND(ISTEXT($A1705),ISNUMBER(SEARCH(" - ",$A1705)),ISERROR(SEARCH("Folio",$A1705)),$D1705=""),TRIM($A1705),$S1704)</f>
        <v/>
      </c>
      <c r="T1705">
        <f>IF(AND(ISNUMBER(SEARCH("Folio",$A1705)),$D1705&lt;&gt;""),1,"")</f>
        <v/>
      </c>
      <c r="U1705">
        <f>IF($T1705=1,COUNTIF($T$9:$T1705,1),"")</f>
        <v/>
      </c>
      <c r="V1705">
        <f>IF(AND(ISTEXT($A1705),LEFT($A1706,3)="Pan"),1,"")</f>
        <v/>
      </c>
    </row>
    <row r="1706">
      <c r="S1706">
        <f>IF(AND(ISTEXT($A1706),ISNUMBER(SEARCH(" - ",$A1706)),ISERROR(SEARCH("Folio",$A1706)),$D1706=""),TRIM($A1706),$S1705)</f>
        <v/>
      </c>
      <c r="T1706">
        <f>IF(AND(ISNUMBER(SEARCH("Folio",$A1706)),$D1706&lt;&gt;""),1,"")</f>
        <v/>
      </c>
      <c r="U1706">
        <f>IF($T1706=1,COUNTIF($T$9:$T1706,1),"")</f>
        <v/>
      </c>
      <c r="V1706">
        <f>IF(AND(ISTEXT($A1706),LEFT($A1707,3)="Pan"),1,"")</f>
        <v/>
      </c>
    </row>
    <row r="1707">
      <c r="S1707">
        <f>IF(AND(ISTEXT($A1707),ISNUMBER(SEARCH(" - ",$A1707)),ISERROR(SEARCH("Folio",$A1707)),$D1707=""),TRIM($A1707),$S1706)</f>
        <v/>
      </c>
      <c r="T1707">
        <f>IF(AND(ISNUMBER(SEARCH("Folio",$A1707)),$D1707&lt;&gt;""),1,"")</f>
        <v/>
      </c>
      <c r="U1707">
        <f>IF($T1707=1,COUNTIF($T$9:$T1707,1),"")</f>
        <v/>
      </c>
      <c r="V1707">
        <f>IF(AND(ISTEXT($A1707),LEFT($A1708,3)="Pan"),1,"")</f>
        <v/>
      </c>
    </row>
    <row r="1708">
      <c r="S1708">
        <f>IF(AND(ISTEXT($A1708),ISNUMBER(SEARCH(" - ",$A1708)),ISERROR(SEARCH("Folio",$A1708)),$D1708=""),TRIM($A1708),$S1707)</f>
        <v/>
      </c>
      <c r="T1708">
        <f>IF(AND(ISNUMBER(SEARCH("Folio",$A1708)),$D1708&lt;&gt;""),1,"")</f>
        <v/>
      </c>
      <c r="U1708">
        <f>IF($T1708=1,COUNTIF($T$9:$T1708,1),"")</f>
        <v/>
      </c>
      <c r="V1708">
        <f>IF(AND(ISTEXT($A1708),LEFT($A1709,3)="Pan"),1,"")</f>
        <v/>
      </c>
    </row>
    <row r="1709">
      <c r="S1709">
        <f>IF(AND(ISTEXT($A1709),ISNUMBER(SEARCH(" - ",$A1709)),ISERROR(SEARCH("Folio",$A1709)),$D1709=""),TRIM($A1709),$S1708)</f>
        <v/>
      </c>
      <c r="T1709">
        <f>IF(AND(ISNUMBER(SEARCH("Folio",$A1709)),$D1709&lt;&gt;""),1,"")</f>
        <v/>
      </c>
      <c r="U1709">
        <f>IF($T1709=1,COUNTIF($T$9:$T1709,1),"")</f>
        <v/>
      </c>
      <c r="V1709">
        <f>IF(AND(ISTEXT($A1709),LEFT($A1710,3)="Pan"),1,"")</f>
        <v/>
      </c>
    </row>
    <row r="1710">
      <c r="S1710">
        <f>IF(AND(ISTEXT($A1710),ISNUMBER(SEARCH(" - ",$A1710)),ISERROR(SEARCH("Folio",$A1710)),$D1710=""),TRIM($A1710),$S1709)</f>
        <v/>
      </c>
      <c r="T1710">
        <f>IF(AND(ISNUMBER(SEARCH("Folio",$A1710)),$D1710&lt;&gt;""),1,"")</f>
        <v/>
      </c>
      <c r="U1710">
        <f>IF($T1710=1,COUNTIF($T$9:$T1710,1),"")</f>
        <v/>
      </c>
      <c r="V1710">
        <f>IF(AND(ISTEXT($A1710),LEFT($A1711,3)="Pan"),1,"")</f>
        <v/>
      </c>
    </row>
    <row r="1711">
      <c r="S1711">
        <f>IF(AND(ISTEXT($A1711),ISNUMBER(SEARCH(" - ",$A1711)),ISERROR(SEARCH("Folio",$A1711)),$D1711=""),TRIM($A1711),$S1710)</f>
        <v/>
      </c>
      <c r="T1711">
        <f>IF(AND(ISNUMBER(SEARCH("Folio",$A1711)),$D1711&lt;&gt;""),1,"")</f>
        <v/>
      </c>
      <c r="U1711">
        <f>IF($T1711=1,COUNTIF($T$9:$T1711,1),"")</f>
        <v/>
      </c>
      <c r="V1711">
        <f>IF(AND(ISTEXT($A1711),LEFT($A1712,3)="Pan"),1,"")</f>
        <v/>
      </c>
    </row>
    <row r="1712">
      <c r="S1712">
        <f>IF(AND(ISTEXT($A1712),ISNUMBER(SEARCH(" - ",$A1712)),ISERROR(SEARCH("Folio",$A1712)),$D1712=""),TRIM($A1712),$S1711)</f>
        <v/>
      </c>
      <c r="T1712">
        <f>IF(AND(ISNUMBER(SEARCH("Folio",$A1712)),$D1712&lt;&gt;""),1,"")</f>
        <v/>
      </c>
      <c r="U1712">
        <f>IF($T1712=1,COUNTIF($T$9:$T1712,1),"")</f>
        <v/>
      </c>
      <c r="V1712">
        <f>IF(AND(ISTEXT($A1712),LEFT($A1713,3)="Pan"),1,"")</f>
        <v/>
      </c>
    </row>
    <row r="1713">
      <c r="S1713">
        <f>IF(AND(ISTEXT($A1713),ISNUMBER(SEARCH(" - ",$A1713)),ISERROR(SEARCH("Folio",$A1713)),$D1713=""),TRIM($A1713),$S1712)</f>
        <v/>
      </c>
      <c r="T1713">
        <f>IF(AND(ISNUMBER(SEARCH("Folio",$A1713)),$D1713&lt;&gt;""),1,"")</f>
        <v/>
      </c>
      <c r="U1713">
        <f>IF($T1713=1,COUNTIF($T$9:$T1713,1),"")</f>
        <v/>
      </c>
      <c r="V1713">
        <f>IF(AND(ISTEXT($A1713),LEFT($A1714,3)="Pan"),1,"")</f>
        <v/>
      </c>
    </row>
    <row r="1714">
      <c r="S1714">
        <f>IF(AND(ISTEXT($A1714),ISNUMBER(SEARCH(" - ",$A1714)),ISERROR(SEARCH("Folio",$A1714)),$D1714=""),TRIM($A1714),$S1713)</f>
        <v/>
      </c>
      <c r="T1714">
        <f>IF(AND(ISNUMBER(SEARCH("Folio",$A1714)),$D1714&lt;&gt;""),1,"")</f>
        <v/>
      </c>
      <c r="U1714">
        <f>IF($T1714=1,COUNTIF($T$9:$T1714,1),"")</f>
        <v/>
      </c>
      <c r="V1714">
        <f>IF(AND(ISTEXT($A1714),LEFT($A1715,3)="Pan"),1,"")</f>
        <v/>
      </c>
    </row>
    <row r="1715">
      <c r="S1715">
        <f>IF(AND(ISTEXT($A1715),ISNUMBER(SEARCH(" - ",$A1715)),ISERROR(SEARCH("Folio",$A1715)),$D1715=""),TRIM($A1715),$S1714)</f>
        <v/>
      </c>
      <c r="T1715">
        <f>IF(AND(ISNUMBER(SEARCH("Folio",$A1715)),$D1715&lt;&gt;""),1,"")</f>
        <v/>
      </c>
      <c r="U1715">
        <f>IF($T1715=1,COUNTIF($T$9:$T1715,1),"")</f>
        <v/>
      </c>
      <c r="V1715">
        <f>IF(AND(ISTEXT($A1715),LEFT($A1716,3)="Pan"),1,"")</f>
        <v/>
      </c>
    </row>
    <row r="1716">
      <c r="S1716">
        <f>IF(AND(ISTEXT($A1716),ISNUMBER(SEARCH(" - ",$A1716)),ISERROR(SEARCH("Folio",$A1716)),$D1716=""),TRIM($A1716),$S1715)</f>
        <v/>
      </c>
      <c r="T1716">
        <f>IF(AND(ISNUMBER(SEARCH("Folio",$A1716)),$D1716&lt;&gt;""),1,"")</f>
        <v/>
      </c>
      <c r="U1716">
        <f>IF($T1716=1,COUNTIF($T$9:$T1716,1),"")</f>
        <v/>
      </c>
      <c r="V1716">
        <f>IF(AND(ISTEXT($A1716),LEFT($A1717,3)="Pan"),1,"")</f>
        <v/>
      </c>
    </row>
    <row r="1717">
      <c r="S1717">
        <f>IF(AND(ISTEXT($A1717),ISNUMBER(SEARCH(" - ",$A1717)),ISERROR(SEARCH("Folio",$A1717)),$D1717=""),TRIM($A1717),$S1716)</f>
        <v/>
      </c>
      <c r="T1717">
        <f>IF(AND(ISNUMBER(SEARCH("Folio",$A1717)),$D1717&lt;&gt;""),1,"")</f>
        <v/>
      </c>
      <c r="U1717">
        <f>IF($T1717=1,COUNTIF($T$9:$T1717,1),"")</f>
        <v/>
      </c>
      <c r="V1717">
        <f>IF(AND(ISTEXT($A1717),LEFT($A1718,3)="Pan"),1,"")</f>
        <v/>
      </c>
    </row>
    <row r="1718">
      <c r="S1718">
        <f>IF(AND(ISTEXT($A1718),ISNUMBER(SEARCH(" - ",$A1718)),ISERROR(SEARCH("Folio",$A1718)),$D1718=""),TRIM($A1718),$S1717)</f>
        <v/>
      </c>
      <c r="T1718">
        <f>IF(AND(ISNUMBER(SEARCH("Folio",$A1718)),$D1718&lt;&gt;""),1,"")</f>
        <v/>
      </c>
      <c r="U1718">
        <f>IF($T1718=1,COUNTIF($T$9:$T1718,1),"")</f>
        <v/>
      </c>
      <c r="V1718">
        <f>IF(AND(ISTEXT($A1718),LEFT($A1719,3)="Pan"),1,"")</f>
        <v/>
      </c>
    </row>
    <row r="1719">
      <c r="S1719">
        <f>IF(AND(ISTEXT($A1719),ISNUMBER(SEARCH(" - ",$A1719)),ISERROR(SEARCH("Folio",$A1719)),$D1719=""),TRIM($A1719),$S1718)</f>
        <v/>
      </c>
      <c r="T1719">
        <f>IF(AND(ISNUMBER(SEARCH("Folio",$A1719)),$D1719&lt;&gt;""),1,"")</f>
        <v/>
      </c>
      <c r="U1719">
        <f>IF($T1719=1,COUNTIF($T$9:$T1719,1),"")</f>
        <v/>
      </c>
      <c r="V1719">
        <f>IF(AND(ISTEXT($A1719),LEFT($A1720,3)="Pan"),1,"")</f>
        <v/>
      </c>
    </row>
    <row r="1720">
      <c r="S1720">
        <f>IF(AND(ISTEXT($A1720),ISNUMBER(SEARCH(" - ",$A1720)),ISERROR(SEARCH("Folio",$A1720)),$D1720=""),TRIM($A1720),$S1719)</f>
        <v/>
      </c>
      <c r="T1720">
        <f>IF(AND(ISNUMBER(SEARCH("Folio",$A1720)),$D1720&lt;&gt;""),1,"")</f>
        <v/>
      </c>
      <c r="U1720">
        <f>IF($T1720=1,COUNTIF($T$9:$T1720,1),"")</f>
        <v/>
      </c>
      <c r="V1720">
        <f>IF(AND(ISTEXT($A1720),LEFT($A1721,3)="Pan"),1,"")</f>
        <v/>
      </c>
    </row>
    <row r="1721">
      <c r="S1721">
        <f>IF(AND(ISTEXT($A1721),ISNUMBER(SEARCH(" - ",$A1721)),ISERROR(SEARCH("Folio",$A1721)),$D1721=""),TRIM($A1721),$S1720)</f>
        <v/>
      </c>
      <c r="T1721">
        <f>IF(AND(ISNUMBER(SEARCH("Folio",$A1721)),$D1721&lt;&gt;""),1,"")</f>
        <v/>
      </c>
      <c r="U1721">
        <f>IF($T1721=1,COUNTIF($T$9:$T1721,1),"")</f>
        <v/>
      </c>
      <c r="V1721">
        <f>IF(AND(ISTEXT($A1721),LEFT($A1722,3)="Pan"),1,"")</f>
        <v/>
      </c>
    </row>
    <row r="1722">
      <c r="S1722">
        <f>IF(AND(ISTEXT($A1722),ISNUMBER(SEARCH(" - ",$A1722)),ISERROR(SEARCH("Folio",$A1722)),$D1722=""),TRIM($A1722),$S1721)</f>
        <v/>
      </c>
      <c r="T1722">
        <f>IF(AND(ISNUMBER(SEARCH("Folio",$A1722)),$D1722&lt;&gt;""),1,"")</f>
        <v/>
      </c>
      <c r="U1722">
        <f>IF($T1722=1,COUNTIF($T$9:$T1722,1),"")</f>
        <v/>
      </c>
      <c r="V1722">
        <f>IF(AND(ISTEXT($A1722),LEFT($A1723,3)="Pan"),1,"")</f>
        <v/>
      </c>
    </row>
    <row r="1723">
      <c r="S1723">
        <f>IF(AND(ISTEXT($A1723),ISNUMBER(SEARCH(" - ",$A1723)),ISERROR(SEARCH("Folio",$A1723)),$D1723=""),TRIM($A1723),$S1722)</f>
        <v/>
      </c>
      <c r="T1723">
        <f>IF(AND(ISNUMBER(SEARCH("Folio",$A1723)),$D1723&lt;&gt;""),1,"")</f>
        <v/>
      </c>
      <c r="U1723">
        <f>IF($T1723=1,COUNTIF($T$9:$T1723,1),"")</f>
        <v/>
      </c>
      <c r="V1723">
        <f>IF(AND(ISTEXT($A1723),LEFT($A1724,3)="Pan"),1,"")</f>
        <v/>
      </c>
    </row>
    <row r="1724">
      <c r="S1724">
        <f>IF(AND(ISTEXT($A1724),ISNUMBER(SEARCH(" - ",$A1724)),ISERROR(SEARCH("Folio",$A1724)),$D1724=""),TRIM($A1724),$S1723)</f>
        <v/>
      </c>
      <c r="T1724">
        <f>IF(AND(ISNUMBER(SEARCH("Folio",$A1724)),$D1724&lt;&gt;""),1,"")</f>
        <v/>
      </c>
      <c r="U1724">
        <f>IF($T1724=1,COUNTIF($T$9:$T1724,1),"")</f>
        <v/>
      </c>
      <c r="V1724">
        <f>IF(AND(ISTEXT($A1724),LEFT($A1725,3)="Pan"),1,"")</f>
        <v/>
      </c>
    </row>
    <row r="1725">
      <c r="S1725">
        <f>IF(AND(ISTEXT($A1725),ISNUMBER(SEARCH(" - ",$A1725)),ISERROR(SEARCH("Folio",$A1725)),$D1725=""),TRIM($A1725),$S1724)</f>
        <v/>
      </c>
      <c r="T1725">
        <f>IF(AND(ISNUMBER(SEARCH("Folio",$A1725)),$D1725&lt;&gt;""),1,"")</f>
        <v/>
      </c>
      <c r="U1725">
        <f>IF($T1725=1,COUNTIF($T$9:$T1725,1),"")</f>
        <v/>
      </c>
      <c r="V1725">
        <f>IF(AND(ISTEXT($A1725),LEFT($A1726,3)="Pan"),1,"")</f>
        <v/>
      </c>
    </row>
    <row r="1726">
      <c r="S1726">
        <f>IF(AND(ISTEXT($A1726),ISNUMBER(SEARCH(" - ",$A1726)),ISERROR(SEARCH("Folio",$A1726)),$D1726=""),TRIM($A1726),$S1725)</f>
        <v/>
      </c>
      <c r="T1726">
        <f>IF(AND(ISNUMBER(SEARCH("Folio",$A1726)),$D1726&lt;&gt;""),1,"")</f>
        <v/>
      </c>
      <c r="U1726">
        <f>IF($T1726=1,COUNTIF($T$9:$T1726,1),"")</f>
        <v/>
      </c>
      <c r="V1726">
        <f>IF(AND(ISTEXT($A1726),LEFT($A1727,3)="Pan"),1,"")</f>
        <v/>
      </c>
    </row>
    <row r="1727">
      <c r="S1727">
        <f>IF(AND(ISTEXT($A1727),ISNUMBER(SEARCH(" - ",$A1727)),ISERROR(SEARCH("Folio",$A1727)),$D1727=""),TRIM($A1727),$S1726)</f>
        <v/>
      </c>
      <c r="T1727">
        <f>IF(AND(ISNUMBER(SEARCH("Folio",$A1727)),$D1727&lt;&gt;""),1,"")</f>
        <v/>
      </c>
      <c r="U1727">
        <f>IF($T1727=1,COUNTIF($T$9:$T1727,1),"")</f>
        <v/>
      </c>
      <c r="V1727">
        <f>IF(AND(ISTEXT($A1727),LEFT($A1728,3)="Pan"),1,"")</f>
        <v/>
      </c>
    </row>
    <row r="1728">
      <c r="S1728">
        <f>IF(AND(ISTEXT($A1728),ISNUMBER(SEARCH(" - ",$A1728)),ISERROR(SEARCH("Folio",$A1728)),$D1728=""),TRIM($A1728),$S1727)</f>
        <v/>
      </c>
      <c r="T1728">
        <f>IF(AND(ISNUMBER(SEARCH("Folio",$A1728)),$D1728&lt;&gt;""),1,"")</f>
        <v/>
      </c>
      <c r="U1728">
        <f>IF($T1728=1,COUNTIF($T$9:$T1728,1),"")</f>
        <v/>
      </c>
      <c r="V1728">
        <f>IF(AND(ISTEXT($A1728),LEFT($A1729,3)="Pan"),1,"")</f>
        <v/>
      </c>
    </row>
    <row r="1729">
      <c r="S1729">
        <f>IF(AND(ISTEXT($A1729),ISNUMBER(SEARCH(" - ",$A1729)),ISERROR(SEARCH("Folio",$A1729)),$D1729=""),TRIM($A1729),$S1728)</f>
        <v/>
      </c>
      <c r="T1729">
        <f>IF(AND(ISNUMBER(SEARCH("Folio",$A1729)),$D1729&lt;&gt;""),1,"")</f>
        <v/>
      </c>
      <c r="U1729">
        <f>IF($T1729=1,COUNTIF($T$9:$T1729,1),"")</f>
        <v/>
      </c>
      <c r="V1729">
        <f>IF(AND(ISTEXT($A1729),LEFT($A1730,3)="Pan"),1,"")</f>
        <v/>
      </c>
    </row>
    <row r="1730">
      <c r="S1730">
        <f>IF(AND(ISTEXT($A1730),ISNUMBER(SEARCH(" - ",$A1730)),ISERROR(SEARCH("Folio",$A1730)),$D1730=""),TRIM($A1730),$S1729)</f>
        <v/>
      </c>
      <c r="T1730">
        <f>IF(AND(ISNUMBER(SEARCH("Folio",$A1730)),$D1730&lt;&gt;""),1,"")</f>
        <v/>
      </c>
      <c r="U1730">
        <f>IF($T1730=1,COUNTIF($T$9:$T1730,1),"")</f>
        <v/>
      </c>
      <c r="V1730">
        <f>IF(AND(ISTEXT($A1730),LEFT($A1731,3)="Pan"),1,"")</f>
        <v/>
      </c>
    </row>
    <row r="1731">
      <c r="S1731">
        <f>IF(AND(ISTEXT($A1731),ISNUMBER(SEARCH(" - ",$A1731)),ISERROR(SEARCH("Folio",$A1731)),$D1731=""),TRIM($A1731),$S1730)</f>
        <v/>
      </c>
      <c r="T1731">
        <f>IF(AND(ISNUMBER(SEARCH("Folio",$A1731)),$D1731&lt;&gt;""),1,"")</f>
        <v/>
      </c>
      <c r="U1731">
        <f>IF($T1731=1,COUNTIF($T$9:$T1731,1),"")</f>
        <v/>
      </c>
      <c r="V1731">
        <f>IF(AND(ISTEXT($A1731),LEFT($A1732,3)="Pan"),1,"")</f>
        <v/>
      </c>
    </row>
    <row r="1732">
      <c r="S1732">
        <f>IF(AND(ISTEXT($A1732),ISNUMBER(SEARCH(" - ",$A1732)),ISERROR(SEARCH("Folio",$A1732)),$D1732=""),TRIM($A1732),$S1731)</f>
        <v/>
      </c>
      <c r="T1732">
        <f>IF(AND(ISNUMBER(SEARCH("Folio",$A1732)),$D1732&lt;&gt;""),1,"")</f>
        <v/>
      </c>
      <c r="U1732">
        <f>IF($T1732=1,COUNTIF($T$9:$T1732,1),"")</f>
        <v/>
      </c>
      <c r="V1732">
        <f>IF(AND(ISTEXT($A1732),LEFT($A1733,3)="Pan"),1,"")</f>
        <v/>
      </c>
    </row>
    <row r="1733">
      <c r="S1733">
        <f>IF(AND(ISTEXT($A1733),ISNUMBER(SEARCH(" - ",$A1733)),ISERROR(SEARCH("Folio",$A1733)),$D1733=""),TRIM($A1733),$S1732)</f>
        <v/>
      </c>
      <c r="T1733">
        <f>IF(AND(ISNUMBER(SEARCH("Folio",$A1733)),$D1733&lt;&gt;""),1,"")</f>
        <v/>
      </c>
      <c r="U1733">
        <f>IF($T1733=1,COUNTIF($T$9:$T1733,1),"")</f>
        <v/>
      </c>
      <c r="V1733">
        <f>IF(AND(ISTEXT($A1733),LEFT($A1734,3)="Pan"),1,"")</f>
        <v/>
      </c>
    </row>
    <row r="1734">
      <c r="S1734">
        <f>IF(AND(ISTEXT($A1734),ISNUMBER(SEARCH(" - ",$A1734)),ISERROR(SEARCH("Folio",$A1734)),$D1734=""),TRIM($A1734),$S1733)</f>
        <v/>
      </c>
      <c r="T1734">
        <f>IF(AND(ISNUMBER(SEARCH("Folio",$A1734)),$D1734&lt;&gt;""),1,"")</f>
        <v/>
      </c>
      <c r="U1734">
        <f>IF($T1734=1,COUNTIF($T$9:$T1734,1),"")</f>
        <v/>
      </c>
      <c r="V1734">
        <f>IF(AND(ISTEXT($A1734),LEFT($A1735,3)="Pan"),1,"")</f>
        <v/>
      </c>
    </row>
    <row r="1735">
      <c r="S1735">
        <f>IF(AND(ISTEXT($A1735),ISNUMBER(SEARCH(" - ",$A1735)),ISERROR(SEARCH("Folio",$A1735)),$D1735=""),TRIM($A1735),$S1734)</f>
        <v/>
      </c>
      <c r="T1735">
        <f>IF(AND(ISNUMBER(SEARCH("Folio",$A1735)),$D1735&lt;&gt;""),1,"")</f>
        <v/>
      </c>
      <c r="U1735">
        <f>IF($T1735=1,COUNTIF($T$9:$T1735,1),"")</f>
        <v/>
      </c>
      <c r="V1735">
        <f>IF(AND(ISTEXT($A1735),LEFT($A1736,3)="Pan"),1,"")</f>
        <v/>
      </c>
    </row>
    <row r="1736">
      <c r="S1736">
        <f>IF(AND(ISTEXT($A1736),ISNUMBER(SEARCH(" - ",$A1736)),ISERROR(SEARCH("Folio",$A1736)),$D1736=""),TRIM($A1736),$S1735)</f>
        <v/>
      </c>
      <c r="T1736">
        <f>IF(AND(ISNUMBER(SEARCH("Folio",$A1736)),$D1736&lt;&gt;""),1,"")</f>
        <v/>
      </c>
      <c r="U1736">
        <f>IF($T1736=1,COUNTIF($T$9:$T1736,1),"")</f>
        <v/>
      </c>
      <c r="V1736">
        <f>IF(AND(ISTEXT($A1736),LEFT($A1737,3)="Pan"),1,"")</f>
        <v/>
      </c>
    </row>
    <row r="1737">
      <c r="S1737">
        <f>IF(AND(ISTEXT($A1737),ISNUMBER(SEARCH(" - ",$A1737)),ISERROR(SEARCH("Folio",$A1737)),$D1737=""),TRIM($A1737),$S1736)</f>
        <v/>
      </c>
      <c r="T1737">
        <f>IF(AND(ISNUMBER(SEARCH("Folio",$A1737)),$D1737&lt;&gt;""),1,"")</f>
        <v/>
      </c>
      <c r="U1737">
        <f>IF($T1737=1,COUNTIF($T$9:$T1737,1),"")</f>
        <v/>
      </c>
      <c r="V1737">
        <f>IF(AND(ISTEXT($A1737),LEFT($A1738,3)="Pan"),1,"")</f>
        <v/>
      </c>
    </row>
    <row r="1738">
      <c r="S1738">
        <f>IF(AND(ISTEXT($A1738),ISNUMBER(SEARCH(" - ",$A1738)),ISERROR(SEARCH("Folio",$A1738)),$D1738=""),TRIM($A1738),$S1737)</f>
        <v/>
      </c>
      <c r="T1738">
        <f>IF(AND(ISNUMBER(SEARCH("Folio",$A1738)),$D1738&lt;&gt;""),1,"")</f>
        <v/>
      </c>
      <c r="U1738">
        <f>IF($T1738=1,COUNTIF($T$9:$T1738,1),"")</f>
        <v/>
      </c>
      <c r="V1738">
        <f>IF(AND(ISTEXT($A1738),LEFT($A1739,3)="Pan"),1,"")</f>
        <v/>
      </c>
    </row>
    <row r="1739">
      <c r="S1739">
        <f>IF(AND(ISTEXT($A1739),ISNUMBER(SEARCH(" - ",$A1739)),ISERROR(SEARCH("Folio",$A1739)),$D1739=""),TRIM($A1739),$S1738)</f>
        <v/>
      </c>
      <c r="T1739">
        <f>IF(AND(ISNUMBER(SEARCH("Folio",$A1739)),$D1739&lt;&gt;""),1,"")</f>
        <v/>
      </c>
      <c r="U1739">
        <f>IF($T1739=1,COUNTIF($T$9:$T1739,1),"")</f>
        <v/>
      </c>
      <c r="V1739">
        <f>IF(AND(ISTEXT($A1739),LEFT($A1740,3)="Pan"),1,"")</f>
        <v/>
      </c>
    </row>
    <row r="1740">
      <c r="S1740">
        <f>IF(AND(ISTEXT($A1740),ISNUMBER(SEARCH(" - ",$A1740)),ISERROR(SEARCH("Folio",$A1740)),$D1740=""),TRIM($A1740),$S1739)</f>
        <v/>
      </c>
      <c r="T1740">
        <f>IF(AND(ISNUMBER(SEARCH("Folio",$A1740)),$D1740&lt;&gt;""),1,"")</f>
        <v/>
      </c>
      <c r="U1740">
        <f>IF($T1740=1,COUNTIF($T$9:$T1740,1),"")</f>
        <v/>
      </c>
      <c r="V1740">
        <f>IF(AND(ISTEXT($A1740),LEFT($A1741,3)="Pan"),1,"")</f>
        <v/>
      </c>
    </row>
    <row r="1741">
      <c r="S1741">
        <f>IF(AND(ISTEXT($A1741),ISNUMBER(SEARCH(" - ",$A1741)),ISERROR(SEARCH("Folio",$A1741)),$D1741=""),TRIM($A1741),$S1740)</f>
        <v/>
      </c>
      <c r="T1741">
        <f>IF(AND(ISNUMBER(SEARCH("Folio",$A1741)),$D1741&lt;&gt;""),1,"")</f>
        <v/>
      </c>
      <c r="U1741">
        <f>IF($T1741=1,COUNTIF($T$9:$T1741,1),"")</f>
        <v/>
      </c>
      <c r="V1741">
        <f>IF(AND(ISTEXT($A1741),LEFT($A1742,3)="Pan"),1,"")</f>
        <v/>
      </c>
    </row>
    <row r="1742">
      <c r="S1742">
        <f>IF(AND(ISTEXT($A1742),ISNUMBER(SEARCH(" - ",$A1742)),ISERROR(SEARCH("Folio",$A1742)),$D1742=""),TRIM($A1742),$S1741)</f>
        <v/>
      </c>
      <c r="T1742">
        <f>IF(AND(ISNUMBER(SEARCH("Folio",$A1742)),$D1742&lt;&gt;""),1,"")</f>
        <v/>
      </c>
      <c r="U1742">
        <f>IF($T1742=1,COUNTIF($T$9:$T1742,1),"")</f>
        <v/>
      </c>
      <c r="V1742">
        <f>IF(AND(ISTEXT($A1742),LEFT($A1743,3)="Pan"),1,"")</f>
        <v/>
      </c>
    </row>
    <row r="1743">
      <c r="S1743">
        <f>IF(AND(ISTEXT($A1743),ISNUMBER(SEARCH(" - ",$A1743)),ISERROR(SEARCH("Folio",$A1743)),$D1743=""),TRIM($A1743),$S1742)</f>
        <v/>
      </c>
      <c r="T1743">
        <f>IF(AND(ISNUMBER(SEARCH("Folio",$A1743)),$D1743&lt;&gt;""),1,"")</f>
        <v/>
      </c>
      <c r="U1743">
        <f>IF($T1743=1,COUNTIF($T$9:$T1743,1),"")</f>
        <v/>
      </c>
      <c r="V1743">
        <f>IF(AND(ISTEXT($A1743),LEFT($A1744,3)="Pan"),1,"")</f>
        <v/>
      </c>
    </row>
    <row r="1744">
      <c r="S1744">
        <f>IF(AND(ISTEXT($A1744),ISNUMBER(SEARCH(" - ",$A1744)),ISERROR(SEARCH("Folio",$A1744)),$D1744=""),TRIM($A1744),$S1743)</f>
        <v/>
      </c>
      <c r="T1744">
        <f>IF(AND(ISNUMBER(SEARCH("Folio",$A1744)),$D1744&lt;&gt;""),1,"")</f>
        <v/>
      </c>
      <c r="U1744">
        <f>IF($T1744=1,COUNTIF($T$9:$T1744,1),"")</f>
        <v/>
      </c>
      <c r="V1744">
        <f>IF(AND(ISTEXT($A1744),LEFT($A1745,3)="Pan"),1,"")</f>
        <v/>
      </c>
    </row>
    <row r="1745">
      <c r="S1745">
        <f>IF(AND(ISTEXT($A1745),ISNUMBER(SEARCH(" - ",$A1745)),ISERROR(SEARCH("Folio",$A1745)),$D1745=""),TRIM($A1745),$S1744)</f>
        <v/>
      </c>
      <c r="T1745">
        <f>IF(AND(ISNUMBER(SEARCH("Folio",$A1745)),$D1745&lt;&gt;""),1,"")</f>
        <v/>
      </c>
      <c r="U1745">
        <f>IF($T1745=1,COUNTIF($T$9:$T1745,1),"")</f>
        <v/>
      </c>
      <c r="V1745">
        <f>IF(AND(ISTEXT($A1745),LEFT($A1746,3)="Pan"),1,"")</f>
        <v/>
      </c>
    </row>
    <row r="1746">
      <c r="S1746">
        <f>IF(AND(ISTEXT($A1746),ISNUMBER(SEARCH(" - ",$A1746)),ISERROR(SEARCH("Folio",$A1746)),$D1746=""),TRIM($A1746),$S1745)</f>
        <v/>
      </c>
      <c r="T1746">
        <f>IF(AND(ISNUMBER(SEARCH("Folio",$A1746)),$D1746&lt;&gt;""),1,"")</f>
        <v/>
      </c>
      <c r="U1746">
        <f>IF($T1746=1,COUNTIF($T$9:$T1746,1),"")</f>
        <v/>
      </c>
      <c r="V1746">
        <f>IF(AND(ISTEXT($A1746),LEFT($A1747,3)="Pan"),1,"")</f>
        <v/>
      </c>
    </row>
    <row r="1747">
      <c r="S1747">
        <f>IF(AND(ISTEXT($A1747),ISNUMBER(SEARCH(" - ",$A1747)),ISERROR(SEARCH("Folio",$A1747)),$D1747=""),TRIM($A1747),$S1746)</f>
        <v/>
      </c>
      <c r="T1747">
        <f>IF(AND(ISNUMBER(SEARCH("Folio",$A1747)),$D1747&lt;&gt;""),1,"")</f>
        <v/>
      </c>
      <c r="U1747">
        <f>IF($T1747=1,COUNTIF($T$9:$T1747,1),"")</f>
        <v/>
      </c>
      <c r="V1747">
        <f>IF(AND(ISTEXT($A1747),LEFT($A1748,3)="Pan"),1,"")</f>
        <v/>
      </c>
    </row>
    <row r="1748">
      <c r="S1748">
        <f>IF(AND(ISTEXT($A1748),ISNUMBER(SEARCH(" - ",$A1748)),ISERROR(SEARCH("Folio",$A1748)),$D1748=""),TRIM($A1748),$S1747)</f>
        <v/>
      </c>
      <c r="T1748">
        <f>IF(AND(ISNUMBER(SEARCH("Folio",$A1748)),$D1748&lt;&gt;""),1,"")</f>
        <v/>
      </c>
      <c r="U1748">
        <f>IF($T1748=1,COUNTIF($T$9:$T1748,1),"")</f>
        <v/>
      </c>
      <c r="V1748">
        <f>IF(AND(ISTEXT($A1748),LEFT($A1749,3)="Pan"),1,"")</f>
        <v/>
      </c>
    </row>
    <row r="1749">
      <c r="S1749">
        <f>IF(AND(ISTEXT($A1749),ISNUMBER(SEARCH(" - ",$A1749)),ISERROR(SEARCH("Folio",$A1749)),$D1749=""),TRIM($A1749),$S1748)</f>
        <v/>
      </c>
      <c r="T1749">
        <f>IF(AND(ISNUMBER(SEARCH("Folio",$A1749)),$D1749&lt;&gt;""),1,"")</f>
        <v/>
      </c>
      <c r="U1749">
        <f>IF($T1749=1,COUNTIF($T$9:$T1749,1),"")</f>
        <v/>
      </c>
      <c r="V1749">
        <f>IF(AND(ISTEXT($A1749),LEFT($A1750,3)="Pan"),1,"")</f>
        <v/>
      </c>
    </row>
    <row r="1750">
      <c r="S1750">
        <f>IF(AND(ISTEXT($A1750),ISNUMBER(SEARCH(" - ",$A1750)),ISERROR(SEARCH("Folio",$A1750)),$D1750=""),TRIM($A1750),$S1749)</f>
        <v/>
      </c>
      <c r="T1750">
        <f>IF(AND(ISNUMBER(SEARCH("Folio",$A1750)),$D1750&lt;&gt;""),1,"")</f>
        <v/>
      </c>
      <c r="U1750">
        <f>IF($T1750=1,COUNTIF($T$9:$T1750,1),"")</f>
        <v/>
      </c>
      <c r="V1750">
        <f>IF(AND(ISTEXT($A1750),LEFT($A1751,3)="Pan"),1,"")</f>
        <v/>
      </c>
    </row>
    <row r="1751">
      <c r="S1751">
        <f>IF(AND(ISTEXT($A1751),ISNUMBER(SEARCH(" - ",$A1751)),ISERROR(SEARCH("Folio",$A1751)),$D1751=""),TRIM($A1751),$S1750)</f>
        <v/>
      </c>
      <c r="T1751">
        <f>IF(AND(ISNUMBER(SEARCH("Folio",$A1751)),$D1751&lt;&gt;""),1,"")</f>
        <v/>
      </c>
      <c r="U1751">
        <f>IF($T1751=1,COUNTIF($T$9:$T1751,1),"")</f>
        <v/>
      </c>
      <c r="V1751">
        <f>IF(AND(ISTEXT($A1751),LEFT($A1752,3)="Pan"),1,"")</f>
        <v/>
      </c>
    </row>
    <row r="1752">
      <c r="S1752">
        <f>IF(AND(ISTEXT($A1752),ISNUMBER(SEARCH(" - ",$A1752)),ISERROR(SEARCH("Folio",$A1752)),$D1752=""),TRIM($A1752),$S1751)</f>
        <v/>
      </c>
      <c r="T1752">
        <f>IF(AND(ISNUMBER(SEARCH("Folio",$A1752)),$D1752&lt;&gt;""),1,"")</f>
        <v/>
      </c>
      <c r="U1752">
        <f>IF($T1752=1,COUNTIF($T$9:$T1752,1),"")</f>
        <v/>
      </c>
      <c r="V1752">
        <f>IF(AND(ISTEXT($A1752),LEFT($A1753,3)="Pan"),1,"")</f>
        <v/>
      </c>
    </row>
    <row r="1753">
      <c r="S1753">
        <f>IF(AND(ISTEXT($A1753),ISNUMBER(SEARCH(" - ",$A1753)),ISERROR(SEARCH("Folio",$A1753)),$D1753=""),TRIM($A1753),$S1752)</f>
        <v/>
      </c>
      <c r="T1753">
        <f>IF(AND(ISNUMBER(SEARCH("Folio",$A1753)),$D1753&lt;&gt;""),1,"")</f>
        <v/>
      </c>
      <c r="U1753">
        <f>IF($T1753=1,COUNTIF($T$9:$T1753,1),"")</f>
        <v/>
      </c>
      <c r="V1753">
        <f>IF(AND(ISTEXT($A1753),LEFT($A1754,3)="Pan"),1,"")</f>
        <v/>
      </c>
    </row>
    <row r="1754">
      <c r="S1754">
        <f>IF(AND(ISTEXT($A1754),ISNUMBER(SEARCH(" - ",$A1754)),ISERROR(SEARCH("Folio",$A1754)),$D1754=""),TRIM($A1754),$S1753)</f>
        <v/>
      </c>
      <c r="T1754">
        <f>IF(AND(ISNUMBER(SEARCH("Folio",$A1754)),$D1754&lt;&gt;""),1,"")</f>
        <v/>
      </c>
      <c r="U1754">
        <f>IF($T1754=1,COUNTIF($T$9:$T1754,1),"")</f>
        <v/>
      </c>
      <c r="V1754">
        <f>IF(AND(ISTEXT($A1754),LEFT($A1755,3)="Pan"),1,"")</f>
        <v/>
      </c>
    </row>
    <row r="1755">
      <c r="S1755">
        <f>IF(AND(ISTEXT($A1755),ISNUMBER(SEARCH(" - ",$A1755)),ISERROR(SEARCH("Folio",$A1755)),$D1755=""),TRIM($A1755),$S1754)</f>
        <v/>
      </c>
      <c r="T1755">
        <f>IF(AND(ISNUMBER(SEARCH("Folio",$A1755)),$D1755&lt;&gt;""),1,"")</f>
        <v/>
      </c>
      <c r="U1755">
        <f>IF($T1755=1,COUNTIF($T$9:$T1755,1),"")</f>
        <v/>
      </c>
      <c r="V1755">
        <f>IF(AND(ISTEXT($A1755),LEFT($A1756,3)="Pan"),1,"")</f>
        <v/>
      </c>
    </row>
    <row r="1756">
      <c r="S1756">
        <f>IF(AND(ISTEXT($A1756),ISNUMBER(SEARCH(" - ",$A1756)),ISERROR(SEARCH("Folio",$A1756)),$D1756=""),TRIM($A1756),$S1755)</f>
        <v/>
      </c>
      <c r="T1756">
        <f>IF(AND(ISNUMBER(SEARCH("Folio",$A1756)),$D1756&lt;&gt;""),1,"")</f>
        <v/>
      </c>
      <c r="U1756">
        <f>IF($T1756=1,COUNTIF($T$9:$T1756,1),"")</f>
        <v/>
      </c>
      <c r="V1756">
        <f>IF(AND(ISTEXT($A1756),LEFT($A1757,3)="Pan"),1,"")</f>
        <v/>
      </c>
    </row>
    <row r="1757">
      <c r="S1757">
        <f>IF(AND(ISTEXT($A1757),ISNUMBER(SEARCH(" - ",$A1757)),ISERROR(SEARCH("Folio",$A1757)),$D1757=""),TRIM($A1757),$S1756)</f>
        <v/>
      </c>
      <c r="T1757">
        <f>IF(AND(ISNUMBER(SEARCH("Folio",$A1757)),$D1757&lt;&gt;""),1,"")</f>
        <v/>
      </c>
      <c r="U1757">
        <f>IF($T1757=1,COUNTIF($T$9:$T1757,1),"")</f>
        <v/>
      </c>
      <c r="V1757">
        <f>IF(AND(ISTEXT($A1757),LEFT($A1758,3)="Pan"),1,"")</f>
        <v/>
      </c>
    </row>
    <row r="1758">
      <c r="S1758">
        <f>IF(AND(ISTEXT($A1758),ISNUMBER(SEARCH(" - ",$A1758)),ISERROR(SEARCH("Folio",$A1758)),$D1758=""),TRIM($A1758),$S1757)</f>
        <v/>
      </c>
      <c r="T1758">
        <f>IF(AND(ISNUMBER(SEARCH("Folio",$A1758)),$D1758&lt;&gt;""),1,"")</f>
        <v/>
      </c>
      <c r="U1758">
        <f>IF($T1758=1,COUNTIF($T$9:$T1758,1),"")</f>
        <v/>
      </c>
      <c r="V1758">
        <f>IF(AND(ISTEXT($A1758),LEFT($A1759,3)="Pan"),1,"")</f>
        <v/>
      </c>
    </row>
    <row r="1759">
      <c r="S1759">
        <f>IF(AND(ISTEXT($A1759),ISNUMBER(SEARCH(" - ",$A1759)),ISERROR(SEARCH("Folio",$A1759)),$D1759=""),TRIM($A1759),$S1758)</f>
        <v/>
      </c>
      <c r="T1759">
        <f>IF(AND(ISNUMBER(SEARCH("Folio",$A1759)),$D1759&lt;&gt;""),1,"")</f>
        <v/>
      </c>
      <c r="U1759">
        <f>IF($T1759=1,COUNTIF($T$9:$T1759,1),"")</f>
        <v/>
      </c>
      <c r="V1759">
        <f>IF(AND(ISTEXT($A1759),LEFT($A1760,3)="Pan"),1,"")</f>
        <v/>
      </c>
    </row>
    <row r="1760">
      <c r="S1760">
        <f>IF(AND(ISTEXT($A1760),ISNUMBER(SEARCH(" - ",$A1760)),ISERROR(SEARCH("Folio",$A1760)),$D1760=""),TRIM($A1760),$S1759)</f>
        <v/>
      </c>
      <c r="T1760">
        <f>IF(AND(ISNUMBER(SEARCH("Folio",$A1760)),$D1760&lt;&gt;""),1,"")</f>
        <v/>
      </c>
      <c r="U1760">
        <f>IF($T1760=1,COUNTIF($T$9:$T1760,1),"")</f>
        <v/>
      </c>
      <c r="V1760">
        <f>IF(AND(ISTEXT($A1760),LEFT($A1761,3)="Pan"),1,"")</f>
        <v/>
      </c>
    </row>
    <row r="1761">
      <c r="S1761">
        <f>IF(AND(ISTEXT($A1761),ISNUMBER(SEARCH(" - ",$A1761)),ISERROR(SEARCH("Folio",$A1761)),$D1761=""),TRIM($A1761),$S1760)</f>
        <v/>
      </c>
      <c r="T1761">
        <f>IF(AND(ISNUMBER(SEARCH("Folio",$A1761)),$D1761&lt;&gt;""),1,"")</f>
        <v/>
      </c>
      <c r="U1761">
        <f>IF($T1761=1,COUNTIF($T$9:$T1761,1),"")</f>
        <v/>
      </c>
      <c r="V1761">
        <f>IF(AND(ISTEXT($A1761),LEFT($A1762,3)="Pan"),1,"")</f>
        <v/>
      </c>
    </row>
    <row r="1762">
      <c r="S1762">
        <f>IF(AND(ISTEXT($A1762),ISNUMBER(SEARCH(" - ",$A1762)),ISERROR(SEARCH("Folio",$A1762)),$D1762=""),TRIM($A1762),$S1761)</f>
        <v/>
      </c>
      <c r="T1762">
        <f>IF(AND(ISNUMBER(SEARCH("Folio",$A1762)),$D1762&lt;&gt;""),1,"")</f>
        <v/>
      </c>
      <c r="U1762">
        <f>IF($T1762=1,COUNTIF($T$9:$T1762,1),"")</f>
        <v/>
      </c>
      <c r="V1762">
        <f>IF(AND(ISTEXT($A1762),LEFT($A1763,3)="Pan"),1,"")</f>
        <v/>
      </c>
    </row>
    <row r="1763">
      <c r="S1763">
        <f>IF(AND(ISTEXT($A1763),ISNUMBER(SEARCH(" - ",$A1763)),ISERROR(SEARCH("Folio",$A1763)),$D1763=""),TRIM($A1763),$S1762)</f>
        <v/>
      </c>
      <c r="T1763">
        <f>IF(AND(ISNUMBER(SEARCH("Folio",$A1763)),$D1763&lt;&gt;""),1,"")</f>
        <v/>
      </c>
      <c r="U1763">
        <f>IF($T1763=1,COUNTIF($T$9:$T1763,1),"")</f>
        <v/>
      </c>
      <c r="V1763">
        <f>IF(AND(ISTEXT($A1763),LEFT($A1764,3)="Pan"),1,"")</f>
        <v/>
      </c>
    </row>
    <row r="1764">
      <c r="S1764">
        <f>IF(AND(ISTEXT($A1764),ISNUMBER(SEARCH(" - ",$A1764)),ISERROR(SEARCH("Folio",$A1764)),$D1764=""),TRIM($A1764),$S1763)</f>
        <v/>
      </c>
      <c r="T1764">
        <f>IF(AND(ISNUMBER(SEARCH("Folio",$A1764)),$D1764&lt;&gt;""),1,"")</f>
        <v/>
      </c>
      <c r="U1764">
        <f>IF($T1764=1,COUNTIF($T$9:$T1764,1),"")</f>
        <v/>
      </c>
      <c r="V1764">
        <f>IF(AND(ISTEXT($A1764),LEFT($A1765,3)="Pan"),1,"")</f>
        <v/>
      </c>
    </row>
    <row r="1765">
      <c r="S1765">
        <f>IF(AND(ISTEXT($A1765),ISNUMBER(SEARCH(" - ",$A1765)),ISERROR(SEARCH("Folio",$A1765)),$D1765=""),TRIM($A1765),$S1764)</f>
        <v/>
      </c>
      <c r="T1765">
        <f>IF(AND(ISNUMBER(SEARCH("Folio",$A1765)),$D1765&lt;&gt;""),1,"")</f>
        <v/>
      </c>
      <c r="U1765">
        <f>IF($T1765=1,COUNTIF($T$9:$T1765,1),"")</f>
        <v/>
      </c>
      <c r="V1765">
        <f>IF(AND(ISTEXT($A1765),LEFT($A1766,3)="Pan"),1,"")</f>
        <v/>
      </c>
    </row>
    <row r="1766">
      <c r="S1766">
        <f>IF(AND(ISTEXT($A1766),ISNUMBER(SEARCH(" - ",$A1766)),ISERROR(SEARCH("Folio",$A1766)),$D1766=""),TRIM($A1766),$S1765)</f>
        <v/>
      </c>
      <c r="T1766">
        <f>IF(AND(ISNUMBER(SEARCH("Folio",$A1766)),$D1766&lt;&gt;""),1,"")</f>
        <v/>
      </c>
      <c r="U1766">
        <f>IF($T1766=1,COUNTIF($T$9:$T1766,1),"")</f>
        <v/>
      </c>
      <c r="V1766">
        <f>IF(AND(ISTEXT($A1766),LEFT($A1767,3)="Pan"),1,"")</f>
        <v/>
      </c>
    </row>
    <row r="1767">
      <c r="S1767">
        <f>IF(AND(ISTEXT($A1767),ISNUMBER(SEARCH(" - ",$A1767)),ISERROR(SEARCH("Folio",$A1767)),$D1767=""),TRIM($A1767),$S1766)</f>
        <v/>
      </c>
      <c r="T1767">
        <f>IF(AND(ISNUMBER(SEARCH("Folio",$A1767)),$D1767&lt;&gt;""),1,"")</f>
        <v/>
      </c>
      <c r="U1767">
        <f>IF($T1767=1,COUNTIF($T$9:$T1767,1),"")</f>
        <v/>
      </c>
      <c r="V1767">
        <f>IF(AND(ISTEXT($A1767),LEFT($A1768,3)="Pan"),1,"")</f>
        <v/>
      </c>
    </row>
    <row r="1768">
      <c r="S1768">
        <f>IF(AND(ISTEXT($A1768),ISNUMBER(SEARCH(" - ",$A1768)),ISERROR(SEARCH("Folio",$A1768)),$D1768=""),TRIM($A1768),$S1767)</f>
        <v/>
      </c>
      <c r="T1768">
        <f>IF(AND(ISNUMBER(SEARCH("Folio",$A1768)),$D1768&lt;&gt;""),1,"")</f>
        <v/>
      </c>
      <c r="U1768">
        <f>IF($T1768=1,COUNTIF($T$9:$T1768,1),"")</f>
        <v/>
      </c>
      <c r="V1768">
        <f>IF(AND(ISTEXT($A1768),LEFT($A1769,3)="Pan"),1,"")</f>
        <v/>
      </c>
    </row>
    <row r="1769">
      <c r="S1769">
        <f>IF(AND(ISTEXT($A1769),ISNUMBER(SEARCH(" - ",$A1769)),ISERROR(SEARCH("Folio",$A1769)),$D1769=""),TRIM($A1769),$S1768)</f>
        <v/>
      </c>
      <c r="T1769">
        <f>IF(AND(ISNUMBER(SEARCH("Folio",$A1769)),$D1769&lt;&gt;""),1,"")</f>
        <v/>
      </c>
      <c r="U1769">
        <f>IF($T1769=1,COUNTIF($T$9:$T1769,1),"")</f>
        <v/>
      </c>
      <c r="V1769">
        <f>IF(AND(ISTEXT($A1769),LEFT($A1770,3)="Pan"),1,"")</f>
        <v/>
      </c>
    </row>
    <row r="1770">
      <c r="S1770">
        <f>IF(AND(ISTEXT($A1770),ISNUMBER(SEARCH(" - ",$A1770)),ISERROR(SEARCH("Folio",$A1770)),$D1770=""),TRIM($A1770),$S1769)</f>
        <v/>
      </c>
      <c r="T1770">
        <f>IF(AND(ISNUMBER(SEARCH("Folio",$A1770)),$D1770&lt;&gt;""),1,"")</f>
        <v/>
      </c>
      <c r="U1770">
        <f>IF($T1770=1,COUNTIF($T$9:$T1770,1),"")</f>
        <v/>
      </c>
      <c r="V1770">
        <f>IF(AND(ISTEXT($A1770),LEFT($A1771,3)="Pan"),1,"")</f>
        <v/>
      </c>
    </row>
    <row r="1771">
      <c r="S1771">
        <f>IF(AND(ISTEXT($A1771),ISNUMBER(SEARCH(" - ",$A1771)),ISERROR(SEARCH("Folio",$A1771)),$D1771=""),TRIM($A1771),$S1770)</f>
        <v/>
      </c>
      <c r="T1771">
        <f>IF(AND(ISNUMBER(SEARCH("Folio",$A1771)),$D1771&lt;&gt;""),1,"")</f>
        <v/>
      </c>
      <c r="U1771">
        <f>IF($T1771=1,COUNTIF($T$9:$T1771,1),"")</f>
        <v/>
      </c>
      <c r="V1771">
        <f>IF(AND(ISTEXT($A1771),LEFT($A1772,3)="Pan"),1,"")</f>
        <v/>
      </c>
    </row>
    <row r="1772">
      <c r="S1772">
        <f>IF(AND(ISTEXT($A1772),ISNUMBER(SEARCH(" - ",$A1772)),ISERROR(SEARCH("Folio",$A1772)),$D1772=""),TRIM($A1772),$S1771)</f>
        <v/>
      </c>
      <c r="T1772">
        <f>IF(AND(ISNUMBER(SEARCH("Folio",$A1772)),$D1772&lt;&gt;""),1,"")</f>
        <v/>
      </c>
      <c r="U1772">
        <f>IF($T1772=1,COUNTIF($T$9:$T1772,1),"")</f>
        <v/>
      </c>
      <c r="V1772">
        <f>IF(AND(ISTEXT($A1772),LEFT($A1773,3)="Pan"),1,"")</f>
        <v/>
      </c>
    </row>
    <row r="1773">
      <c r="S1773">
        <f>IF(AND(ISTEXT($A1773),ISNUMBER(SEARCH(" - ",$A1773)),ISERROR(SEARCH("Folio",$A1773)),$D1773=""),TRIM($A1773),$S1772)</f>
        <v/>
      </c>
      <c r="T1773">
        <f>IF(AND(ISNUMBER(SEARCH("Folio",$A1773)),$D1773&lt;&gt;""),1,"")</f>
        <v/>
      </c>
      <c r="U1773">
        <f>IF($T1773=1,COUNTIF($T$9:$T1773,1),"")</f>
        <v/>
      </c>
      <c r="V1773">
        <f>IF(AND(ISTEXT($A1773),LEFT($A1774,3)="Pan"),1,"")</f>
        <v/>
      </c>
    </row>
    <row r="1774">
      <c r="S1774">
        <f>IF(AND(ISTEXT($A1774),ISNUMBER(SEARCH(" - ",$A1774)),ISERROR(SEARCH("Folio",$A1774)),$D1774=""),TRIM($A1774),$S1773)</f>
        <v/>
      </c>
      <c r="T1774">
        <f>IF(AND(ISNUMBER(SEARCH("Folio",$A1774)),$D1774&lt;&gt;""),1,"")</f>
        <v/>
      </c>
      <c r="U1774">
        <f>IF($T1774=1,COUNTIF($T$9:$T1774,1),"")</f>
        <v/>
      </c>
      <c r="V1774">
        <f>IF(AND(ISTEXT($A1774),LEFT($A1775,3)="Pan"),1,"")</f>
        <v/>
      </c>
    </row>
    <row r="1775">
      <c r="S1775">
        <f>IF(AND(ISTEXT($A1775),ISNUMBER(SEARCH(" - ",$A1775)),ISERROR(SEARCH("Folio",$A1775)),$D1775=""),TRIM($A1775),$S1774)</f>
        <v/>
      </c>
      <c r="T1775">
        <f>IF(AND(ISNUMBER(SEARCH("Folio",$A1775)),$D1775&lt;&gt;""),1,"")</f>
        <v/>
      </c>
      <c r="U1775">
        <f>IF($T1775=1,COUNTIF($T$9:$T1775,1),"")</f>
        <v/>
      </c>
      <c r="V1775">
        <f>IF(AND(ISTEXT($A1775),LEFT($A1776,3)="Pan"),1,"")</f>
        <v/>
      </c>
    </row>
    <row r="1776">
      <c r="S1776">
        <f>IF(AND(ISTEXT($A1776),ISNUMBER(SEARCH(" - ",$A1776)),ISERROR(SEARCH("Folio",$A1776)),$D1776=""),TRIM($A1776),$S1775)</f>
        <v/>
      </c>
      <c r="T1776">
        <f>IF(AND(ISNUMBER(SEARCH("Folio",$A1776)),$D1776&lt;&gt;""),1,"")</f>
        <v/>
      </c>
      <c r="U1776">
        <f>IF($T1776=1,COUNTIF($T$9:$T1776,1),"")</f>
        <v/>
      </c>
      <c r="V1776">
        <f>IF(AND(ISTEXT($A1776),LEFT($A1777,3)="Pan"),1,"")</f>
        <v/>
      </c>
    </row>
    <row r="1777">
      <c r="S1777">
        <f>IF(AND(ISTEXT($A1777),ISNUMBER(SEARCH(" - ",$A1777)),ISERROR(SEARCH("Folio",$A1777)),$D1777=""),TRIM($A1777),$S1776)</f>
        <v/>
      </c>
      <c r="T1777">
        <f>IF(AND(ISNUMBER(SEARCH("Folio",$A1777)),$D1777&lt;&gt;""),1,"")</f>
        <v/>
      </c>
      <c r="U1777">
        <f>IF($T1777=1,COUNTIF($T$9:$T1777,1),"")</f>
        <v/>
      </c>
      <c r="V1777">
        <f>IF(AND(ISTEXT($A1777),LEFT($A1778,3)="Pan"),1,"")</f>
        <v/>
      </c>
    </row>
    <row r="1778">
      <c r="S1778">
        <f>IF(AND(ISTEXT($A1778),ISNUMBER(SEARCH(" - ",$A1778)),ISERROR(SEARCH("Folio",$A1778)),$D1778=""),TRIM($A1778),$S1777)</f>
        <v/>
      </c>
      <c r="T1778">
        <f>IF(AND(ISNUMBER(SEARCH("Folio",$A1778)),$D1778&lt;&gt;""),1,"")</f>
        <v/>
      </c>
      <c r="U1778">
        <f>IF($T1778=1,COUNTIF($T$9:$T1778,1),"")</f>
        <v/>
      </c>
      <c r="V1778">
        <f>IF(AND(ISTEXT($A1778),LEFT($A1779,3)="Pan"),1,"")</f>
        <v/>
      </c>
    </row>
    <row r="1779">
      <c r="S1779">
        <f>IF(AND(ISTEXT($A1779),ISNUMBER(SEARCH(" - ",$A1779)),ISERROR(SEARCH("Folio",$A1779)),$D1779=""),TRIM($A1779),$S1778)</f>
        <v/>
      </c>
      <c r="T1779">
        <f>IF(AND(ISNUMBER(SEARCH("Folio",$A1779)),$D1779&lt;&gt;""),1,"")</f>
        <v/>
      </c>
      <c r="U1779">
        <f>IF($T1779=1,COUNTIF($T$9:$T1779,1),"")</f>
        <v/>
      </c>
      <c r="V1779">
        <f>IF(AND(ISTEXT($A1779),LEFT($A1780,3)="Pan"),1,"")</f>
        <v/>
      </c>
    </row>
    <row r="1780">
      <c r="S1780">
        <f>IF(AND(ISTEXT($A1780),ISNUMBER(SEARCH(" - ",$A1780)),ISERROR(SEARCH("Folio",$A1780)),$D1780=""),TRIM($A1780),$S1779)</f>
        <v/>
      </c>
      <c r="T1780">
        <f>IF(AND(ISNUMBER(SEARCH("Folio",$A1780)),$D1780&lt;&gt;""),1,"")</f>
        <v/>
      </c>
      <c r="U1780">
        <f>IF($T1780=1,COUNTIF($T$9:$T1780,1),"")</f>
        <v/>
      </c>
      <c r="V1780">
        <f>IF(AND(ISTEXT($A1780),LEFT($A1781,3)="Pan"),1,"")</f>
        <v/>
      </c>
    </row>
    <row r="1781">
      <c r="S1781">
        <f>IF(AND(ISTEXT($A1781),ISNUMBER(SEARCH(" - ",$A1781)),ISERROR(SEARCH("Folio",$A1781)),$D1781=""),TRIM($A1781),$S1780)</f>
        <v/>
      </c>
      <c r="T1781">
        <f>IF(AND(ISNUMBER(SEARCH("Folio",$A1781)),$D1781&lt;&gt;""),1,"")</f>
        <v/>
      </c>
      <c r="U1781">
        <f>IF($T1781=1,COUNTIF($T$9:$T1781,1),"")</f>
        <v/>
      </c>
      <c r="V1781">
        <f>IF(AND(ISTEXT($A1781),LEFT($A1782,3)="Pan"),1,"")</f>
        <v/>
      </c>
    </row>
    <row r="1782">
      <c r="S1782">
        <f>IF(AND(ISTEXT($A1782),ISNUMBER(SEARCH(" - ",$A1782)),ISERROR(SEARCH("Folio",$A1782)),$D1782=""),TRIM($A1782),$S1781)</f>
        <v/>
      </c>
      <c r="T1782">
        <f>IF(AND(ISNUMBER(SEARCH("Folio",$A1782)),$D1782&lt;&gt;""),1,"")</f>
        <v/>
      </c>
      <c r="U1782">
        <f>IF($T1782=1,COUNTIF($T$9:$T1782,1),"")</f>
        <v/>
      </c>
      <c r="V1782">
        <f>IF(AND(ISTEXT($A1782),LEFT($A1783,3)="Pan"),1,"")</f>
        <v/>
      </c>
    </row>
    <row r="1783">
      <c r="S1783">
        <f>IF(AND(ISTEXT($A1783),ISNUMBER(SEARCH(" - ",$A1783)),ISERROR(SEARCH("Folio",$A1783)),$D1783=""),TRIM($A1783),$S1782)</f>
        <v/>
      </c>
      <c r="T1783">
        <f>IF(AND(ISNUMBER(SEARCH("Folio",$A1783)),$D1783&lt;&gt;""),1,"")</f>
        <v/>
      </c>
      <c r="U1783">
        <f>IF($T1783=1,COUNTIF($T$9:$T1783,1),"")</f>
        <v/>
      </c>
      <c r="V1783">
        <f>IF(AND(ISTEXT($A1783),LEFT($A1784,3)="Pan"),1,"")</f>
        <v/>
      </c>
    </row>
    <row r="1784">
      <c r="S1784">
        <f>IF(AND(ISTEXT($A1784),ISNUMBER(SEARCH(" - ",$A1784)),ISERROR(SEARCH("Folio",$A1784)),$D1784=""),TRIM($A1784),$S1783)</f>
        <v/>
      </c>
      <c r="T1784">
        <f>IF(AND(ISNUMBER(SEARCH("Folio",$A1784)),$D1784&lt;&gt;""),1,"")</f>
        <v/>
      </c>
      <c r="U1784">
        <f>IF($T1784=1,COUNTIF($T$9:$T1784,1),"")</f>
        <v/>
      </c>
      <c r="V1784">
        <f>IF(AND(ISTEXT($A1784),LEFT($A1785,3)="Pan"),1,"")</f>
        <v/>
      </c>
    </row>
    <row r="1785">
      <c r="S1785">
        <f>IF(AND(ISTEXT($A1785),ISNUMBER(SEARCH(" - ",$A1785)),ISERROR(SEARCH("Folio",$A1785)),$D1785=""),TRIM($A1785),$S1784)</f>
        <v/>
      </c>
      <c r="T1785">
        <f>IF(AND(ISNUMBER(SEARCH("Folio",$A1785)),$D1785&lt;&gt;""),1,"")</f>
        <v/>
      </c>
      <c r="U1785">
        <f>IF($T1785=1,COUNTIF($T$9:$T1785,1),"")</f>
        <v/>
      </c>
      <c r="V1785">
        <f>IF(AND(ISTEXT($A1785),LEFT($A1786,3)="Pan"),1,"")</f>
        <v/>
      </c>
    </row>
    <row r="1786">
      <c r="S1786">
        <f>IF(AND(ISTEXT($A1786),ISNUMBER(SEARCH(" - ",$A1786)),ISERROR(SEARCH("Folio",$A1786)),$D1786=""),TRIM($A1786),$S1785)</f>
        <v/>
      </c>
      <c r="T1786">
        <f>IF(AND(ISNUMBER(SEARCH("Folio",$A1786)),$D1786&lt;&gt;""),1,"")</f>
        <v/>
      </c>
      <c r="U1786">
        <f>IF($T1786=1,COUNTIF($T$9:$T1786,1),"")</f>
        <v/>
      </c>
      <c r="V1786">
        <f>IF(AND(ISTEXT($A1786),LEFT($A1787,3)="Pan"),1,"")</f>
        <v/>
      </c>
    </row>
    <row r="1787">
      <c r="S1787">
        <f>IF(AND(ISTEXT($A1787),ISNUMBER(SEARCH(" - ",$A1787)),ISERROR(SEARCH("Folio",$A1787)),$D1787=""),TRIM($A1787),$S1786)</f>
        <v/>
      </c>
      <c r="T1787">
        <f>IF(AND(ISNUMBER(SEARCH("Folio",$A1787)),$D1787&lt;&gt;""),1,"")</f>
        <v/>
      </c>
      <c r="U1787">
        <f>IF($T1787=1,COUNTIF($T$9:$T1787,1),"")</f>
        <v/>
      </c>
      <c r="V1787">
        <f>IF(AND(ISTEXT($A1787),LEFT($A1788,3)="Pan"),1,"")</f>
        <v/>
      </c>
    </row>
    <row r="1788">
      <c r="S1788">
        <f>IF(AND(ISTEXT($A1788),ISNUMBER(SEARCH(" - ",$A1788)),ISERROR(SEARCH("Folio",$A1788)),$D1788=""),TRIM($A1788),$S1787)</f>
        <v/>
      </c>
      <c r="T1788">
        <f>IF(AND(ISNUMBER(SEARCH("Folio",$A1788)),$D1788&lt;&gt;""),1,"")</f>
        <v/>
      </c>
      <c r="U1788">
        <f>IF($T1788=1,COUNTIF($T$9:$T1788,1),"")</f>
        <v/>
      </c>
      <c r="V1788">
        <f>IF(AND(ISTEXT($A1788),LEFT($A1789,3)="Pan"),1,"")</f>
        <v/>
      </c>
    </row>
    <row r="1789">
      <c r="S1789">
        <f>IF(AND(ISTEXT($A1789),ISNUMBER(SEARCH(" - ",$A1789)),ISERROR(SEARCH("Folio",$A1789)),$D1789=""),TRIM($A1789),$S1788)</f>
        <v/>
      </c>
      <c r="T1789">
        <f>IF(AND(ISNUMBER(SEARCH("Folio",$A1789)),$D1789&lt;&gt;""),1,"")</f>
        <v/>
      </c>
      <c r="U1789">
        <f>IF($T1789=1,COUNTIF($T$9:$T1789,1),"")</f>
        <v/>
      </c>
      <c r="V1789">
        <f>IF(AND(ISTEXT($A1789),LEFT($A1790,3)="Pan"),1,"")</f>
        <v/>
      </c>
    </row>
    <row r="1790">
      <c r="S1790">
        <f>IF(AND(ISTEXT($A1790),ISNUMBER(SEARCH(" - ",$A1790)),ISERROR(SEARCH("Folio",$A1790)),$D1790=""),TRIM($A1790),$S1789)</f>
        <v/>
      </c>
      <c r="T1790">
        <f>IF(AND(ISNUMBER(SEARCH("Folio",$A1790)),$D1790&lt;&gt;""),1,"")</f>
        <v/>
      </c>
      <c r="U1790">
        <f>IF($T1790=1,COUNTIF($T$9:$T1790,1),"")</f>
        <v/>
      </c>
      <c r="V1790">
        <f>IF(AND(ISTEXT($A1790),LEFT($A1791,3)="Pan"),1,"")</f>
        <v/>
      </c>
    </row>
    <row r="1791">
      <c r="S1791">
        <f>IF(AND(ISTEXT($A1791),ISNUMBER(SEARCH(" - ",$A1791)),ISERROR(SEARCH("Folio",$A1791)),$D1791=""),TRIM($A1791),$S1790)</f>
        <v/>
      </c>
      <c r="T1791">
        <f>IF(AND(ISNUMBER(SEARCH("Folio",$A1791)),$D1791&lt;&gt;""),1,"")</f>
        <v/>
      </c>
      <c r="U1791">
        <f>IF($T1791=1,COUNTIF($T$9:$T1791,1),"")</f>
        <v/>
      </c>
      <c r="V1791">
        <f>IF(AND(ISTEXT($A1791),LEFT($A1792,3)="Pan"),1,"")</f>
        <v/>
      </c>
    </row>
    <row r="1792">
      <c r="S1792">
        <f>IF(AND(ISTEXT($A1792),ISNUMBER(SEARCH(" - ",$A1792)),ISERROR(SEARCH("Folio",$A1792)),$D1792=""),TRIM($A1792),$S1791)</f>
        <v/>
      </c>
      <c r="T1792">
        <f>IF(AND(ISNUMBER(SEARCH("Folio",$A1792)),$D1792&lt;&gt;""),1,"")</f>
        <v/>
      </c>
      <c r="U1792">
        <f>IF($T1792=1,COUNTIF($T$9:$T1792,1),"")</f>
        <v/>
      </c>
      <c r="V1792">
        <f>IF(AND(ISTEXT($A1792),LEFT($A1793,3)="Pan"),1,"")</f>
        <v/>
      </c>
    </row>
    <row r="1793">
      <c r="S1793">
        <f>IF(AND(ISTEXT($A1793),ISNUMBER(SEARCH(" - ",$A1793)),ISERROR(SEARCH("Folio",$A1793)),$D1793=""),TRIM($A1793),$S1792)</f>
        <v/>
      </c>
      <c r="T1793">
        <f>IF(AND(ISNUMBER(SEARCH("Folio",$A1793)),$D1793&lt;&gt;""),1,"")</f>
        <v/>
      </c>
      <c r="U1793">
        <f>IF($T1793=1,COUNTIF($T$9:$T1793,1),"")</f>
        <v/>
      </c>
      <c r="V1793">
        <f>IF(AND(ISTEXT($A1793),LEFT($A1794,3)="Pan"),1,"")</f>
        <v/>
      </c>
    </row>
    <row r="1794">
      <c r="S1794">
        <f>IF(AND(ISTEXT($A1794),ISNUMBER(SEARCH(" - ",$A1794)),ISERROR(SEARCH("Folio",$A1794)),$D1794=""),TRIM($A1794),$S1793)</f>
        <v/>
      </c>
      <c r="T1794">
        <f>IF(AND(ISNUMBER(SEARCH("Folio",$A1794)),$D1794&lt;&gt;""),1,"")</f>
        <v/>
      </c>
      <c r="U1794">
        <f>IF($T1794=1,COUNTIF($T$9:$T1794,1),"")</f>
        <v/>
      </c>
      <c r="V1794">
        <f>IF(AND(ISTEXT($A1794),LEFT($A1795,3)="Pan"),1,"")</f>
        <v/>
      </c>
    </row>
    <row r="1795">
      <c r="S1795">
        <f>IF(AND(ISTEXT($A1795),ISNUMBER(SEARCH(" - ",$A1795)),ISERROR(SEARCH("Folio",$A1795)),$D1795=""),TRIM($A1795),$S1794)</f>
        <v/>
      </c>
      <c r="T1795">
        <f>IF(AND(ISNUMBER(SEARCH("Folio",$A1795)),$D1795&lt;&gt;""),1,"")</f>
        <v/>
      </c>
      <c r="U1795">
        <f>IF($T1795=1,COUNTIF($T$9:$T1795,1),"")</f>
        <v/>
      </c>
      <c r="V1795">
        <f>IF(AND(ISTEXT($A1795),LEFT($A1796,3)="Pan"),1,"")</f>
        <v/>
      </c>
    </row>
    <row r="1796">
      <c r="S1796">
        <f>IF(AND(ISTEXT($A1796),ISNUMBER(SEARCH(" - ",$A1796)),ISERROR(SEARCH("Folio",$A1796)),$D1796=""),TRIM($A1796),$S1795)</f>
        <v/>
      </c>
      <c r="T1796">
        <f>IF(AND(ISNUMBER(SEARCH("Folio",$A1796)),$D1796&lt;&gt;""),1,"")</f>
        <v/>
      </c>
      <c r="U1796">
        <f>IF($T1796=1,COUNTIF($T$9:$T1796,1),"")</f>
        <v/>
      </c>
      <c r="V1796">
        <f>IF(AND(ISTEXT($A1796),LEFT($A1797,3)="Pan"),1,"")</f>
        <v/>
      </c>
    </row>
    <row r="1797">
      <c r="S1797">
        <f>IF(AND(ISTEXT($A1797),ISNUMBER(SEARCH(" - ",$A1797)),ISERROR(SEARCH("Folio",$A1797)),$D1797=""),TRIM($A1797),$S1796)</f>
        <v/>
      </c>
      <c r="T1797">
        <f>IF(AND(ISNUMBER(SEARCH("Folio",$A1797)),$D1797&lt;&gt;""),1,"")</f>
        <v/>
      </c>
      <c r="U1797">
        <f>IF($T1797=1,COUNTIF($T$9:$T1797,1),"")</f>
        <v/>
      </c>
      <c r="V1797">
        <f>IF(AND(ISTEXT($A1797),LEFT($A1798,3)="Pan"),1,"")</f>
        <v/>
      </c>
    </row>
    <row r="1798">
      <c r="S1798">
        <f>IF(AND(ISTEXT($A1798),ISNUMBER(SEARCH(" - ",$A1798)),ISERROR(SEARCH("Folio",$A1798)),$D1798=""),TRIM($A1798),$S1797)</f>
        <v/>
      </c>
      <c r="T1798">
        <f>IF(AND(ISNUMBER(SEARCH("Folio",$A1798)),$D1798&lt;&gt;""),1,"")</f>
        <v/>
      </c>
      <c r="U1798">
        <f>IF($T1798=1,COUNTIF($T$9:$T1798,1),"")</f>
        <v/>
      </c>
      <c r="V1798">
        <f>IF(AND(ISTEXT($A1798),LEFT($A1799,3)="Pan"),1,"")</f>
        <v/>
      </c>
    </row>
    <row r="1799">
      <c r="S1799">
        <f>IF(AND(ISTEXT($A1799),ISNUMBER(SEARCH(" - ",$A1799)),ISERROR(SEARCH("Folio",$A1799)),$D1799=""),TRIM($A1799),$S1798)</f>
        <v/>
      </c>
      <c r="T1799">
        <f>IF(AND(ISNUMBER(SEARCH("Folio",$A1799)),$D1799&lt;&gt;""),1,"")</f>
        <v/>
      </c>
      <c r="U1799">
        <f>IF($T1799=1,COUNTIF($T$9:$T1799,1),"")</f>
        <v/>
      </c>
      <c r="V1799">
        <f>IF(AND(ISTEXT($A1799),LEFT($A1800,3)="Pan"),1,"")</f>
        <v/>
      </c>
    </row>
    <row r="1800">
      <c r="S1800">
        <f>IF(AND(ISTEXT($A1800),ISNUMBER(SEARCH(" - ",$A1800)),ISERROR(SEARCH("Folio",$A1800)),$D1800=""),TRIM($A1800),$S1799)</f>
        <v/>
      </c>
      <c r="T1800">
        <f>IF(AND(ISNUMBER(SEARCH("Folio",$A1800)),$D1800&lt;&gt;""),1,"")</f>
        <v/>
      </c>
      <c r="U1800">
        <f>IF($T1800=1,COUNTIF($T$9:$T1800,1),"")</f>
        <v/>
      </c>
      <c r="V1800">
        <f>IF(AND(ISTEXT($A1800),LEFT($A1801,3)="Pan"),1,"")</f>
        <v/>
      </c>
    </row>
    <row r="1801">
      <c r="S1801">
        <f>IF(AND(ISTEXT($A1801),ISNUMBER(SEARCH(" - ",$A1801)),ISERROR(SEARCH("Folio",$A1801)),$D1801=""),TRIM($A1801),$S1800)</f>
        <v/>
      </c>
      <c r="T1801">
        <f>IF(AND(ISNUMBER(SEARCH("Folio",$A1801)),$D1801&lt;&gt;""),1,"")</f>
        <v/>
      </c>
      <c r="U1801">
        <f>IF($T1801=1,COUNTIF($T$9:$T1801,1),"")</f>
        <v/>
      </c>
      <c r="V1801">
        <f>IF(AND(ISTEXT($A1801),LEFT($A1802,3)="Pan"),1,"")</f>
        <v/>
      </c>
    </row>
    <row r="1802">
      <c r="S1802">
        <f>IF(AND(ISTEXT($A1802),ISNUMBER(SEARCH(" - ",$A1802)),ISERROR(SEARCH("Folio",$A1802)),$D1802=""),TRIM($A1802),$S1801)</f>
        <v/>
      </c>
      <c r="T1802">
        <f>IF(AND(ISNUMBER(SEARCH("Folio",$A1802)),$D1802&lt;&gt;""),1,"")</f>
        <v/>
      </c>
      <c r="U1802">
        <f>IF($T1802=1,COUNTIF($T$9:$T1802,1),"")</f>
        <v/>
      </c>
      <c r="V1802">
        <f>IF(AND(ISTEXT($A1802),LEFT($A1803,3)="Pan"),1,"")</f>
        <v/>
      </c>
    </row>
    <row r="1803">
      <c r="S1803">
        <f>IF(AND(ISTEXT($A1803),ISNUMBER(SEARCH(" - ",$A1803)),ISERROR(SEARCH("Folio",$A1803)),$D1803=""),TRIM($A1803),$S1802)</f>
        <v/>
      </c>
      <c r="T1803">
        <f>IF(AND(ISNUMBER(SEARCH("Folio",$A1803)),$D1803&lt;&gt;""),1,"")</f>
        <v/>
      </c>
      <c r="U1803">
        <f>IF($T1803=1,COUNTIF($T$9:$T1803,1),"")</f>
        <v/>
      </c>
      <c r="V1803">
        <f>IF(AND(ISTEXT($A1803),LEFT($A1804,3)="Pan"),1,"")</f>
        <v/>
      </c>
    </row>
    <row r="1804">
      <c r="S1804">
        <f>IF(AND(ISTEXT($A1804),ISNUMBER(SEARCH(" - ",$A1804)),ISERROR(SEARCH("Folio",$A1804)),$D1804=""),TRIM($A1804),$S1803)</f>
        <v/>
      </c>
      <c r="T1804">
        <f>IF(AND(ISNUMBER(SEARCH("Folio",$A1804)),$D1804&lt;&gt;""),1,"")</f>
        <v/>
      </c>
      <c r="U1804">
        <f>IF($T1804=1,COUNTIF($T$9:$T1804,1),"")</f>
        <v/>
      </c>
      <c r="V1804">
        <f>IF(AND(ISTEXT($A1804),LEFT($A1805,3)="Pan"),1,"")</f>
        <v/>
      </c>
    </row>
    <row r="1805">
      <c r="S1805">
        <f>IF(AND(ISTEXT($A1805),ISNUMBER(SEARCH(" - ",$A1805)),ISERROR(SEARCH("Folio",$A1805)),$D1805=""),TRIM($A1805),$S1804)</f>
        <v/>
      </c>
      <c r="T1805">
        <f>IF(AND(ISNUMBER(SEARCH("Folio",$A1805)),$D1805&lt;&gt;""),1,"")</f>
        <v/>
      </c>
      <c r="U1805">
        <f>IF($T1805=1,COUNTIF($T$9:$T1805,1),"")</f>
        <v/>
      </c>
      <c r="V1805">
        <f>IF(AND(ISTEXT($A1805),LEFT($A1806,3)="Pan"),1,"")</f>
        <v/>
      </c>
    </row>
    <row r="1806">
      <c r="S1806">
        <f>IF(AND(ISTEXT($A1806),ISNUMBER(SEARCH(" - ",$A1806)),ISERROR(SEARCH("Folio",$A1806)),$D1806=""),TRIM($A1806),$S1805)</f>
        <v/>
      </c>
      <c r="T1806">
        <f>IF(AND(ISNUMBER(SEARCH("Folio",$A1806)),$D1806&lt;&gt;""),1,"")</f>
        <v/>
      </c>
      <c r="U1806">
        <f>IF($T1806=1,COUNTIF($T$9:$T1806,1),"")</f>
        <v/>
      </c>
      <c r="V1806">
        <f>IF(AND(ISTEXT($A1806),LEFT($A1807,3)="Pan"),1,"")</f>
        <v/>
      </c>
    </row>
    <row r="1807">
      <c r="S1807">
        <f>IF(AND(ISTEXT($A1807),ISNUMBER(SEARCH(" - ",$A1807)),ISERROR(SEARCH("Folio",$A1807)),$D1807=""),TRIM($A1807),$S1806)</f>
        <v/>
      </c>
      <c r="T1807">
        <f>IF(AND(ISNUMBER(SEARCH("Folio",$A1807)),$D1807&lt;&gt;""),1,"")</f>
        <v/>
      </c>
      <c r="U1807">
        <f>IF($T1807=1,COUNTIF($T$9:$T1807,1),"")</f>
        <v/>
      </c>
      <c r="V1807">
        <f>IF(AND(ISTEXT($A1807),LEFT($A1808,3)="Pan"),1,"")</f>
        <v/>
      </c>
    </row>
    <row r="1808">
      <c r="S1808">
        <f>IF(AND(ISTEXT($A1808),ISNUMBER(SEARCH(" - ",$A1808)),ISERROR(SEARCH("Folio",$A1808)),$D1808=""),TRIM($A1808),$S1807)</f>
        <v/>
      </c>
      <c r="T1808">
        <f>IF(AND(ISNUMBER(SEARCH("Folio",$A1808)),$D1808&lt;&gt;""),1,"")</f>
        <v/>
      </c>
      <c r="U1808">
        <f>IF($T1808=1,COUNTIF($T$9:$T1808,1),"")</f>
        <v/>
      </c>
      <c r="V1808">
        <f>IF(AND(ISTEXT($A1808),LEFT($A1809,3)="Pan"),1,"")</f>
        <v/>
      </c>
    </row>
    <row r="1809">
      <c r="S1809">
        <f>IF(AND(ISTEXT($A1809),ISNUMBER(SEARCH(" - ",$A1809)),ISERROR(SEARCH("Folio",$A1809)),$D1809=""),TRIM($A1809),$S1808)</f>
        <v/>
      </c>
      <c r="T1809">
        <f>IF(AND(ISNUMBER(SEARCH("Folio",$A1809)),$D1809&lt;&gt;""),1,"")</f>
        <v/>
      </c>
      <c r="U1809">
        <f>IF($T1809=1,COUNTIF($T$9:$T1809,1),"")</f>
        <v/>
      </c>
      <c r="V1809">
        <f>IF(AND(ISTEXT($A1809),LEFT($A1810,3)="Pan"),1,"")</f>
        <v/>
      </c>
    </row>
    <row r="1810">
      <c r="S1810">
        <f>IF(AND(ISTEXT($A1810),ISNUMBER(SEARCH(" - ",$A1810)),ISERROR(SEARCH("Folio",$A1810)),$D1810=""),TRIM($A1810),$S1809)</f>
        <v/>
      </c>
      <c r="T1810">
        <f>IF(AND(ISNUMBER(SEARCH("Folio",$A1810)),$D1810&lt;&gt;""),1,"")</f>
        <v/>
      </c>
      <c r="U1810">
        <f>IF($T1810=1,COUNTIF($T$9:$T1810,1),"")</f>
        <v/>
      </c>
      <c r="V1810">
        <f>IF(AND(ISTEXT($A1810),LEFT($A1811,3)="Pan"),1,"")</f>
        <v/>
      </c>
    </row>
    <row r="1811">
      <c r="S1811">
        <f>IF(AND(ISTEXT($A1811),ISNUMBER(SEARCH(" - ",$A1811)),ISERROR(SEARCH("Folio",$A1811)),$D1811=""),TRIM($A1811),$S1810)</f>
        <v/>
      </c>
      <c r="T1811">
        <f>IF(AND(ISNUMBER(SEARCH("Folio",$A1811)),$D1811&lt;&gt;""),1,"")</f>
        <v/>
      </c>
      <c r="U1811">
        <f>IF($T1811=1,COUNTIF($T$9:$T1811,1),"")</f>
        <v/>
      </c>
      <c r="V1811">
        <f>IF(AND(ISTEXT($A1811),LEFT($A1812,3)="Pan"),1,"")</f>
        <v/>
      </c>
    </row>
    <row r="1812">
      <c r="S1812">
        <f>IF(AND(ISTEXT($A1812),ISNUMBER(SEARCH(" - ",$A1812)),ISERROR(SEARCH("Folio",$A1812)),$D1812=""),TRIM($A1812),$S1811)</f>
        <v/>
      </c>
      <c r="T1812">
        <f>IF(AND(ISNUMBER(SEARCH("Folio",$A1812)),$D1812&lt;&gt;""),1,"")</f>
        <v/>
      </c>
      <c r="U1812">
        <f>IF($T1812=1,COUNTIF($T$9:$T1812,1),"")</f>
        <v/>
      </c>
      <c r="V1812">
        <f>IF(AND(ISTEXT($A1812),LEFT($A1813,3)="Pan"),1,"")</f>
        <v/>
      </c>
    </row>
    <row r="1813">
      <c r="S1813">
        <f>IF(AND(ISTEXT($A1813),ISNUMBER(SEARCH(" - ",$A1813)),ISERROR(SEARCH("Folio",$A1813)),$D1813=""),TRIM($A1813),$S1812)</f>
        <v/>
      </c>
      <c r="T1813">
        <f>IF(AND(ISNUMBER(SEARCH("Folio",$A1813)),$D1813&lt;&gt;""),1,"")</f>
        <v/>
      </c>
      <c r="U1813">
        <f>IF($T1813=1,COUNTIF($T$9:$T1813,1),"")</f>
        <v/>
      </c>
      <c r="V1813">
        <f>IF(AND(ISTEXT($A1813),LEFT($A1814,3)="Pan"),1,"")</f>
        <v/>
      </c>
    </row>
    <row r="1814">
      <c r="S1814">
        <f>IF(AND(ISTEXT($A1814),ISNUMBER(SEARCH(" - ",$A1814)),ISERROR(SEARCH("Folio",$A1814)),$D1814=""),TRIM($A1814),$S1813)</f>
        <v/>
      </c>
      <c r="T1814">
        <f>IF(AND(ISNUMBER(SEARCH("Folio",$A1814)),$D1814&lt;&gt;""),1,"")</f>
        <v/>
      </c>
      <c r="U1814">
        <f>IF($T1814=1,COUNTIF($T$9:$T1814,1),"")</f>
        <v/>
      </c>
      <c r="V1814">
        <f>IF(AND(ISTEXT($A1814),LEFT($A1815,3)="Pan"),1,"")</f>
        <v/>
      </c>
    </row>
    <row r="1815">
      <c r="S1815">
        <f>IF(AND(ISTEXT($A1815),ISNUMBER(SEARCH(" - ",$A1815)),ISERROR(SEARCH("Folio",$A1815)),$D1815=""),TRIM($A1815),$S1814)</f>
        <v/>
      </c>
      <c r="T1815">
        <f>IF(AND(ISNUMBER(SEARCH("Folio",$A1815)),$D1815&lt;&gt;""),1,"")</f>
        <v/>
      </c>
      <c r="U1815">
        <f>IF($T1815=1,COUNTIF($T$9:$T1815,1),"")</f>
        <v/>
      </c>
      <c r="V1815">
        <f>IF(AND(ISTEXT($A1815),LEFT($A1816,3)="Pan"),1,"")</f>
        <v/>
      </c>
    </row>
    <row r="1816">
      <c r="S1816">
        <f>IF(AND(ISTEXT($A1816),ISNUMBER(SEARCH(" - ",$A1816)),ISERROR(SEARCH("Folio",$A1816)),$D1816=""),TRIM($A1816),$S1815)</f>
        <v/>
      </c>
      <c r="T1816">
        <f>IF(AND(ISNUMBER(SEARCH("Folio",$A1816)),$D1816&lt;&gt;""),1,"")</f>
        <v/>
      </c>
      <c r="U1816">
        <f>IF($T1816=1,COUNTIF($T$9:$T1816,1),"")</f>
        <v/>
      </c>
      <c r="V1816">
        <f>IF(AND(ISTEXT($A1816),LEFT($A1817,3)="Pan"),1,"")</f>
        <v/>
      </c>
    </row>
    <row r="1817">
      <c r="S1817">
        <f>IF(AND(ISTEXT($A1817),ISNUMBER(SEARCH(" - ",$A1817)),ISERROR(SEARCH("Folio",$A1817)),$D1817=""),TRIM($A1817),$S1816)</f>
        <v/>
      </c>
      <c r="T1817">
        <f>IF(AND(ISNUMBER(SEARCH("Folio",$A1817)),$D1817&lt;&gt;""),1,"")</f>
        <v/>
      </c>
      <c r="U1817">
        <f>IF($T1817=1,COUNTIF($T$9:$T1817,1),"")</f>
        <v/>
      </c>
      <c r="V1817">
        <f>IF(AND(ISTEXT($A1817),LEFT($A1818,3)="Pan"),1,"")</f>
        <v/>
      </c>
    </row>
    <row r="1818">
      <c r="S1818">
        <f>IF(AND(ISTEXT($A1818),ISNUMBER(SEARCH(" - ",$A1818)),ISERROR(SEARCH("Folio",$A1818)),$D1818=""),TRIM($A1818),$S1817)</f>
        <v/>
      </c>
      <c r="T1818">
        <f>IF(AND(ISNUMBER(SEARCH("Folio",$A1818)),$D1818&lt;&gt;""),1,"")</f>
        <v/>
      </c>
      <c r="U1818">
        <f>IF($T1818=1,COUNTIF($T$9:$T1818,1),"")</f>
        <v/>
      </c>
      <c r="V1818">
        <f>IF(AND(ISTEXT($A1818),LEFT($A1819,3)="Pan"),1,"")</f>
        <v/>
      </c>
    </row>
    <row r="1819">
      <c r="S1819">
        <f>IF(AND(ISTEXT($A1819),ISNUMBER(SEARCH(" - ",$A1819)),ISERROR(SEARCH("Folio",$A1819)),$D1819=""),TRIM($A1819),$S1818)</f>
        <v/>
      </c>
      <c r="T1819">
        <f>IF(AND(ISNUMBER(SEARCH("Folio",$A1819)),$D1819&lt;&gt;""),1,"")</f>
        <v/>
      </c>
      <c r="U1819">
        <f>IF($T1819=1,COUNTIF($T$9:$T1819,1),"")</f>
        <v/>
      </c>
      <c r="V1819">
        <f>IF(AND(ISTEXT($A1819),LEFT($A1820,3)="Pan"),1,"")</f>
        <v/>
      </c>
    </row>
    <row r="1820">
      <c r="S1820">
        <f>IF(AND(ISTEXT($A1820),ISNUMBER(SEARCH(" - ",$A1820)),ISERROR(SEARCH("Folio",$A1820)),$D1820=""),TRIM($A1820),$S1819)</f>
        <v/>
      </c>
      <c r="T1820">
        <f>IF(AND(ISNUMBER(SEARCH("Folio",$A1820)),$D1820&lt;&gt;""),1,"")</f>
        <v/>
      </c>
      <c r="U1820">
        <f>IF($T1820=1,COUNTIF($T$9:$T1820,1),"")</f>
        <v/>
      </c>
      <c r="V1820">
        <f>IF(AND(ISTEXT($A1820),LEFT($A1821,3)="Pan"),1,"")</f>
        <v/>
      </c>
    </row>
    <row r="1821">
      <c r="S1821">
        <f>IF(AND(ISTEXT($A1821),ISNUMBER(SEARCH(" - ",$A1821)),ISERROR(SEARCH("Folio",$A1821)),$D1821=""),TRIM($A1821),$S1820)</f>
        <v/>
      </c>
      <c r="T1821">
        <f>IF(AND(ISNUMBER(SEARCH("Folio",$A1821)),$D1821&lt;&gt;""),1,"")</f>
        <v/>
      </c>
      <c r="U1821">
        <f>IF($T1821=1,COUNTIF($T$9:$T1821,1),"")</f>
        <v/>
      </c>
      <c r="V1821">
        <f>IF(AND(ISTEXT($A1821),LEFT($A1822,3)="Pan"),1,"")</f>
        <v/>
      </c>
    </row>
    <row r="1822">
      <c r="S1822">
        <f>IF(AND(ISTEXT($A1822),ISNUMBER(SEARCH(" - ",$A1822)),ISERROR(SEARCH("Folio",$A1822)),$D1822=""),TRIM($A1822),$S1821)</f>
        <v/>
      </c>
      <c r="T1822">
        <f>IF(AND(ISNUMBER(SEARCH("Folio",$A1822)),$D1822&lt;&gt;""),1,"")</f>
        <v/>
      </c>
      <c r="U1822">
        <f>IF($T1822=1,COUNTIF($T$9:$T1822,1),"")</f>
        <v/>
      </c>
      <c r="V1822">
        <f>IF(AND(ISTEXT($A1822),LEFT($A1823,3)="Pan"),1,"")</f>
        <v/>
      </c>
    </row>
    <row r="1823">
      <c r="S1823">
        <f>IF(AND(ISTEXT($A1823),ISNUMBER(SEARCH(" - ",$A1823)),ISERROR(SEARCH("Folio",$A1823)),$D1823=""),TRIM($A1823),$S1822)</f>
        <v/>
      </c>
      <c r="T1823">
        <f>IF(AND(ISNUMBER(SEARCH("Folio",$A1823)),$D1823&lt;&gt;""),1,"")</f>
        <v/>
      </c>
      <c r="U1823">
        <f>IF($T1823=1,COUNTIF($T$9:$T1823,1),"")</f>
        <v/>
      </c>
      <c r="V1823">
        <f>IF(AND(ISTEXT($A1823),LEFT($A1824,3)="Pan"),1,"")</f>
        <v/>
      </c>
    </row>
    <row r="1824">
      <c r="S1824">
        <f>IF(AND(ISTEXT($A1824),ISNUMBER(SEARCH(" - ",$A1824)),ISERROR(SEARCH("Folio",$A1824)),$D1824=""),TRIM($A1824),$S1823)</f>
        <v/>
      </c>
      <c r="T1824">
        <f>IF(AND(ISNUMBER(SEARCH("Folio",$A1824)),$D1824&lt;&gt;""),1,"")</f>
        <v/>
      </c>
      <c r="U1824">
        <f>IF($T1824=1,COUNTIF($T$9:$T1824,1),"")</f>
        <v/>
      </c>
      <c r="V1824">
        <f>IF(AND(ISTEXT($A1824),LEFT($A1825,3)="Pan"),1,"")</f>
        <v/>
      </c>
    </row>
    <row r="1825">
      <c r="S1825">
        <f>IF(AND(ISTEXT($A1825),ISNUMBER(SEARCH(" - ",$A1825)),ISERROR(SEARCH("Folio",$A1825)),$D1825=""),TRIM($A1825),$S1824)</f>
        <v/>
      </c>
      <c r="T1825">
        <f>IF(AND(ISNUMBER(SEARCH("Folio",$A1825)),$D1825&lt;&gt;""),1,"")</f>
        <v/>
      </c>
      <c r="U1825">
        <f>IF($T1825=1,COUNTIF($T$9:$T1825,1),"")</f>
        <v/>
      </c>
      <c r="V1825">
        <f>IF(AND(ISTEXT($A1825),LEFT($A1826,3)="Pan"),1,"")</f>
        <v/>
      </c>
    </row>
    <row r="1826">
      <c r="S1826">
        <f>IF(AND(ISTEXT($A1826),ISNUMBER(SEARCH(" - ",$A1826)),ISERROR(SEARCH("Folio",$A1826)),$D1826=""),TRIM($A1826),$S1825)</f>
        <v/>
      </c>
      <c r="T1826">
        <f>IF(AND(ISNUMBER(SEARCH("Folio",$A1826)),$D1826&lt;&gt;""),1,"")</f>
        <v/>
      </c>
      <c r="U1826">
        <f>IF($T1826=1,COUNTIF($T$9:$T1826,1),"")</f>
        <v/>
      </c>
      <c r="V1826">
        <f>IF(AND(ISTEXT($A1826),LEFT($A1827,3)="Pan"),1,"")</f>
        <v/>
      </c>
    </row>
    <row r="1827">
      <c r="S1827">
        <f>IF(AND(ISTEXT($A1827),ISNUMBER(SEARCH(" - ",$A1827)),ISERROR(SEARCH("Folio",$A1827)),$D1827=""),TRIM($A1827),$S1826)</f>
        <v/>
      </c>
      <c r="T1827">
        <f>IF(AND(ISNUMBER(SEARCH("Folio",$A1827)),$D1827&lt;&gt;""),1,"")</f>
        <v/>
      </c>
      <c r="U1827">
        <f>IF($T1827=1,COUNTIF($T$9:$T1827,1),"")</f>
        <v/>
      </c>
      <c r="V1827">
        <f>IF(AND(ISTEXT($A1827),LEFT($A1828,3)="Pan"),1,"")</f>
        <v/>
      </c>
    </row>
    <row r="1828">
      <c r="S1828">
        <f>IF(AND(ISTEXT($A1828),ISNUMBER(SEARCH(" - ",$A1828)),ISERROR(SEARCH("Folio",$A1828)),$D1828=""),TRIM($A1828),$S1827)</f>
        <v/>
      </c>
      <c r="T1828">
        <f>IF(AND(ISNUMBER(SEARCH("Folio",$A1828)),$D1828&lt;&gt;""),1,"")</f>
        <v/>
      </c>
      <c r="U1828">
        <f>IF($T1828=1,COUNTIF($T$9:$T1828,1),"")</f>
        <v/>
      </c>
      <c r="V1828">
        <f>IF(AND(ISTEXT($A1828),LEFT($A1829,3)="Pan"),1,"")</f>
        <v/>
      </c>
    </row>
    <row r="1829">
      <c r="S1829">
        <f>IF(AND(ISTEXT($A1829),ISNUMBER(SEARCH(" - ",$A1829)),ISERROR(SEARCH("Folio",$A1829)),$D1829=""),TRIM($A1829),$S1828)</f>
        <v/>
      </c>
      <c r="T1829">
        <f>IF(AND(ISNUMBER(SEARCH("Folio",$A1829)),$D1829&lt;&gt;""),1,"")</f>
        <v/>
      </c>
      <c r="U1829">
        <f>IF($T1829=1,COUNTIF($T$9:$T1829,1),"")</f>
        <v/>
      </c>
      <c r="V1829">
        <f>IF(AND(ISTEXT($A1829),LEFT($A1830,3)="Pan"),1,"")</f>
        <v/>
      </c>
    </row>
    <row r="1830">
      <c r="S1830">
        <f>IF(AND(ISTEXT($A1830),ISNUMBER(SEARCH(" - ",$A1830)),ISERROR(SEARCH("Folio",$A1830)),$D1830=""),TRIM($A1830),$S1829)</f>
        <v/>
      </c>
      <c r="T1830">
        <f>IF(AND(ISNUMBER(SEARCH("Folio",$A1830)),$D1830&lt;&gt;""),1,"")</f>
        <v/>
      </c>
      <c r="U1830">
        <f>IF($T1830=1,COUNTIF($T$9:$T1830,1),"")</f>
        <v/>
      </c>
      <c r="V1830">
        <f>IF(AND(ISTEXT($A1830),LEFT($A1831,3)="Pan"),1,"")</f>
        <v/>
      </c>
    </row>
    <row r="1831">
      <c r="S1831">
        <f>IF(AND(ISTEXT($A1831),ISNUMBER(SEARCH(" - ",$A1831)),ISERROR(SEARCH("Folio",$A1831)),$D1831=""),TRIM($A1831),$S1830)</f>
        <v/>
      </c>
      <c r="T1831">
        <f>IF(AND(ISNUMBER(SEARCH("Folio",$A1831)),$D1831&lt;&gt;""),1,"")</f>
        <v/>
      </c>
      <c r="U1831">
        <f>IF($T1831=1,COUNTIF($T$9:$T1831,1),"")</f>
        <v/>
      </c>
      <c r="V1831">
        <f>IF(AND(ISTEXT($A1831),LEFT($A1832,3)="Pan"),1,"")</f>
        <v/>
      </c>
    </row>
    <row r="1832">
      <c r="S1832">
        <f>IF(AND(ISTEXT($A1832),ISNUMBER(SEARCH(" - ",$A1832)),ISERROR(SEARCH("Folio",$A1832)),$D1832=""),TRIM($A1832),$S1831)</f>
        <v/>
      </c>
      <c r="T1832">
        <f>IF(AND(ISNUMBER(SEARCH("Folio",$A1832)),$D1832&lt;&gt;""),1,"")</f>
        <v/>
      </c>
      <c r="U1832">
        <f>IF($T1832=1,COUNTIF($T$9:$T1832,1),"")</f>
        <v/>
      </c>
      <c r="V1832">
        <f>IF(AND(ISTEXT($A1832),LEFT($A1833,3)="Pan"),1,"")</f>
        <v/>
      </c>
    </row>
    <row r="1833">
      <c r="S1833">
        <f>IF(AND(ISTEXT($A1833),ISNUMBER(SEARCH(" - ",$A1833)),ISERROR(SEARCH("Folio",$A1833)),$D1833=""),TRIM($A1833),$S1832)</f>
        <v/>
      </c>
      <c r="T1833">
        <f>IF(AND(ISNUMBER(SEARCH("Folio",$A1833)),$D1833&lt;&gt;""),1,"")</f>
        <v/>
      </c>
      <c r="U1833">
        <f>IF($T1833=1,COUNTIF($T$9:$T1833,1),"")</f>
        <v/>
      </c>
      <c r="V1833">
        <f>IF(AND(ISTEXT($A1833),LEFT($A1834,3)="Pan"),1,"")</f>
        <v/>
      </c>
    </row>
    <row r="1834">
      <c r="S1834">
        <f>IF(AND(ISTEXT($A1834),ISNUMBER(SEARCH(" - ",$A1834)),ISERROR(SEARCH("Folio",$A1834)),$D1834=""),TRIM($A1834),$S1833)</f>
        <v/>
      </c>
      <c r="T1834">
        <f>IF(AND(ISNUMBER(SEARCH("Folio",$A1834)),$D1834&lt;&gt;""),1,"")</f>
        <v/>
      </c>
      <c r="U1834">
        <f>IF($T1834=1,COUNTIF($T$9:$T1834,1),"")</f>
        <v/>
      </c>
      <c r="V1834">
        <f>IF(AND(ISTEXT($A1834),LEFT($A1835,3)="Pan"),1,"")</f>
        <v/>
      </c>
    </row>
    <row r="1835">
      <c r="S1835">
        <f>IF(AND(ISTEXT($A1835),ISNUMBER(SEARCH(" - ",$A1835)),ISERROR(SEARCH("Folio",$A1835)),$D1835=""),TRIM($A1835),$S1834)</f>
        <v/>
      </c>
      <c r="T1835">
        <f>IF(AND(ISNUMBER(SEARCH("Folio",$A1835)),$D1835&lt;&gt;""),1,"")</f>
        <v/>
      </c>
      <c r="U1835">
        <f>IF($T1835=1,COUNTIF($T$9:$T1835,1),"")</f>
        <v/>
      </c>
      <c r="V1835">
        <f>IF(AND(ISTEXT($A1835),LEFT($A1836,3)="Pan"),1,"")</f>
        <v/>
      </c>
    </row>
    <row r="1836">
      <c r="S1836">
        <f>IF(AND(ISTEXT($A1836),ISNUMBER(SEARCH(" - ",$A1836)),ISERROR(SEARCH("Folio",$A1836)),$D1836=""),TRIM($A1836),$S1835)</f>
        <v/>
      </c>
      <c r="T1836">
        <f>IF(AND(ISNUMBER(SEARCH("Folio",$A1836)),$D1836&lt;&gt;""),1,"")</f>
        <v/>
      </c>
      <c r="U1836">
        <f>IF($T1836=1,COUNTIF($T$9:$T1836,1),"")</f>
        <v/>
      </c>
      <c r="V1836">
        <f>IF(AND(ISTEXT($A1836),LEFT($A1837,3)="Pan"),1,"")</f>
        <v/>
      </c>
    </row>
    <row r="1837">
      <c r="S1837">
        <f>IF(AND(ISTEXT($A1837),ISNUMBER(SEARCH(" - ",$A1837)),ISERROR(SEARCH("Folio",$A1837)),$D1837=""),TRIM($A1837),$S1836)</f>
        <v/>
      </c>
      <c r="T1837">
        <f>IF(AND(ISNUMBER(SEARCH("Folio",$A1837)),$D1837&lt;&gt;""),1,"")</f>
        <v/>
      </c>
      <c r="U1837">
        <f>IF($T1837=1,COUNTIF($T$9:$T1837,1),"")</f>
        <v/>
      </c>
      <c r="V1837">
        <f>IF(AND(ISTEXT($A1837),LEFT($A1838,3)="Pan"),1,"")</f>
        <v/>
      </c>
    </row>
    <row r="1838">
      <c r="S1838">
        <f>IF(AND(ISTEXT($A1838),ISNUMBER(SEARCH(" - ",$A1838)),ISERROR(SEARCH("Folio",$A1838)),$D1838=""),TRIM($A1838),$S1837)</f>
        <v/>
      </c>
      <c r="T1838">
        <f>IF(AND(ISNUMBER(SEARCH("Folio",$A1838)),$D1838&lt;&gt;""),1,"")</f>
        <v/>
      </c>
      <c r="U1838">
        <f>IF($T1838=1,COUNTIF($T$9:$T1838,1),"")</f>
        <v/>
      </c>
      <c r="V1838">
        <f>IF(AND(ISTEXT($A1838),LEFT($A1839,3)="Pan"),1,"")</f>
        <v/>
      </c>
    </row>
    <row r="1839">
      <c r="S1839">
        <f>IF(AND(ISTEXT($A1839),ISNUMBER(SEARCH(" - ",$A1839)),ISERROR(SEARCH("Folio",$A1839)),$D1839=""),TRIM($A1839),$S1838)</f>
        <v/>
      </c>
      <c r="T1839">
        <f>IF(AND(ISNUMBER(SEARCH("Folio",$A1839)),$D1839&lt;&gt;""),1,"")</f>
        <v/>
      </c>
      <c r="U1839">
        <f>IF($T1839=1,COUNTIF($T$9:$T1839,1),"")</f>
        <v/>
      </c>
      <c r="V1839">
        <f>IF(AND(ISTEXT($A1839),LEFT($A1840,3)="Pan"),1,"")</f>
        <v/>
      </c>
    </row>
    <row r="1840">
      <c r="S1840">
        <f>IF(AND(ISTEXT($A1840),ISNUMBER(SEARCH(" - ",$A1840)),ISERROR(SEARCH("Folio",$A1840)),$D1840=""),TRIM($A1840),$S1839)</f>
        <v/>
      </c>
      <c r="T1840">
        <f>IF(AND(ISNUMBER(SEARCH("Folio",$A1840)),$D1840&lt;&gt;""),1,"")</f>
        <v/>
      </c>
      <c r="U1840">
        <f>IF($T1840=1,COUNTIF($T$9:$T1840,1),"")</f>
        <v/>
      </c>
      <c r="V1840">
        <f>IF(AND(ISTEXT($A1840),LEFT($A1841,3)="Pan"),1,"")</f>
        <v/>
      </c>
    </row>
    <row r="1841">
      <c r="S1841">
        <f>IF(AND(ISTEXT($A1841),ISNUMBER(SEARCH(" - ",$A1841)),ISERROR(SEARCH("Folio",$A1841)),$D1841=""),TRIM($A1841),$S1840)</f>
        <v/>
      </c>
      <c r="T1841">
        <f>IF(AND(ISNUMBER(SEARCH("Folio",$A1841)),$D1841&lt;&gt;""),1,"")</f>
        <v/>
      </c>
      <c r="U1841">
        <f>IF($T1841=1,COUNTIF($T$9:$T1841,1),"")</f>
        <v/>
      </c>
      <c r="V1841">
        <f>IF(AND(ISTEXT($A1841),LEFT($A1842,3)="Pan"),1,"")</f>
        <v/>
      </c>
    </row>
    <row r="1842">
      <c r="S1842">
        <f>IF(AND(ISTEXT($A1842),ISNUMBER(SEARCH(" - ",$A1842)),ISERROR(SEARCH("Folio",$A1842)),$D1842=""),TRIM($A1842),$S1841)</f>
        <v/>
      </c>
      <c r="T1842">
        <f>IF(AND(ISNUMBER(SEARCH("Folio",$A1842)),$D1842&lt;&gt;""),1,"")</f>
        <v/>
      </c>
      <c r="U1842">
        <f>IF($T1842=1,COUNTIF($T$9:$T1842,1),"")</f>
        <v/>
      </c>
      <c r="V1842">
        <f>IF(AND(ISTEXT($A1842),LEFT($A1843,3)="Pan"),1,"")</f>
        <v/>
      </c>
    </row>
    <row r="1843">
      <c r="S1843">
        <f>IF(AND(ISTEXT($A1843),ISNUMBER(SEARCH(" - ",$A1843)),ISERROR(SEARCH("Folio",$A1843)),$D1843=""),TRIM($A1843),$S1842)</f>
        <v/>
      </c>
      <c r="T1843">
        <f>IF(AND(ISNUMBER(SEARCH("Folio",$A1843)),$D1843&lt;&gt;""),1,"")</f>
        <v/>
      </c>
      <c r="U1843">
        <f>IF($T1843=1,COUNTIF($T$9:$T1843,1),"")</f>
        <v/>
      </c>
      <c r="V1843">
        <f>IF(AND(ISTEXT($A1843),LEFT($A1844,3)="Pan"),1,"")</f>
        <v/>
      </c>
    </row>
    <row r="1844">
      <c r="S1844">
        <f>IF(AND(ISTEXT($A1844),ISNUMBER(SEARCH(" - ",$A1844)),ISERROR(SEARCH("Folio",$A1844)),$D1844=""),TRIM($A1844),$S1843)</f>
        <v/>
      </c>
      <c r="T1844">
        <f>IF(AND(ISNUMBER(SEARCH("Folio",$A1844)),$D1844&lt;&gt;""),1,"")</f>
        <v/>
      </c>
      <c r="U1844">
        <f>IF($T1844=1,COUNTIF($T$9:$T1844,1),"")</f>
        <v/>
      </c>
      <c r="V1844">
        <f>IF(AND(ISTEXT($A1844),LEFT($A1845,3)="Pan"),1,"")</f>
        <v/>
      </c>
    </row>
    <row r="1845">
      <c r="S1845">
        <f>IF(AND(ISTEXT($A1845),ISNUMBER(SEARCH(" - ",$A1845)),ISERROR(SEARCH("Folio",$A1845)),$D1845=""),TRIM($A1845),$S1844)</f>
        <v/>
      </c>
      <c r="T1845">
        <f>IF(AND(ISNUMBER(SEARCH("Folio",$A1845)),$D1845&lt;&gt;""),1,"")</f>
        <v/>
      </c>
      <c r="U1845">
        <f>IF($T1845=1,COUNTIF($T$9:$T1845,1),"")</f>
        <v/>
      </c>
      <c r="V1845">
        <f>IF(AND(ISTEXT($A1845),LEFT($A1846,3)="Pan"),1,"")</f>
        <v/>
      </c>
    </row>
    <row r="1846">
      <c r="S1846">
        <f>IF(AND(ISTEXT($A1846),ISNUMBER(SEARCH(" - ",$A1846)),ISERROR(SEARCH("Folio",$A1846)),$D1846=""),TRIM($A1846),$S1845)</f>
        <v/>
      </c>
      <c r="T1846">
        <f>IF(AND(ISNUMBER(SEARCH("Folio",$A1846)),$D1846&lt;&gt;""),1,"")</f>
        <v/>
      </c>
      <c r="U1846">
        <f>IF($T1846=1,COUNTIF($T$9:$T1846,1),"")</f>
        <v/>
      </c>
      <c r="V1846">
        <f>IF(AND(ISTEXT($A1846),LEFT($A1847,3)="Pan"),1,"")</f>
        <v/>
      </c>
    </row>
    <row r="1847">
      <c r="S1847">
        <f>IF(AND(ISTEXT($A1847),ISNUMBER(SEARCH(" - ",$A1847)),ISERROR(SEARCH("Folio",$A1847)),$D1847=""),TRIM($A1847),$S1846)</f>
        <v/>
      </c>
      <c r="T1847">
        <f>IF(AND(ISNUMBER(SEARCH("Folio",$A1847)),$D1847&lt;&gt;""),1,"")</f>
        <v/>
      </c>
      <c r="U1847">
        <f>IF($T1847=1,COUNTIF($T$9:$T1847,1),"")</f>
        <v/>
      </c>
      <c r="V1847">
        <f>IF(AND(ISTEXT($A1847),LEFT($A1848,3)="Pan"),1,"")</f>
        <v/>
      </c>
    </row>
    <row r="1848">
      <c r="S1848">
        <f>IF(AND(ISTEXT($A1848),ISNUMBER(SEARCH(" - ",$A1848)),ISERROR(SEARCH("Folio",$A1848)),$D1848=""),TRIM($A1848),$S1847)</f>
        <v/>
      </c>
      <c r="T1848">
        <f>IF(AND(ISNUMBER(SEARCH("Folio",$A1848)),$D1848&lt;&gt;""),1,"")</f>
        <v/>
      </c>
      <c r="U1848">
        <f>IF($T1848=1,COUNTIF($T$9:$T1848,1),"")</f>
        <v/>
      </c>
      <c r="V1848">
        <f>IF(AND(ISTEXT($A1848),LEFT($A1849,3)="Pan"),1,"")</f>
        <v/>
      </c>
    </row>
    <row r="1849">
      <c r="S1849">
        <f>IF(AND(ISTEXT($A1849),ISNUMBER(SEARCH(" - ",$A1849)),ISERROR(SEARCH("Folio",$A1849)),$D1849=""),TRIM($A1849),$S1848)</f>
        <v/>
      </c>
      <c r="T1849">
        <f>IF(AND(ISNUMBER(SEARCH("Folio",$A1849)),$D1849&lt;&gt;""),1,"")</f>
        <v/>
      </c>
      <c r="U1849">
        <f>IF($T1849=1,COUNTIF($T$9:$T1849,1),"")</f>
        <v/>
      </c>
      <c r="V1849">
        <f>IF(AND(ISTEXT($A1849),LEFT($A1850,3)="Pan"),1,"")</f>
        <v/>
      </c>
    </row>
    <row r="1850">
      <c r="S1850">
        <f>IF(AND(ISTEXT($A1850),ISNUMBER(SEARCH(" - ",$A1850)),ISERROR(SEARCH("Folio",$A1850)),$D1850=""),TRIM($A1850),$S1849)</f>
        <v/>
      </c>
      <c r="T1850">
        <f>IF(AND(ISNUMBER(SEARCH("Folio",$A1850)),$D1850&lt;&gt;""),1,"")</f>
        <v/>
      </c>
      <c r="U1850">
        <f>IF($T1850=1,COUNTIF($T$9:$T1850,1),"")</f>
        <v/>
      </c>
      <c r="V1850">
        <f>IF(AND(ISTEXT($A1850),LEFT($A1851,3)="Pan"),1,"")</f>
        <v/>
      </c>
    </row>
    <row r="1851">
      <c r="S1851">
        <f>IF(AND(ISTEXT($A1851),ISNUMBER(SEARCH(" - ",$A1851)),ISERROR(SEARCH("Folio",$A1851)),$D1851=""),TRIM($A1851),$S1850)</f>
        <v/>
      </c>
      <c r="T1851">
        <f>IF(AND(ISNUMBER(SEARCH("Folio",$A1851)),$D1851&lt;&gt;""),1,"")</f>
        <v/>
      </c>
      <c r="U1851">
        <f>IF($T1851=1,COUNTIF($T$9:$T1851,1),"")</f>
        <v/>
      </c>
      <c r="V1851">
        <f>IF(AND(ISTEXT($A1851),LEFT($A1852,3)="Pan"),1,"")</f>
        <v/>
      </c>
    </row>
    <row r="1852">
      <c r="S1852">
        <f>IF(AND(ISTEXT($A1852),ISNUMBER(SEARCH(" - ",$A1852)),ISERROR(SEARCH("Folio",$A1852)),$D1852=""),TRIM($A1852),$S1851)</f>
        <v/>
      </c>
      <c r="T1852">
        <f>IF(AND(ISNUMBER(SEARCH("Folio",$A1852)),$D1852&lt;&gt;""),1,"")</f>
        <v/>
      </c>
      <c r="U1852">
        <f>IF($T1852=1,COUNTIF($T$9:$T1852,1),"")</f>
        <v/>
      </c>
      <c r="V1852">
        <f>IF(AND(ISTEXT($A1852),LEFT($A1853,3)="Pan"),1,"")</f>
        <v/>
      </c>
    </row>
    <row r="1853">
      <c r="S1853">
        <f>IF(AND(ISTEXT($A1853),ISNUMBER(SEARCH(" - ",$A1853)),ISERROR(SEARCH("Folio",$A1853)),$D1853=""),TRIM($A1853),$S1852)</f>
        <v/>
      </c>
      <c r="T1853">
        <f>IF(AND(ISNUMBER(SEARCH("Folio",$A1853)),$D1853&lt;&gt;""),1,"")</f>
        <v/>
      </c>
      <c r="U1853">
        <f>IF($T1853=1,COUNTIF($T$9:$T1853,1),"")</f>
        <v/>
      </c>
      <c r="V1853">
        <f>IF(AND(ISTEXT($A1853),LEFT($A1854,3)="Pan"),1,"")</f>
        <v/>
      </c>
    </row>
    <row r="1854">
      <c r="S1854">
        <f>IF(AND(ISTEXT($A1854),ISNUMBER(SEARCH(" - ",$A1854)),ISERROR(SEARCH("Folio",$A1854)),$D1854=""),TRIM($A1854),$S1853)</f>
        <v/>
      </c>
      <c r="T1854">
        <f>IF(AND(ISNUMBER(SEARCH("Folio",$A1854)),$D1854&lt;&gt;""),1,"")</f>
        <v/>
      </c>
      <c r="U1854">
        <f>IF($T1854=1,COUNTIF($T$9:$T1854,1),"")</f>
        <v/>
      </c>
      <c r="V1854">
        <f>IF(AND(ISTEXT($A1854),LEFT($A1855,3)="Pan"),1,"")</f>
        <v/>
      </c>
    </row>
    <row r="1855">
      <c r="S1855">
        <f>IF(AND(ISTEXT($A1855),ISNUMBER(SEARCH(" - ",$A1855)),ISERROR(SEARCH("Folio",$A1855)),$D1855=""),TRIM($A1855),$S1854)</f>
        <v/>
      </c>
      <c r="T1855">
        <f>IF(AND(ISNUMBER(SEARCH("Folio",$A1855)),$D1855&lt;&gt;""),1,"")</f>
        <v/>
      </c>
      <c r="U1855">
        <f>IF($T1855=1,COUNTIF($T$9:$T1855,1),"")</f>
        <v/>
      </c>
      <c r="V1855">
        <f>IF(AND(ISTEXT($A1855),LEFT($A1856,3)="Pan"),1,"")</f>
        <v/>
      </c>
    </row>
    <row r="1856">
      <c r="S1856">
        <f>IF(AND(ISTEXT($A1856),ISNUMBER(SEARCH(" - ",$A1856)),ISERROR(SEARCH("Folio",$A1856)),$D1856=""),TRIM($A1856),$S1855)</f>
        <v/>
      </c>
      <c r="T1856">
        <f>IF(AND(ISNUMBER(SEARCH("Folio",$A1856)),$D1856&lt;&gt;""),1,"")</f>
        <v/>
      </c>
      <c r="U1856">
        <f>IF($T1856=1,COUNTIF($T$9:$T1856,1),"")</f>
        <v/>
      </c>
      <c r="V1856">
        <f>IF(AND(ISTEXT($A1856),LEFT($A1857,3)="Pan"),1,"")</f>
        <v/>
      </c>
    </row>
    <row r="1857">
      <c r="S1857">
        <f>IF(AND(ISTEXT($A1857),ISNUMBER(SEARCH(" - ",$A1857)),ISERROR(SEARCH("Folio",$A1857)),$D1857=""),TRIM($A1857),$S1856)</f>
        <v/>
      </c>
      <c r="T1857">
        <f>IF(AND(ISNUMBER(SEARCH("Folio",$A1857)),$D1857&lt;&gt;""),1,"")</f>
        <v/>
      </c>
      <c r="U1857">
        <f>IF($T1857=1,COUNTIF($T$9:$T1857,1),"")</f>
        <v/>
      </c>
      <c r="V1857">
        <f>IF(AND(ISTEXT($A1857),LEFT($A1858,3)="Pan"),1,"")</f>
        <v/>
      </c>
    </row>
    <row r="1858">
      <c r="S1858">
        <f>IF(AND(ISTEXT($A1858),ISNUMBER(SEARCH(" - ",$A1858)),ISERROR(SEARCH("Folio",$A1858)),$D1858=""),TRIM($A1858),$S1857)</f>
        <v/>
      </c>
      <c r="T1858">
        <f>IF(AND(ISNUMBER(SEARCH("Folio",$A1858)),$D1858&lt;&gt;""),1,"")</f>
        <v/>
      </c>
      <c r="U1858">
        <f>IF($T1858=1,COUNTIF($T$9:$T1858,1),"")</f>
        <v/>
      </c>
      <c r="V1858">
        <f>IF(AND(ISTEXT($A1858),LEFT($A1859,3)="Pan"),1,"")</f>
        <v/>
      </c>
    </row>
    <row r="1859">
      <c r="S1859">
        <f>IF(AND(ISTEXT($A1859),ISNUMBER(SEARCH(" - ",$A1859)),ISERROR(SEARCH("Folio",$A1859)),$D1859=""),TRIM($A1859),$S1858)</f>
        <v/>
      </c>
      <c r="T1859">
        <f>IF(AND(ISNUMBER(SEARCH("Folio",$A1859)),$D1859&lt;&gt;""),1,"")</f>
        <v/>
      </c>
      <c r="U1859">
        <f>IF($T1859=1,COUNTIF($T$9:$T1859,1),"")</f>
        <v/>
      </c>
      <c r="V1859">
        <f>IF(AND(ISTEXT($A1859),LEFT($A1860,3)="Pan"),1,"")</f>
        <v/>
      </c>
    </row>
    <row r="1860">
      <c r="S1860">
        <f>IF(AND(ISTEXT($A1860),ISNUMBER(SEARCH(" - ",$A1860)),ISERROR(SEARCH("Folio",$A1860)),$D1860=""),TRIM($A1860),$S1859)</f>
        <v/>
      </c>
      <c r="T1860">
        <f>IF(AND(ISNUMBER(SEARCH("Folio",$A1860)),$D1860&lt;&gt;""),1,"")</f>
        <v/>
      </c>
      <c r="U1860">
        <f>IF($T1860=1,COUNTIF($T$9:$T1860,1),"")</f>
        <v/>
      </c>
      <c r="V1860">
        <f>IF(AND(ISTEXT($A1860),LEFT($A1861,3)="Pan"),1,"")</f>
        <v/>
      </c>
    </row>
    <row r="1861">
      <c r="S1861">
        <f>IF(AND(ISTEXT($A1861),ISNUMBER(SEARCH(" - ",$A1861)),ISERROR(SEARCH("Folio",$A1861)),$D1861=""),TRIM($A1861),$S1860)</f>
        <v/>
      </c>
      <c r="T1861">
        <f>IF(AND(ISNUMBER(SEARCH("Folio",$A1861)),$D1861&lt;&gt;""),1,"")</f>
        <v/>
      </c>
      <c r="U1861">
        <f>IF($T1861=1,COUNTIF($T$9:$T1861,1),"")</f>
        <v/>
      </c>
      <c r="V1861">
        <f>IF(AND(ISTEXT($A1861),LEFT($A1862,3)="Pan"),1,"")</f>
        <v/>
      </c>
    </row>
    <row r="1862">
      <c r="S1862">
        <f>IF(AND(ISTEXT($A1862),ISNUMBER(SEARCH(" - ",$A1862)),ISERROR(SEARCH("Folio",$A1862)),$D1862=""),TRIM($A1862),$S1861)</f>
        <v/>
      </c>
      <c r="T1862">
        <f>IF(AND(ISNUMBER(SEARCH("Folio",$A1862)),$D1862&lt;&gt;""),1,"")</f>
        <v/>
      </c>
      <c r="U1862">
        <f>IF($T1862=1,COUNTIF($T$9:$T1862,1),"")</f>
        <v/>
      </c>
      <c r="V1862">
        <f>IF(AND(ISTEXT($A1862),LEFT($A1863,3)="Pan"),1,"")</f>
        <v/>
      </c>
    </row>
    <row r="1863">
      <c r="S1863">
        <f>IF(AND(ISTEXT($A1863),ISNUMBER(SEARCH(" - ",$A1863)),ISERROR(SEARCH("Folio",$A1863)),$D1863=""),TRIM($A1863),$S1862)</f>
        <v/>
      </c>
      <c r="T1863">
        <f>IF(AND(ISNUMBER(SEARCH("Folio",$A1863)),$D1863&lt;&gt;""),1,"")</f>
        <v/>
      </c>
      <c r="U1863">
        <f>IF($T1863=1,COUNTIF($T$9:$T1863,1),"")</f>
        <v/>
      </c>
      <c r="V1863">
        <f>IF(AND(ISTEXT($A1863),LEFT($A1864,3)="Pan"),1,"")</f>
        <v/>
      </c>
    </row>
    <row r="1864">
      <c r="S1864">
        <f>IF(AND(ISTEXT($A1864),ISNUMBER(SEARCH(" - ",$A1864)),ISERROR(SEARCH("Folio",$A1864)),$D1864=""),TRIM($A1864),$S1863)</f>
        <v/>
      </c>
      <c r="T1864">
        <f>IF(AND(ISNUMBER(SEARCH("Folio",$A1864)),$D1864&lt;&gt;""),1,"")</f>
        <v/>
      </c>
      <c r="U1864">
        <f>IF($T1864=1,COUNTIF($T$9:$T1864,1),"")</f>
        <v/>
      </c>
      <c r="V1864">
        <f>IF(AND(ISTEXT($A1864),LEFT($A1865,3)="Pan"),1,"")</f>
        <v/>
      </c>
    </row>
    <row r="1865">
      <c r="S1865">
        <f>IF(AND(ISTEXT($A1865),ISNUMBER(SEARCH(" - ",$A1865)),ISERROR(SEARCH("Folio",$A1865)),$D1865=""),TRIM($A1865),$S1864)</f>
        <v/>
      </c>
      <c r="T1865">
        <f>IF(AND(ISNUMBER(SEARCH("Folio",$A1865)),$D1865&lt;&gt;""),1,"")</f>
        <v/>
      </c>
      <c r="U1865">
        <f>IF($T1865=1,COUNTIF($T$9:$T1865,1),"")</f>
        <v/>
      </c>
      <c r="V1865">
        <f>IF(AND(ISTEXT($A1865),LEFT($A1866,3)="Pan"),1,"")</f>
        <v/>
      </c>
    </row>
    <row r="1866">
      <c r="S1866">
        <f>IF(AND(ISTEXT($A1866),ISNUMBER(SEARCH(" - ",$A1866)),ISERROR(SEARCH("Folio",$A1866)),$D1866=""),TRIM($A1866),$S1865)</f>
        <v/>
      </c>
      <c r="T1866">
        <f>IF(AND(ISNUMBER(SEARCH("Folio",$A1866)),$D1866&lt;&gt;""),1,"")</f>
        <v/>
      </c>
      <c r="U1866">
        <f>IF($T1866=1,COUNTIF($T$9:$T1866,1),"")</f>
        <v/>
      </c>
      <c r="V1866">
        <f>IF(AND(ISTEXT($A1866),LEFT($A1867,3)="Pan"),1,"")</f>
        <v/>
      </c>
    </row>
    <row r="1867">
      <c r="S1867">
        <f>IF(AND(ISTEXT($A1867),ISNUMBER(SEARCH(" - ",$A1867)),ISERROR(SEARCH("Folio",$A1867)),$D1867=""),TRIM($A1867),$S1866)</f>
        <v/>
      </c>
      <c r="T1867">
        <f>IF(AND(ISNUMBER(SEARCH("Folio",$A1867)),$D1867&lt;&gt;""),1,"")</f>
        <v/>
      </c>
      <c r="U1867">
        <f>IF($T1867=1,COUNTIF($T$9:$T1867,1),"")</f>
        <v/>
      </c>
      <c r="V1867">
        <f>IF(AND(ISTEXT($A1867),LEFT($A1868,3)="Pan"),1,"")</f>
        <v/>
      </c>
    </row>
    <row r="1868">
      <c r="S1868">
        <f>IF(AND(ISTEXT($A1868),ISNUMBER(SEARCH(" - ",$A1868)),ISERROR(SEARCH("Folio",$A1868)),$D1868=""),TRIM($A1868),$S1867)</f>
        <v/>
      </c>
      <c r="T1868">
        <f>IF(AND(ISNUMBER(SEARCH("Folio",$A1868)),$D1868&lt;&gt;""),1,"")</f>
        <v/>
      </c>
      <c r="U1868">
        <f>IF($T1868=1,COUNTIF($T$9:$T1868,1),"")</f>
        <v/>
      </c>
      <c r="V1868">
        <f>IF(AND(ISTEXT($A1868),LEFT($A1869,3)="Pan"),1,"")</f>
        <v/>
      </c>
    </row>
    <row r="1869">
      <c r="S1869">
        <f>IF(AND(ISTEXT($A1869),ISNUMBER(SEARCH(" - ",$A1869)),ISERROR(SEARCH("Folio",$A1869)),$D1869=""),TRIM($A1869),$S1868)</f>
        <v/>
      </c>
      <c r="T1869">
        <f>IF(AND(ISNUMBER(SEARCH("Folio",$A1869)),$D1869&lt;&gt;""),1,"")</f>
        <v/>
      </c>
      <c r="U1869">
        <f>IF($T1869=1,COUNTIF($T$9:$T1869,1),"")</f>
        <v/>
      </c>
      <c r="V1869">
        <f>IF(AND(ISTEXT($A1869),LEFT($A1870,3)="Pan"),1,"")</f>
        <v/>
      </c>
    </row>
    <row r="1870">
      <c r="S1870">
        <f>IF(AND(ISTEXT($A1870),ISNUMBER(SEARCH(" - ",$A1870)),ISERROR(SEARCH("Folio",$A1870)),$D1870=""),TRIM($A1870),$S1869)</f>
        <v/>
      </c>
      <c r="T1870">
        <f>IF(AND(ISNUMBER(SEARCH("Folio",$A1870)),$D1870&lt;&gt;""),1,"")</f>
        <v/>
      </c>
      <c r="U1870">
        <f>IF($T1870=1,COUNTIF($T$9:$T1870,1),"")</f>
        <v/>
      </c>
      <c r="V1870">
        <f>IF(AND(ISTEXT($A1870),LEFT($A1871,3)="Pan"),1,"")</f>
        <v/>
      </c>
    </row>
    <row r="1871">
      <c r="S1871">
        <f>IF(AND(ISTEXT($A1871),ISNUMBER(SEARCH(" - ",$A1871)),ISERROR(SEARCH("Folio",$A1871)),$D1871=""),TRIM($A1871),$S1870)</f>
        <v/>
      </c>
      <c r="T1871">
        <f>IF(AND(ISNUMBER(SEARCH("Folio",$A1871)),$D1871&lt;&gt;""),1,"")</f>
        <v/>
      </c>
      <c r="U1871">
        <f>IF($T1871=1,COUNTIF($T$9:$T1871,1),"")</f>
        <v/>
      </c>
      <c r="V1871">
        <f>IF(AND(ISTEXT($A1871),LEFT($A1872,3)="Pan"),1,"")</f>
        <v/>
      </c>
    </row>
    <row r="1872">
      <c r="S1872">
        <f>IF(AND(ISTEXT($A1872),ISNUMBER(SEARCH(" - ",$A1872)),ISERROR(SEARCH("Folio",$A1872)),$D1872=""),TRIM($A1872),$S1871)</f>
        <v/>
      </c>
      <c r="T1872">
        <f>IF(AND(ISNUMBER(SEARCH("Folio",$A1872)),$D1872&lt;&gt;""),1,"")</f>
        <v/>
      </c>
      <c r="U1872">
        <f>IF($T1872=1,COUNTIF($T$9:$T1872,1),"")</f>
        <v/>
      </c>
      <c r="V1872">
        <f>IF(AND(ISTEXT($A1872),LEFT($A1873,3)="Pan"),1,"")</f>
        <v/>
      </c>
    </row>
    <row r="1873">
      <c r="S1873">
        <f>IF(AND(ISTEXT($A1873),ISNUMBER(SEARCH(" - ",$A1873)),ISERROR(SEARCH("Folio",$A1873)),$D1873=""),TRIM($A1873),$S1872)</f>
        <v/>
      </c>
      <c r="T1873">
        <f>IF(AND(ISNUMBER(SEARCH("Folio",$A1873)),$D1873&lt;&gt;""),1,"")</f>
        <v/>
      </c>
      <c r="U1873">
        <f>IF($T1873=1,COUNTIF($T$9:$T1873,1),"")</f>
        <v/>
      </c>
      <c r="V1873">
        <f>IF(AND(ISTEXT($A1873),LEFT($A1874,3)="Pan"),1,"")</f>
        <v/>
      </c>
    </row>
    <row r="1874">
      <c r="S1874">
        <f>IF(AND(ISTEXT($A1874),ISNUMBER(SEARCH(" - ",$A1874)),ISERROR(SEARCH("Folio",$A1874)),$D1874=""),TRIM($A1874),$S1873)</f>
        <v/>
      </c>
      <c r="T1874">
        <f>IF(AND(ISNUMBER(SEARCH("Folio",$A1874)),$D1874&lt;&gt;""),1,"")</f>
        <v/>
      </c>
      <c r="U1874">
        <f>IF($T1874=1,COUNTIF($T$9:$T1874,1),"")</f>
        <v/>
      </c>
      <c r="V1874">
        <f>IF(AND(ISTEXT($A1874),LEFT($A1875,3)="Pan"),1,"")</f>
        <v/>
      </c>
    </row>
    <row r="1875">
      <c r="S1875">
        <f>IF(AND(ISTEXT($A1875),ISNUMBER(SEARCH(" - ",$A1875)),ISERROR(SEARCH("Folio",$A1875)),$D1875=""),TRIM($A1875),$S1874)</f>
        <v/>
      </c>
      <c r="T1875">
        <f>IF(AND(ISNUMBER(SEARCH("Folio",$A1875)),$D1875&lt;&gt;""),1,"")</f>
        <v/>
      </c>
      <c r="U1875">
        <f>IF($T1875=1,COUNTIF($T$9:$T1875,1),"")</f>
        <v/>
      </c>
      <c r="V1875">
        <f>IF(AND(ISTEXT($A1875),LEFT($A1876,3)="Pan"),1,"")</f>
        <v/>
      </c>
    </row>
    <row r="1876">
      <c r="S1876">
        <f>IF(AND(ISTEXT($A1876),ISNUMBER(SEARCH(" - ",$A1876)),ISERROR(SEARCH("Folio",$A1876)),$D1876=""),TRIM($A1876),$S1875)</f>
        <v/>
      </c>
      <c r="T1876">
        <f>IF(AND(ISNUMBER(SEARCH("Folio",$A1876)),$D1876&lt;&gt;""),1,"")</f>
        <v/>
      </c>
      <c r="U1876">
        <f>IF($T1876=1,COUNTIF($T$9:$T1876,1),"")</f>
        <v/>
      </c>
      <c r="V1876">
        <f>IF(AND(ISTEXT($A1876),LEFT($A1877,3)="Pan"),1,"")</f>
        <v/>
      </c>
    </row>
    <row r="1877">
      <c r="S1877">
        <f>IF(AND(ISTEXT($A1877),ISNUMBER(SEARCH(" - ",$A1877)),ISERROR(SEARCH("Folio",$A1877)),$D1877=""),TRIM($A1877),$S1876)</f>
        <v/>
      </c>
      <c r="T1877">
        <f>IF(AND(ISNUMBER(SEARCH("Folio",$A1877)),$D1877&lt;&gt;""),1,"")</f>
        <v/>
      </c>
      <c r="U1877">
        <f>IF($T1877=1,COUNTIF($T$9:$T1877,1),"")</f>
        <v/>
      </c>
      <c r="V1877">
        <f>IF(AND(ISTEXT($A1877),LEFT($A1878,3)="Pan"),1,"")</f>
        <v/>
      </c>
    </row>
    <row r="1878">
      <c r="S1878">
        <f>IF(AND(ISTEXT($A1878),ISNUMBER(SEARCH(" - ",$A1878)),ISERROR(SEARCH("Folio",$A1878)),$D1878=""),TRIM($A1878),$S1877)</f>
        <v/>
      </c>
      <c r="T1878">
        <f>IF(AND(ISNUMBER(SEARCH("Folio",$A1878)),$D1878&lt;&gt;""),1,"")</f>
        <v/>
      </c>
      <c r="U1878">
        <f>IF($T1878=1,COUNTIF($T$9:$T1878,1),"")</f>
        <v/>
      </c>
      <c r="V1878">
        <f>IF(AND(ISTEXT($A1878),LEFT($A1879,3)="Pan"),1,"")</f>
        <v/>
      </c>
    </row>
    <row r="1879">
      <c r="S1879">
        <f>IF(AND(ISTEXT($A1879),ISNUMBER(SEARCH(" - ",$A1879)),ISERROR(SEARCH("Folio",$A1879)),$D1879=""),TRIM($A1879),$S1878)</f>
        <v/>
      </c>
      <c r="T1879">
        <f>IF(AND(ISNUMBER(SEARCH("Folio",$A1879)),$D1879&lt;&gt;""),1,"")</f>
        <v/>
      </c>
      <c r="U1879">
        <f>IF($T1879=1,COUNTIF($T$9:$T1879,1),"")</f>
        <v/>
      </c>
      <c r="V1879">
        <f>IF(AND(ISTEXT($A1879),LEFT($A1880,3)="Pan"),1,"")</f>
        <v/>
      </c>
    </row>
    <row r="1880">
      <c r="S1880">
        <f>IF(AND(ISTEXT($A1880),ISNUMBER(SEARCH(" - ",$A1880)),ISERROR(SEARCH("Folio",$A1880)),$D1880=""),TRIM($A1880),$S1879)</f>
        <v/>
      </c>
      <c r="T1880">
        <f>IF(AND(ISNUMBER(SEARCH("Folio",$A1880)),$D1880&lt;&gt;""),1,"")</f>
        <v/>
      </c>
      <c r="U1880">
        <f>IF($T1880=1,COUNTIF($T$9:$T1880,1),"")</f>
        <v/>
      </c>
      <c r="V1880">
        <f>IF(AND(ISTEXT($A1880),LEFT($A1881,3)="Pan"),1,"")</f>
        <v/>
      </c>
    </row>
    <row r="1881">
      <c r="S1881">
        <f>IF(AND(ISTEXT($A1881),ISNUMBER(SEARCH(" - ",$A1881)),ISERROR(SEARCH("Folio",$A1881)),$D1881=""),TRIM($A1881),$S1880)</f>
        <v/>
      </c>
      <c r="T1881">
        <f>IF(AND(ISNUMBER(SEARCH("Folio",$A1881)),$D1881&lt;&gt;""),1,"")</f>
        <v/>
      </c>
      <c r="U1881">
        <f>IF($T1881=1,COUNTIF($T$9:$T1881,1),"")</f>
        <v/>
      </c>
      <c r="V1881">
        <f>IF(AND(ISTEXT($A1881),LEFT($A1882,3)="Pan"),1,"")</f>
        <v/>
      </c>
    </row>
    <row r="1882">
      <c r="S1882">
        <f>IF(AND(ISTEXT($A1882),ISNUMBER(SEARCH(" - ",$A1882)),ISERROR(SEARCH("Folio",$A1882)),$D1882=""),TRIM($A1882),$S1881)</f>
        <v/>
      </c>
      <c r="T1882">
        <f>IF(AND(ISNUMBER(SEARCH("Folio",$A1882)),$D1882&lt;&gt;""),1,"")</f>
        <v/>
      </c>
      <c r="U1882">
        <f>IF($T1882=1,COUNTIF($T$9:$T1882,1),"")</f>
        <v/>
      </c>
      <c r="V1882">
        <f>IF(AND(ISTEXT($A1882),LEFT($A1883,3)="Pan"),1,"")</f>
        <v/>
      </c>
    </row>
    <row r="1883">
      <c r="S1883">
        <f>IF(AND(ISTEXT($A1883),ISNUMBER(SEARCH(" - ",$A1883)),ISERROR(SEARCH("Folio",$A1883)),$D1883=""),TRIM($A1883),$S1882)</f>
        <v/>
      </c>
      <c r="T1883">
        <f>IF(AND(ISNUMBER(SEARCH("Folio",$A1883)),$D1883&lt;&gt;""),1,"")</f>
        <v/>
      </c>
      <c r="U1883">
        <f>IF($T1883=1,COUNTIF($T$9:$T1883,1),"")</f>
        <v/>
      </c>
      <c r="V1883">
        <f>IF(AND(ISTEXT($A1883),LEFT($A1884,3)="Pan"),1,"")</f>
        <v/>
      </c>
    </row>
    <row r="1884">
      <c r="S1884">
        <f>IF(AND(ISTEXT($A1884),ISNUMBER(SEARCH(" - ",$A1884)),ISERROR(SEARCH("Folio",$A1884)),$D1884=""),TRIM($A1884),$S1883)</f>
        <v/>
      </c>
      <c r="T1884">
        <f>IF(AND(ISNUMBER(SEARCH("Folio",$A1884)),$D1884&lt;&gt;""),1,"")</f>
        <v/>
      </c>
      <c r="U1884">
        <f>IF($T1884=1,COUNTIF($T$9:$T1884,1),"")</f>
        <v/>
      </c>
      <c r="V1884">
        <f>IF(AND(ISTEXT($A1884),LEFT($A1885,3)="Pan"),1,"")</f>
        <v/>
      </c>
    </row>
    <row r="1885">
      <c r="S1885">
        <f>IF(AND(ISTEXT($A1885),ISNUMBER(SEARCH(" - ",$A1885)),ISERROR(SEARCH("Folio",$A1885)),$D1885=""),TRIM($A1885),$S1884)</f>
        <v/>
      </c>
      <c r="T1885">
        <f>IF(AND(ISNUMBER(SEARCH("Folio",$A1885)),$D1885&lt;&gt;""),1,"")</f>
        <v/>
      </c>
      <c r="U1885">
        <f>IF($T1885=1,COUNTIF($T$9:$T1885,1),"")</f>
        <v/>
      </c>
      <c r="V1885">
        <f>IF(AND(ISTEXT($A1885),LEFT($A1886,3)="Pan"),1,"")</f>
        <v/>
      </c>
    </row>
    <row r="1886">
      <c r="S1886">
        <f>IF(AND(ISTEXT($A1886),ISNUMBER(SEARCH(" - ",$A1886)),ISERROR(SEARCH("Folio",$A1886)),$D1886=""),TRIM($A1886),$S1885)</f>
        <v/>
      </c>
      <c r="T1886">
        <f>IF(AND(ISNUMBER(SEARCH("Folio",$A1886)),$D1886&lt;&gt;""),1,"")</f>
        <v/>
      </c>
      <c r="U1886">
        <f>IF($T1886=1,COUNTIF($T$9:$T1886,1),"")</f>
        <v/>
      </c>
      <c r="V1886">
        <f>IF(AND(ISTEXT($A1886),LEFT($A1887,3)="Pan"),1,"")</f>
        <v/>
      </c>
    </row>
    <row r="1887">
      <c r="S1887">
        <f>IF(AND(ISTEXT($A1887),ISNUMBER(SEARCH(" - ",$A1887)),ISERROR(SEARCH("Folio",$A1887)),$D1887=""),TRIM($A1887),$S1886)</f>
        <v/>
      </c>
      <c r="T1887">
        <f>IF(AND(ISNUMBER(SEARCH("Folio",$A1887)),$D1887&lt;&gt;""),1,"")</f>
        <v/>
      </c>
      <c r="U1887">
        <f>IF($T1887=1,COUNTIF($T$9:$T1887,1),"")</f>
        <v/>
      </c>
      <c r="V1887">
        <f>IF(AND(ISTEXT($A1887),LEFT($A1888,3)="Pan"),1,"")</f>
        <v/>
      </c>
    </row>
    <row r="1888">
      <c r="S1888">
        <f>IF(AND(ISTEXT($A1888),ISNUMBER(SEARCH(" - ",$A1888)),ISERROR(SEARCH("Folio",$A1888)),$D1888=""),TRIM($A1888),$S1887)</f>
        <v/>
      </c>
      <c r="T1888">
        <f>IF(AND(ISNUMBER(SEARCH("Folio",$A1888)),$D1888&lt;&gt;""),1,"")</f>
        <v/>
      </c>
      <c r="U1888">
        <f>IF($T1888=1,COUNTIF($T$9:$T1888,1),"")</f>
        <v/>
      </c>
      <c r="V1888">
        <f>IF(AND(ISTEXT($A1888),LEFT($A1889,3)="Pan"),1,"")</f>
        <v/>
      </c>
    </row>
    <row r="1889">
      <c r="S1889">
        <f>IF(AND(ISTEXT($A1889),ISNUMBER(SEARCH(" - ",$A1889)),ISERROR(SEARCH("Folio",$A1889)),$D1889=""),TRIM($A1889),$S1888)</f>
        <v/>
      </c>
      <c r="T1889">
        <f>IF(AND(ISNUMBER(SEARCH("Folio",$A1889)),$D1889&lt;&gt;""),1,"")</f>
        <v/>
      </c>
      <c r="U1889">
        <f>IF($T1889=1,COUNTIF($T$9:$T1889,1),"")</f>
        <v/>
      </c>
      <c r="V1889">
        <f>IF(AND(ISTEXT($A1889),LEFT($A1890,3)="Pan"),1,"")</f>
        <v/>
      </c>
    </row>
    <row r="1890">
      <c r="S1890">
        <f>IF(AND(ISTEXT($A1890),ISNUMBER(SEARCH(" - ",$A1890)),ISERROR(SEARCH("Folio",$A1890)),$D1890=""),TRIM($A1890),$S1889)</f>
        <v/>
      </c>
      <c r="T1890">
        <f>IF(AND(ISNUMBER(SEARCH("Folio",$A1890)),$D1890&lt;&gt;""),1,"")</f>
        <v/>
      </c>
      <c r="U1890">
        <f>IF($T1890=1,COUNTIF($T$9:$T1890,1),"")</f>
        <v/>
      </c>
      <c r="V1890">
        <f>IF(AND(ISTEXT($A1890),LEFT($A1891,3)="Pan"),1,"")</f>
        <v/>
      </c>
    </row>
    <row r="1891">
      <c r="S1891">
        <f>IF(AND(ISTEXT($A1891),ISNUMBER(SEARCH(" - ",$A1891)),ISERROR(SEARCH("Folio",$A1891)),$D1891=""),TRIM($A1891),$S1890)</f>
        <v/>
      </c>
      <c r="T1891">
        <f>IF(AND(ISNUMBER(SEARCH("Folio",$A1891)),$D1891&lt;&gt;""),1,"")</f>
        <v/>
      </c>
      <c r="U1891">
        <f>IF($T1891=1,COUNTIF($T$9:$T1891,1),"")</f>
        <v/>
      </c>
      <c r="V1891">
        <f>IF(AND(ISTEXT($A1891),LEFT($A1892,3)="Pan"),1,"")</f>
        <v/>
      </c>
    </row>
    <row r="1892">
      <c r="S1892">
        <f>IF(AND(ISTEXT($A1892),ISNUMBER(SEARCH(" - ",$A1892)),ISERROR(SEARCH("Folio",$A1892)),$D1892=""),TRIM($A1892),$S1891)</f>
        <v/>
      </c>
      <c r="T1892">
        <f>IF(AND(ISNUMBER(SEARCH("Folio",$A1892)),$D1892&lt;&gt;""),1,"")</f>
        <v/>
      </c>
      <c r="U1892">
        <f>IF($T1892=1,COUNTIF($T$9:$T1892,1),"")</f>
        <v/>
      </c>
      <c r="V1892">
        <f>IF(AND(ISTEXT($A1892),LEFT($A1893,3)="Pan"),1,"")</f>
        <v/>
      </c>
    </row>
    <row r="1893">
      <c r="S1893">
        <f>IF(AND(ISTEXT($A1893),ISNUMBER(SEARCH(" - ",$A1893)),ISERROR(SEARCH("Folio",$A1893)),$D1893=""),TRIM($A1893),$S1892)</f>
        <v/>
      </c>
      <c r="T1893">
        <f>IF(AND(ISNUMBER(SEARCH("Folio",$A1893)),$D1893&lt;&gt;""),1,"")</f>
        <v/>
      </c>
      <c r="U1893">
        <f>IF($T1893=1,COUNTIF($T$9:$T1893,1),"")</f>
        <v/>
      </c>
      <c r="V1893">
        <f>IF(AND(ISTEXT($A1893),LEFT($A1894,3)="Pan"),1,"")</f>
        <v/>
      </c>
    </row>
    <row r="1894">
      <c r="S1894">
        <f>IF(AND(ISTEXT($A1894),ISNUMBER(SEARCH(" - ",$A1894)),ISERROR(SEARCH("Folio",$A1894)),$D1894=""),TRIM($A1894),$S1893)</f>
        <v/>
      </c>
      <c r="T1894">
        <f>IF(AND(ISNUMBER(SEARCH("Folio",$A1894)),$D1894&lt;&gt;""),1,"")</f>
        <v/>
      </c>
      <c r="U1894">
        <f>IF($T1894=1,COUNTIF($T$9:$T1894,1),"")</f>
        <v/>
      </c>
      <c r="V1894">
        <f>IF(AND(ISTEXT($A1894),LEFT($A1895,3)="Pan"),1,"")</f>
        <v/>
      </c>
    </row>
    <row r="1895">
      <c r="S1895">
        <f>IF(AND(ISTEXT($A1895),ISNUMBER(SEARCH(" - ",$A1895)),ISERROR(SEARCH("Folio",$A1895)),$D1895=""),TRIM($A1895),$S1894)</f>
        <v/>
      </c>
      <c r="T1895">
        <f>IF(AND(ISNUMBER(SEARCH("Folio",$A1895)),$D1895&lt;&gt;""),1,"")</f>
        <v/>
      </c>
      <c r="U1895">
        <f>IF($T1895=1,COUNTIF($T$9:$T1895,1),"")</f>
        <v/>
      </c>
      <c r="V1895">
        <f>IF(AND(ISTEXT($A1895),LEFT($A1896,3)="Pan"),1,"")</f>
        <v/>
      </c>
    </row>
    <row r="1896">
      <c r="S1896">
        <f>IF(AND(ISTEXT($A1896),ISNUMBER(SEARCH(" - ",$A1896)),ISERROR(SEARCH("Folio",$A1896)),$D1896=""),TRIM($A1896),$S1895)</f>
        <v/>
      </c>
      <c r="T1896">
        <f>IF(AND(ISNUMBER(SEARCH("Folio",$A1896)),$D1896&lt;&gt;""),1,"")</f>
        <v/>
      </c>
      <c r="U1896">
        <f>IF($T1896=1,COUNTIF($T$9:$T1896,1),"")</f>
        <v/>
      </c>
      <c r="V1896">
        <f>IF(AND(ISTEXT($A1896),LEFT($A1897,3)="Pan"),1,"")</f>
        <v/>
      </c>
    </row>
    <row r="1897">
      <c r="S1897">
        <f>IF(AND(ISTEXT($A1897),ISNUMBER(SEARCH(" - ",$A1897)),ISERROR(SEARCH("Folio",$A1897)),$D1897=""),TRIM($A1897),$S1896)</f>
        <v/>
      </c>
      <c r="T1897">
        <f>IF(AND(ISNUMBER(SEARCH("Folio",$A1897)),$D1897&lt;&gt;""),1,"")</f>
        <v/>
      </c>
      <c r="U1897">
        <f>IF($T1897=1,COUNTIF($T$9:$T1897,1),"")</f>
        <v/>
      </c>
      <c r="V1897">
        <f>IF(AND(ISTEXT($A1897),LEFT($A1898,3)="Pan"),1,"")</f>
        <v/>
      </c>
    </row>
    <row r="1898">
      <c r="S1898">
        <f>IF(AND(ISTEXT($A1898),ISNUMBER(SEARCH(" - ",$A1898)),ISERROR(SEARCH("Folio",$A1898)),$D1898=""),TRIM($A1898),$S1897)</f>
        <v/>
      </c>
      <c r="T1898">
        <f>IF(AND(ISNUMBER(SEARCH("Folio",$A1898)),$D1898&lt;&gt;""),1,"")</f>
        <v/>
      </c>
      <c r="U1898">
        <f>IF($T1898=1,COUNTIF($T$9:$T1898,1),"")</f>
        <v/>
      </c>
      <c r="V1898">
        <f>IF(AND(ISTEXT($A1898),LEFT($A1899,3)="Pan"),1,"")</f>
        <v/>
      </c>
    </row>
    <row r="1899">
      <c r="S1899">
        <f>IF(AND(ISTEXT($A1899),ISNUMBER(SEARCH(" - ",$A1899)),ISERROR(SEARCH("Folio",$A1899)),$D1899=""),TRIM($A1899),$S1898)</f>
        <v/>
      </c>
      <c r="T1899">
        <f>IF(AND(ISNUMBER(SEARCH("Folio",$A1899)),$D1899&lt;&gt;""),1,"")</f>
        <v/>
      </c>
      <c r="U1899">
        <f>IF($T1899=1,COUNTIF($T$9:$T1899,1),"")</f>
        <v/>
      </c>
      <c r="V1899">
        <f>IF(AND(ISTEXT($A1899),LEFT($A1900,3)="Pan"),1,"")</f>
        <v/>
      </c>
    </row>
    <row r="1900">
      <c r="S1900">
        <f>IF(AND(ISTEXT($A1900),ISNUMBER(SEARCH(" - ",$A1900)),ISERROR(SEARCH("Folio",$A1900)),$D1900=""),TRIM($A1900),$S1899)</f>
        <v/>
      </c>
      <c r="T1900">
        <f>IF(AND(ISNUMBER(SEARCH("Folio",$A1900)),$D1900&lt;&gt;""),1,"")</f>
        <v/>
      </c>
      <c r="U1900">
        <f>IF($T1900=1,COUNTIF($T$9:$T1900,1),"")</f>
        <v/>
      </c>
      <c r="V1900">
        <f>IF(AND(ISTEXT($A1900),LEFT($A1901,3)="Pan"),1,"")</f>
        <v/>
      </c>
    </row>
    <row r="1901">
      <c r="S1901">
        <f>IF(AND(ISTEXT($A1901),ISNUMBER(SEARCH(" - ",$A1901)),ISERROR(SEARCH("Folio",$A1901)),$D1901=""),TRIM($A1901),$S1900)</f>
        <v/>
      </c>
      <c r="T1901">
        <f>IF(AND(ISNUMBER(SEARCH("Folio",$A1901)),$D1901&lt;&gt;""),1,"")</f>
        <v/>
      </c>
      <c r="U1901">
        <f>IF($T1901=1,COUNTIF($T$9:$T1901,1),"")</f>
        <v/>
      </c>
      <c r="V1901">
        <f>IF(AND(ISTEXT($A1901),LEFT($A1902,3)="Pan"),1,"")</f>
        <v/>
      </c>
    </row>
    <row r="1902">
      <c r="S1902">
        <f>IF(AND(ISTEXT($A1902),ISNUMBER(SEARCH(" - ",$A1902)),ISERROR(SEARCH("Folio",$A1902)),$D1902=""),TRIM($A1902),$S1901)</f>
        <v/>
      </c>
      <c r="T1902">
        <f>IF(AND(ISNUMBER(SEARCH("Folio",$A1902)),$D1902&lt;&gt;""),1,"")</f>
        <v/>
      </c>
      <c r="U1902">
        <f>IF($T1902=1,COUNTIF($T$9:$T1902,1),"")</f>
        <v/>
      </c>
      <c r="V1902">
        <f>IF(AND(ISTEXT($A1902),LEFT($A1903,3)="Pan"),1,"")</f>
        <v/>
      </c>
    </row>
    <row r="1903">
      <c r="S1903">
        <f>IF(AND(ISTEXT($A1903),ISNUMBER(SEARCH(" - ",$A1903)),ISERROR(SEARCH("Folio",$A1903)),$D1903=""),TRIM($A1903),$S1902)</f>
        <v/>
      </c>
      <c r="T1903">
        <f>IF(AND(ISNUMBER(SEARCH("Folio",$A1903)),$D1903&lt;&gt;""),1,"")</f>
        <v/>
      </c>
      <c r="U1903">
        <f>IF($T1903=1,COUNTIF($T$9:$T1903,1),"")</f>
        <v/>
      </c>
      <c r="V1903">
        <f>IF(AND(ISTEXT($A1903),LEFT($A1904,3)="Pan"),1,"")</f>
        <v/>
      </c>
    </row>
    <row r="1904">
      <c r="S1904">
        <f>IF(AND(ISTEXT($A1904),ISNUMBER(SEARCH(" - ",$A1904)),ISERROR(SEARCH("Folio",$A1904)),$D1904=""),TRIM($A1904),$S1903)</f>
        <v/>
      </c>
      <c r="T1904">
        <f>IF(AND(ISNUMBER(SEARCH("Folio",$A1904)),$D1904&lt;&gt;""),1,"")</f>
        <v/>
      </c>
      <c r="U1904">
        <f>IF($T1904=1,COUNTIF($T$9:$T1904,1),"")</f>
        <v/>
      </c>
      <c r="V1904">
        <f>IF(AND(ISTEXT($A1904),LEFT($A1905,3)="Pan"),1,"")</f>
        <v/>
      </c>
    </row>
    <row r="1905">
      <c r="S1905">
        <f>IF(AND(ISTEXT($A1905),ISNUMBER(SEARCH(" - ",$A1905)),ISERROR(SEARCH("Folio",$A1905)),$D1905=""),TRIM($A1905),$S1904)</f>
        <v/>
      </c>
      <c r="T1905">
        <f>IF(AND(ISNUMBER(SEARCH("Folio",$A1905)),$D1905&lt;&gt;""),1,"")</f>
        <v/>
      </c>
      <c r="U1905">
        <f>IF($T1905=1,COUNTIF($T$9:$T1905,1),"")</f>
        <v/>
      </c>
      <c r="V1905">
        <f>IF(AND(ISTEXT($A1905),LEFT($A1906,3)="Pan"),1,"")</f>
        <v/>
      </c>
    </row>
    <row r="1906">
      <c r="S1906">
        <f>IF(AND(ISTEXT($A1906),ISNUMBER(SEARCH(" - ",$A1906)),ISERROR(SEARCH("Folio",$A1906)),$D1906=""),TRIM($A1906),$S1905)</f>
        <v/>
      </c>
      <c r="T1906">
        <f>IF(AND(ISNUMBER(SEARCH("Folio",$A1906)),$D1906&lt;&gt;""),1,"")</f>
        <v/>
      </c>
      <c r="U1906">
        <f>IF($T1906=1,COUNTIF($T$9:$T1906,1),"")</f>
        <v/>
      </c>
      <c r="V1906">
        <f>IF(AND(ISTEXT($A1906),LEFT($A1907,3)="Pan"),1,"")</f>
        <v/>
      </c>
    </row>
    <row r="1907">
      <c r="S1907">
        <f>IF(AND(ISTEXT($A1907),ISNUMBER(SEARCH(" - ",$A1907)),ISERROR(SEARCH("Folio",$A1907)),$D1907=""),TRIM($A1907),$S1906)</f>
        <v/>
      </c>
      <c r="T1907">
        <f>IF(AND(ISNUMBER(SEARCH("Folio",$A1907)),$D1907&lt;&gt;""),1,"")</f>
        <v/>
      </c>
      <c r="U1907">
        <f>IF($T1907=1,COUNTIF($T$9:$T1907,1),"")</f>
        <v/>
      </c>
      <c r="V1907">
        <f>IF(AND(ISTEXT($A1907),LEFT($A1908,3)="Pan"),1,"")</f>
        <v/>
      </c>
    </row>
    <row r="1908">
      <c r="S1908">
        <f>IF(AND(ISTEXT($A1908),ISNUMBER(SEARCH(" - ",$A1908)),ISERROR(SEARCH("Folio",$A1908)),$D1908=""),TRIM($A1908),$S1907)</f>
        <v/>
      </c>
      <c r="T1908">
        <f>IF(AND(ISNUMBER(SEARCH("Folio",$A1908)),$D1908&lt;&gt;""),1,"")</f>
        <v/>
      </c>
      <c r="U1908">
        <f>IF($T1908=1,COUNTIF($T$9:$T1908,1),"")</f>
        <v/>
      </c>
      <c r="V1908">
        <f>IF(AND(ISTEXT($A1908),LEFT($A1909,3)="Pan"),1,"")</f>
        <v/>
      </c>
    </row>
    <row r="1909">
      <c r="S1909">
        <f>IF(AND(ISTEXT($A1909),ISNUMBER(SEARCH(" - ",$A1909)),ISERROR(SEARCH("Folio",$A1909)),$D1909=""),TRIM($A1909),$S1908)</f>
        <v/>
      </c>
      <c r="T1909">
        <f>IF(AND(ISNUMBER(SEARCH("Folio",$A1909)),$D1909&lt;&gt;""),1,"")</f>
        <v/>
      </c>
      <c r="U1909">
        <f>IF($T1909=1,COUNTIF($T$9:$T1909,1),"")</f>
        <v/>
      </c>
      <c r="V1909">
        <f>IF(AND(ISTEXT($A1909),LEFT($A1910,3)="Pan"),1,"")</f>
        <v/>
      </c>
    </row>
    <row r="1910">
      <c r="S1910">
        <f>IF(AND(ISTEXT($A1910),ISNUMBER(SEARCH(" - ",$A1910)),ISERROR(SEARCH("Folio",$A1910)),$D1910=""),TRIM($A1910),$S1909)</f>
        <v/>
      </c>
      <c r="T1910">
        <f>IF(AND(ISNUMBER(SEARCH("Folio",$A1910)),$D1910&lt;&gt;""),1,"")</f>
        <v/>
      </c>
      <c r="U1910">
        <f>IF($T1910=1,COUNTIF($T$9:$T1910,1),"")</f>
        <v/>
      </c>
      <c r="V1910">
        <f>IF(AND(ISTEXT($A1910),LEFT($A1911,3)="Pan"),1,"")</f>
        <v/>
      </c>
    </row>
    <row r="1911">
      <c r="S1911">
        <f>IF(AND(ISTEXT($A1911),ISNUMBER(SEARCH(" - ",$A1911)),ISERROR(SEARCH("Folio",$A1911)),$D1911=""),TRIM($A1911),$S1910)</f>
        <v/>
      </c>
      <c r="T1911">
        <f>IF(AND(ISNUMBER(SEARCH("Folio",$A1911)),$D1911&lt;&gt;""),1,"")</f>
        <v/>
      </c>
      <c r="U1911">
        <f>IF($T1911=1,COUNTIF($T$9:$T1911,1),"")</f>
        <v/>
      </c>
      <c r="V1911">
        <f>IF(AND(ISTEXT($A1911),LEFT($A1912,3)="Pan"),1,"")</f>
        <v/>
      </c>
    </row>
    <row r="1912">
      <c r="S1912">
        <f>IF(AND(ISTEXT($A1912),ISNUMBER(SEARCH(" - ",$A1912)),ISERROR(SEARCH("Folio",$A1912)),$D1912=""),TRIM($A1912),$S1911)</f>
        <v/>
      </c>
      <c r="T1912">
        <f>IF(AND(ISNUMBER(SEARCH("Folio",$A1912)),$D1912&lt;&gt;""),1,"")</f>
        <v/>
      </c>
      <c r="U1912">
        <f>IF($T1912=1,COUNTIF($T$9:$T1912,1),"")</f>
        <v/>
      </c>
      <c r="V1912">
        <f>IF(AND(ISTEXT($A1912),LEFT($A1913,3)="Pan"),1,"")</f>
        <v/>
      </c>
    </row>
    <row r="1913">
      <c r="S1913">
        <f>IF(AND(ISTEXT($A1913),ISNUMBER(SEARCH(" - ",$A1913)),ISERROR(SEARCH("Folio",$A1913)),$D1913=""),TRIM($A1913),$S1912)</f>
        <v/>
      </c>
      <c r="T1913">
        <f>IF(AND(ISNUMBER(SEARCH("Folio",$A1913)),$D1913&lt;&gt;""),1,"")</f>
        <v/>
      </c>
      <c r="U1913">
        <f>IF($T1913=1,COUNTIF($T$9:$T1913,1),"")</f>
        <v/>
      </c>
      <c r="V1913">
        <f>IF(AND(ISTEXT($A1913),LEFT($A1914,3)="Pan"),1,"")</f>
        <v/>
      </c>
    </row>
    <row r="1914">
      <c r="S1914">
        <f>IF(AND(ISTEXT($A1914),ISNUMBER(SEARCH(" - ",$A1914)),ISERROR(SEARCH("Folio",$A1914)),$D1914=""),TRIM($A1914),$S1913)</f>
        <v/>
      </c>
      <c r="T1914">
        <f>IF(AND(ISNUMBER(SEARCH("Folio",$A1914)),$D1914&lt;&gt;""),1,"")</f>
        <v/>
      </c>
      <c r="U1914">
        <f>IF($T1914=1,COUNTIF($T$9:$T1914,1),"")</f>
        <v/>
      </c>
      <c r="V1914">
        <f>IF(AND(ISTEXT($A1914),LEFT($A1915,3)="Pan"),1,"")</f>
        <v/>
      </c>
    </row>
    <row r="1915">
      <c r="S1915">
        <f>IF(AND(ISTEXT($A1915),ISNUMBER(SEARCH(" - ",$A1915)),ISERROR(SEARCH("Folio",$A1915)),$D1915=""),TRIM($A1915),$S1914)</f>
        <v/>
      </c>
      <c r="T1915">
        <f>IF(AND(ISNUMBER(SEARCH("Folio",$A1915)),$D1915&lt;&gt;""),1,"")</f>
        <v/>
      </c>
      <c r="U1915">
        <f>IF($T1915=1,COUNTIF($T$9:$T1915,1),"")</f>
        <v/>
      </c>
      <c r="V1915">
        <f>IF(AND(ISTEXT($A1915),LEFT($A1916,3)="Pan"),1,"")</f>
        <v/>
      </c>
    </row>
    <row r="1916">
      <c r="S1916">
        <f>IF(AND(ISTEXT($A1916),ISNUMBER(SEARCH(" - ",$A1916)),ISERROR(SEARCH("Folio",$A1916)),$D1916=""),TRIM($A1916),$S1915)</f>
        <v/>
      </c>
      <c r="T1916">
        <f>IF(AND(ISNUMBER(SEARCH("Folio",$A1916)),$D1916&lt;&gt;""),1,"")</f>
        <v/>
      </c>
      <c r="U1916">
        <f>IF($T1916=1,COUNTIF($T$9:$T1916,1),"")</f>
        <v/>
      </c>
      <c r="V1916">
        <f>IF(AND(ISTEXT($A1916),LEFT($A1917,3)="Pan"),1,"")</f>
        <v/>
      </c>
    </row>
    <row r="1917">
      <c r="S1917">
        <f>IF(AND(ISTEXT($A1917),ISNUMBER(SEARCH(" - ",$A1917)),ISERROR(SEARCH("Folio",$A1917)),$D1917=""),TRIM($A1917),$S1916)</f>
        <v/>
      </c>
      <c r="T1917">
        <f>IF(AND(ISNUMBER(SEARCH("Folio",$A1917)),$D1917&lt;&gt;""),1,"")</f>
        <v/>
      </c>
      <c r="U1917">
        <f>IF($T1917=1,COUNTIF($T$9:$T1917,1),"")</f>
        <v/>
      </c>
      <c r="V1917">
        <f>IF(AND(ISTEXT($A1917),LEFT($A1918,3)="Pan"),1,"")</f>
        <v/>
      </c>
    </row>
    <row r="1918">
      <c r="S1918">
        <f>IF(AND(ISTEXT($A1918),ISNUMBER(SEARCH(" - ",$A1918)),ISERROR(SEARCH("Folio",$A1918)),$D1918=""),TRIM($A1918),$S1917)</f>
        <v/>
      </c>
      <c r="T1918">
        <f>IF(AND(ISNUMBER(SEARCH("Folio",$A1918)),$D1918&lt;&gt;""),1,"")</f>
        <v/>
      </c>
      <c r="U1918">
        <f>IF($T1918=1,COUNTIF($T$9:$T1918,1),"")</f>
        <v/>
      </c>
      <c r="V1918">
        <f>IF(AND(ISTEXT($A1918),LEFT($A1919,3)="Pan"),1,"")</f>
        <v/>
      </c>
    </row>
    <row r="1919">
      <c r="S1919">
        <f>IF(AND(ISTEXT($A1919),ISNUMBER(SEARCH(" - ",$A1919)),ISERROR(SEARCH("Folio",$A1919)),$D1919=""),TRIM($A1919),$S1918)</f>
        <v/>
      </c>
      <c r="T1919">
        <f>IF(AND(ISNUMBER(SEARCH("Folio",$A1919)),$D1919&lt;&gt;""),1,"")</f>
        <v/>
      </c>
      <c r="U1919">
        <f>IF($T1919=1,COUNTIF($T$9:$T1919,1),"")</f>
        <v/>
      </c>
      <c r="V1919">
        <f>IF(AND(ISTEXT($A1919),LEFT($A1920,3)="Pan"),1,"")</f>
        <v/>
      </c>
    </row>
    <row r="1920">
      <c r="S1920">
        <f>IF(AND(ISTEXT($A1920),ISNUMBER(SEARCH(" - ",$A1920)),ISERROR(SEARCH("Folio",$A1920)),$D1920=""),TRIM($A1920),$S1919)</f>
        <v/>
      </c>
      <c r="T1920">
        <f>IF(AND(ISNUMBER(SEARCH("Folio",$A1920)),$D1920&lt;&gt;""),1,"")</f>
        <v/>
      </c>
      <c r="U1920">
        <f>IF($T1920=1,COUNTIF($T$9:$T1920,1),"")</f>
        <v/>
      </c>
      <c r="V1920">
        <f>IF(AND(ISTEXT($A1920),LEFT($A1921,3)="Pan"),1,"")</f>
        <v/>
      </c>
    </row>
    <row r="1921">
      <c r="S1921">
        <f>IF(AND(ISTEXT($A1921),ISNUMBER(SEARCH(" - ",$A1921)),ISERROR(SEARCH("Folio",$A1921)),$D1921=""),TRIM($A1921),$S1920)</f>
        <v/>
      </c>
      <c r="T1921">
        <f>IF(AND(ISNUMBER(SEARCH("Folio",$A1921)),$D1921&lt;&gt;""),1,"")</f>
        <v/>
      </c>
      <c r="U1921">
        <f>IF($T1921=1,COUNTIF($T$9:$T1921,1),"")</f>
        <v/>
      </c>
      <c r="V1921">
        <f>IF(AND(ISTEXT($A1921),LEFT($A1922,3)="Pan"),1,"")</f>
        <v/>
      </c>
    </row>
    <row r="1922">
      <c r="S1922">
        <f>IF(AND(ISTEXT($A1922),ISNUMBER(SEARCH(" - ",$A1922)),ISERROR(SEARCH("Folio",$A1922)),$D1922=""),TRIM($A1922),$S1921)</f>
        <v/>
      </c>
      <c r="T1922">
        <f>IF(AND(ISNUMBER(SEARCH("Folio",$A1922)),$D1922&lt;&gt;""),1,"")</f>
        <v/>
      </c>
      <c r="U1922">
        <f>IF($T1922=1,COUNTIF($T$9:$T1922,1),"")</f>
        <v/>
      </c>
      <c r="V1922">
        <f>IF(AND(ISTEXT($A1922),LEFT($A1923,3)="Pan"),1,"")</f>
        <v/>
      </c>
    </row>
    <row r="1923">
      <c r="S1923">
        <f>IF(AND(ISTEXT($A1923),ISNUMBER(SEARCH(" - ",$A1923)),ISERROR(SEARCH("Folio",$A1923)),$D1923=""),TRIM($A1923),$S1922)</f>
        <v/>
      </c>
      <c r="T1923">
        <f>IF(AND(ISNUMBER(SEARCH("Folio",$A1923)),$D1923&lt;&gt;""),1,"")</f>
        <v/>
      </c>
      <c r="U1923">
        <f>IF($T1923=1,COUNTIF($T$9:$T1923,1),"")</f>
        <v/>
      </c>
      <c r="V1923">
        <f>IF(AND(ISTEXT($A1923),LEFT($A1924,3)="Pan"),1,"")</f>
        <v/>
      </c>
    </row>
    <row r="1924">
      <c r="S1924">
        <f>IF(AND(ISTEXT($A1924),ISNUMBER(SEARCH(" - ",$A1924)),ISERROR(SEARCH("Folio",$A1924)),$D1924=""),TRIM($A1924),$S1923)</f>
        <v/>
      </c>
      <c r="T1924">
        <f>IF(AND(ISNUMBER(SEARCH("Folio",$A1924)),$D1924&lt;&gt;""),1,"")</f>
        <v/>
      </c>
      <c r="U1924">
        <f>IF($T1924=1,COUNTIF($T$9:$T1924,1),"")</f>
        <v/>
      </c>
      <c r="V1924">
        <f>IF(AND(ISTEXT($A1924),LEFT($A1925,3)="Pan"),1,"")</f>
        <v/>
      </c>
    </row>
    <row r="1925">
      <c r="S1925">
        <f>IF(AND(ISTEXT($A1925),ISNUMBER(SEARCH(" - ",$A1925)),ISERROR(SEARCH("Folio",$A1925)),$D1925=""),TRIM($A1925),$S1924)</f>
        <v/>
      </c>
      <c r="T1925">
        <f>IF(AND(ISNUMBER(SEARCH("Folio",$A1925)),$D1925&lt;&gt;""),1,"")</f>
        <v/>
      </c>
      <c r="U1925">
        <f>IF($T1925=1,COUNTIF($T$9:$T1925,1),"")</f>
        <v/>
      </c>
      <c r="V1925">
        <f>IF(AND(ISTEXT($A1925),LEFT($A1926,3)="Pan"),1,"")</f>
        <v/>
      </c>
    </row>
    <row r="1926">
      <c r="S1926">
        <f>IF(AND(ISTEXT($A1926),ISNUMBER(SEARCH(" - ",$A1926)),ISERROR(SEARCH("Folio",$A1926)),$D1926=""),TRIM($A1926),$S1925)</f>
        <v/>
      </c>
      <c r="T1926">
        <f>IF(AND(ISNUMBER(SEARCH("Folio",$A1926)),$D1926&lt;&gt;""),1,"")</f>
        <v/>
      </c>
      <c r="U1926">
        <f>IF($T1926=1,COUNTIF($T$9:$T1926,1),"")</f>
        <v/>
      </c>
      <c r="V1926">
        <f>IF(AND(ISTEXT($A1926),LEFT($A1927,3)="Pan"),1,"")</f>
        <v/>
      </c>
    </row>
    <row r="1927">
      <c r="S1927">
        <f>IF(AND(ISTEXT($A1927),ISNUMBER(SEARCH(" - ",$A1927)),ISERROR(SEARCH("Folio",$A1927)),$D1927=""),TRIM($A1927),$S1926)</f>
        <v/>
      </c>
      <c r="T1927">
        <f>IF(AND(ISNUMBER(SEARCH("Folio",$A1927)),$D1927&lt;&gt;""),1,"")</f>
        <v/>
      </c>
      <c r="U1927">
        <f>IF($T1927=1,COUNTIF($T$9:$T1927,1),"")</f>
        <v/>
      </c>
      <c r="V1927">
        <f>IF(AND(ISTEXT($A1927),LEFT($A1928,3)="Pan"),1,"")</f>
        <v/>
      </c>
    </row>
    <row r="1928">
      <c r="S1928">
        <f>IF(AND(ISTEXT($A1928),ISNUMBER(SEARCH(" - ",$A1928)),ISERROR(SEARCH("Folio",$A1928)),$D1928=""),TRIM($A1928),$S1927)</f>
        <v/>
      </c>
      <c r="T1928">
        <f>IF(AND(ISNUMBER(SEARCH("Folio",$A1928)),$D1928&lt;&gt;""),1,"")</f>
        <v/>
      </c>
      <c r="U1928">
        <f>IF($T1928=1,COUNTIF($T$9:$T1928,1),"")</f>
        <v/>
      </c>
      <c r="V1928">
        <f>IF(AND(ISTEXT($A1928),LEFT($A1929,3)="Pan"),1,"")</f>
        <v/>
      </c>
    </row>
    <row r="1929">
      <c r="S1929">
        <f>IF(AND(ISTEXT($A1929),ISNUMBER(SEARCH(" - ",$A1929)),ISERROR(SEARCH("Folio",$A1929)),$D1929=""),TRIM($A1929),$S1928)</f>
        <v/>
      </c>
      <c r="T1929">
        <f>IF(AND(ISNUMBER(SEARCH("Folio",$A1929)),$D1929&lt;&gt;""),1,"")</f>
        <v/>
      </c>
      <c r="U1929">
        <f>IF($T1929=1,COUNTIF($T$9:$T1929,1),"")</f>
        <v/>
      </c>
      <c r="V1929">
        <f>IF(AND(ISTEXT($A1929),LEFT($A1930,3)="Pan"),1,"")</f>
        <v/>
      </c>
    </row>
    <row r="1930">
      <c r="S1930">
        <f>IF(AND(ISTEXT($A1930),ISNUMBER(SEARCH(" - ",$A1930)),ISERROR(SEARCH("Folio",$A1930)),$D1930=""),TRIM($A1930),$S1929)</f>
        <v/>
      </c>
      <c r="T1930">
        <f>IF(AND(ISNUMBER(SEARCH("Folio",$A1930)),$D1930&lt;&gt;""),1,"")</f>
        <v/>
      </c>
      <c r="U1930">
        <f>IF($T1930=1,COUNTIF($T$9:$T1930,1),"")</f>
        <v/>
      </c>
      <c r="V1930">
        <f>IF(AND(ISTEXT($A1930),LEFT($A1931,3)="Pan"),1,"")</f>
        <v/>
      </c>
    </row>
    <row r="1931">
      <c r="S1931">
        <f>IF(AND(ISTEXT($A1931),ISNUMBER(SEARCH(" - ",$A1931)),ISERROR(SEARCH("Folio",$A1931)),$D1931=""),TRIM($A1931),$S1930)</f>
        <v/>
      </c>
      <c r="T1931">
        <f>IF(AND(ISNUMBER(SEARCH("Folio",$A1931)),$D1931&lt;&gt;""),1,"")</f>
        <v/>
      </c>
      <c r="U1931">
        <f>IF($T1931=1,COUNTIF($T$9:$T1931,1),"")</f>
        <v/>
      </c>
      <c r="V1931">
        <f>IF(AND(ISTEXT($A1931),LEFT($A1932,3)="Pan"),1,"")</f>
        <v/>
      </c>
    </row>
    <row r="1932">
      <c r="S1932">
        <f>IF(AND(ISTEXT($A1932),ISNUMBER(SEARCH(" - ",$A1932)),ISERROR(SEARCH("Folio",$A1932)),$D1932=""),TRIM($A1932),$S1931)</f>
        <v/>
      </c>
      <c r="T1932">
        <f>IF(AND(ISNUMBER(SEARCH("Folio",$A1932)),$D1932&lt;&gt;""),1,"")</f>
        <v/>
      </c>
      <c r="U1932">
        <f>IF($T1932=1,COUNTIF($T$9:$T1932,1),"")</f>
        <v/>
      </c>
      <c r="V1932">
        <f>IF(AND(ISTEXT($A1932),LEFT($A1933,3)="Pan"),1,"")</f>
        <v/>
      </c>
    </row>
    <row r="1933">
      <c r="S1933">
        <f>IF(AND(ISTEXT($A1933),ISNUMBER(SEARCH(" - ",$A1933)),ISERROR(SEARCH("Folio",$A1933)),$D1933=""),TRIM($A1933),$S1932)</f>
        <v/>
      </c>
      <c r="T1933">
        <f>IF(AND(ISNUMBER(SEARCH("Folio",$A1933)),$D1933&lt;&gt;""),1,"")</f>
        <v/>
      </c>
      <c r="U1933">
        <f>IF($T1933=1,COUNTIF($T$9:$T1933,1),"")</f>
        <v/>
      </c>
      <c r="V1933">
        <f>IF(AND(ISTEXT($A1933),LEFT($A1934,3)="Pan"),1,"")</f>
        <v/>
      </c>
    </row>
    <row r="1934">
      <c r="S1934">
        <f>IF(AND(ISTEXT($A1934),ISNUMBER(SEARCH(" - ",$A1934)),ISERROR(SEARCH("Folio",$A1934)),$D1934=""),TRIM($A1934),$S1933)</f>
        <v/>
      </c>
      <c r="T1934">
        <f>IF(AND(ISNUMBER(SEARCH("Folio",$A1934)),$D1934&lt;&gt;""),1,"")</f>
        <v/>
      </c>
      <c r="U1934">
        <f>IF($T1934=1,COUNTIF($T$9:$T1934,1),"")</f>
        <v/>
      </c>
      <c r="V1934">
        <f>IF(AND(ISTEXT($A1934),LEFT($A1935,3)="Pan"),1,"")</f>
        <v/>
      </c>
    </row>
    <row r="1935">
      <c r="S1935">
        <f>IF(AND(ISTEXT($A1935),ISNUMBER(SEARCH(" - ",$A1935)),ISERROR(SEARCH("Folio",$A1935)),$D1935=""),TRIM($A1935),$S1934)</f>
        <v/>
      </c>
      <c r="T1935">
        <f>IF(AND(ISNUMBER(SEARCH("Folio",$A1935)),$D1935&lt;&gt;""),1,"")</f>
        <v/>
      </c>
      <c r="U1935">
        <f>IF($T1935=1,COUNTIF($T$9:$T1935,1),"")</f>
        <v/>
      </c>
      <c r="V1935">
        <f>IF(AND(ISTEXT($A1935),LEFT($A1936,3)="Pan"),1,"")</f>
        <v/>
      </c>
    </row>
    <row r="1936">
      <c r="S1936">
        <f>IF(AND(ISTEXT($A1936),ISNUMBER(SEARCH(" - ",$A1936)),ISERROR(SEARCH("Folio",$A1936)),$D1936=""),TRIM($A1936),$S1935)</f>
        <v/>
      </c>
      <c r="T1936">
        <f>IF(AND(ISNUMBER(SEARCH("Folio",$A1936)),$D1936&lt;&gt;""),1,"")</f>
        <v/>
      </c>
      <c r="U1936">
        <f>IF($T1936=1,COUNTIF($T$9:$T1936,1),"")</f>
        <v/>
      </c>
      <c r="V1936">
        <f>IF(AND(ISTEXT($A1936),LEFT($A1937,3)="Pan"),1,"")</f>
        <v/>
      </c>
    </row>
    <row r="1937">
      <c r="S1937">
        <f>IF(AND(ISTEXT($A1937),ISNUMBER(SEARCH(" - ",$A1937)),ISERROR(SEARCH("Folio",$A1937)),$D1937=""),TRIM($A1937),$S1936)</f>
        <v/>
      </c>
      <c r="T1937">
        <f>IF(AND(ISNUMBER(SEARCH("Folio",$A1937)),$D1937&lt;&gt;""),1,"")</f>
        <v/>
      </c>
      <c r="U1937">
        <f>IF($T1937=1,COUNTIF($T$9:$T1937,1),"")</f>
        <v/>
      </c>
      <c r="V1937">
        <f>IF(AND(ISTEXT($A1937),LEFT($A1938,3)="Pan"),1,"")</f>
        <v/>
      </c>
    </row>
    <row r="1938">
      <c r="S1938">
        <f>IF(AND(ISTEXT($A1938),ISNUMBER(SEARCH(" - ",$A1938)),ISERROR(SEARCH("Folio",$A1938)),$D1938=""),TRIM($A1938),$S1937)</f>
        <v/>
      </c>
      <c r="T1938">
        <f>IF(AND(ISNUMBER(SEARCH("Folio",$A1938)),$D1938&lt;&gt;""),1,"")</f>
        <v/>
      </c>
      <c r="U1938">
        <f>IF($T1938=1,COUNTIF($T$9:$T1938,1),"")</f>
        <v/>
      </c>
      <c r="V1938">
        <f>IF(AND(ISTEXT($A1938),LEFT($A1939,3)="Pan"),1,"")</f>
        <v/>
      </c>
    </row>
    <row r="1939">
      <c r="S1939">
        <f>IF(AND(ISTEXT($A1939),ISNUMBER(SEARCH(" - ",$A1939)),ISERROR(SEARCH("Folio",$A1939)),$D1939=""),TRIM($A1939),$S1938)</f>
        <v/>
      </c>
      <c r="T1939">
        <f>IF(AND(ISNUMBER(SEARCH("Folio",$A1939)),$D1939&lt;&gt;""),1,"")</f>
        <v/>
      </c>
      <c r="U1939">
        <f>IF($T1939=1,COUNTIF($T$9:$T1939,1),"")</f>
        <v/>
      </c>
      <c r="V1939">
        <f>IF(AND(ISTEXT($A1939),LEFT($A1940,3)="Pan"),1,"")</f>
        <v/>
      </c>
    </row>
    <row r="1940">
      <c r="S1940">
        <f>IF(AND(ISTEXT($A1940),ISNUMBER(SEARCH(" - ",$A1940)),ISERROR(SEARCH("Folio",$A1940)),$D1940=""),TRIM($A1940),$S1939)</f>
        <v/>
      </c>
      <c r="T1940">
        <f>IF(AND(ISNUMBER(SEARCH("Folio",$A1940)),$D1940&lt;&gt;""),1,"")</f>
        <v/>
      </c>
      <c r="U1940">
        <f>IF($T1940=1,COUNTIF($T$9:$T1940,1),"")</f>
        <v/>
      </c>
      <c r="V1940">
        <f>IF(AND(ISTEXT($A1940),LEFT($A1941,3)="Pan"),1,"")</f>
        <v/>
      </c>
    </row>
    <row r="1941">
      <c r="S1941">
        <f>IF(AND(ISTEXT($A1941),ISNUMBER(SEARCH(" - ",$A1941)),ISERROR(SEARCH("Folio",$A1941)),$D1941=""),TRIM($A1941),$S1940)</f>
        <v/>
      </c>
      <c r="T1941">
        <f>IF(AND(ISNUMBER(SEARCH("Folio",$A1941)),$D1941&lt;&gt;""),1,"")</f>
        <v/>
      </c>
      <c r="U1941">
        <f>IF($T1941=1,COUNTIF($T$9:$T1941,1),"")</f>
        <v/>
      </c>
      <c r="V1941">
        <f>IF(AND(ISTEXT($A1941),LEFT($A1942,3)="Pan"),1,"")</f>
        <v/>
      </c>
    </row>
    <row r="1942">
      <c r="S1942">
        <f>IF(AND(ISTEXT($A1942),ISNUMBER(SEARCH(" - ",$A1942)),ISERROR(SEARCH("Folio",$A1942)),$D1942=""),TRIM($A1942),$S1941)</f>
        <v/>
      </c>
      <c r="T1942">
        <f>IF(AND(ISNUMBER(SEARCH("Folio",$A1942)),$D1942&lt;&gt;""),1,"")</f>
        <v/>
      </c>
      <c r="U1942">
        <f>IF($T1942=1,COUNTIF($T$9:$T1942,1),"")</f>
        <v/>
      </c>
      <c r="V1942">
        <f>IF(AND(ISTEXT($A1942),LEFT($A1943,3)="Pan"),1,"")</f>
        <v/>
      </c>
    </row>
    <row r="1943">
      <c r="S1943">
        <f>IF(AND(ISTEXT($A1943),ISNUMBER(SEARCH(" - ",$A1943)),ISERROR(SEARCH("Folio",$A1943)),$D1943=""),TRIM($A1943),$S1942)</f>
        <v/>
      </c>
      <c r="T1943">
        <f>IF(AND(ISNUMBER(SEARCH("Folio",$A1943)),$D1943&lt;&gt;""),1,"")</f>
        <v/>
      </c>
      <c r="U1943">
        <f>IF($T1943=1,COUNTIF($T$9:$T1943,1),"")</f>
        <v/>
      </c>
      <c r="V1943">
        <f>IF(AND(ISTEXT($A1943),LEFT($A1944,3)="Pan"),1,"")</f>
        <v/>
      </c>
    </row>
    <row r="1944">
      <c r="S1944">
        <f>IF(AND(ISTEXT($A1944),ISNUMBER(SEARCH(" - ",$A1944)),ISERROR(SEARCH("Folio",$A1944)),$D1944=""),TRIM($A1944),$S1943)</f>
        <v/>
      </c>
      <c r="T1944">
        <f>IF(AND(ISNUMBER(SEARCH("Folio",$A1944)),$D1944&lt;&gt;""),1,"")</f>
        <v/>
      </c>
      <c r="U1944">
        <f>IF($T1944=1,COUNTIF($T$9:$T1944,1),"")</f>
        <v/>
      </c>
      <c r="V1944">
        <f>IF(AND(ISTEXT($A1944),LEFT($A1945,3)="Pan"),1,"")</f>
        <v/>
      </c>
    </row>
    <row r="1945">
      <c r="S1945">
        <f>IF(AND(ISTEXT($A1945),ISNUMBER(SEARCH(" - ",$A1945)),ISERROR(SEARCH("Folio",$A1945)),$D1945=""),TRIM($A1945),$S1944)</f>
        <v/>
      </c>
      <c r="T1945">
        <f>IF(AND(ISNUMBER(SEARCH("Folio",$A1945)),$D1945&lt;&gt;""),1,"")</f>
        <v/>
      </c>
      <c r="U1945">
        <f>IF($T1945=1,COUNTIF($T$9:$T1945,1),"")</f>
        <v/>
      </c>
      <c r="V1945">
        <f>IF(AND(ISTEXT($A1945),LEFT($A1946,3)="Pan"),1,"")</f>
        <v/>
      </c>
    </row>
    <row r="1946">
      <c r="S1946">
        <f>IF(AND(ISTEXT($A1946),ISNUMBER(SEARCH(" - ",$A1946)),ISERROR(SEARCH("Folio",$A1946)),$D1946=""),TRIM($A1946),$S1945)</f>
        <v/>
      </c>
      <c r="T1946">
        <f>IF(AND(ISNUMBER(SEARCH("Folio",$A1946)),$D1946&lt;&gt;""),1,"")</f>
        <v/>
      </c>
      <c r="U1946">
        <f>IF($T1946=1,COUNTIF($T$9:$T1946,1),"")</f>
        <v/>
      </c>
      <c r="V1946">
        <f>IF(AND(ISTEXT($A1946),LEFT($A1947,3)="Pan"),1,"")</f>
        <v/>
      </c>
    </row>
    <row r="1947">
      <c r="S1947">
        <f>IF(AND(ISTEXT($A1947),ISNUMBER(SEARCH(" - ",$A1947)),ISERROR(SEARCH("Folio",$A1947)),$D1947=""),TRIM($A1947),$S1946)</f>
        <v/>
      </c>
      <c r="T1947">
        <f>IF(AND(ISNUMBER(SEARCH("Folio",$A1947)),$D1947&lt;&gt;""),1,"")</f>
        <v/>
      </c>
      <c r="U1947">
        <f>IF($T1947=1,COUNTIF($T$9:$T1947,1),"")</f>
        <v/>
      </c>
      <c r="V1947">
        <f>IF(AND(ISTEXT($A1947),LEFT($A1948,3)="Pan"),1,"")</f>
        <v/>
      </c>
    </row>
    <row r="1948">
      <c r="S1948">
        <f>IF(AND(ISTEXT($A1948),ISNUMBER(SEARCH(" - ",$A1948)),ISERROR(SEARCH("Folio",$A1948)),$D1948=""),TRIM($A1948),$S1947)</f>
        <v/>
      </c>
      <c r="T1948">
        <f>IF(AND(ISNUMBER(SEARCH("Folio",$A1948)),$D1948&lt;&gt;""),1,"")</f>
        <v/>
      </c>
      <c r="U1948">
        <f>IF($T1948=1,COUNTIF($T$9:$T1948,1),"")</f>
        <v/>
      </c>
      <c r="V1948">
        <f>IF(AND(ISTEXT($A1948),LEFT($A1949,3)="Pan"),1,"")</f>
        <v/>
      </c>
    </row>
    <row r="1949">
      <c r="S1949">
        <f>IF(AND(ISTEXT($A1949),ISNUMBER(SEARCH(" - ",$A1949)),ISERROR(SEARCH("Folio",$A1949)),$D1949=""),TRIM($A1949),$S1948)</f>
        <v/>
      </c>
      <c r="T1949">
        <f>IF(AND(ISNUMBER(SEARCH("Folio",$A1949)),$D1949&lt;&gt;""),1,"")</f>
        <v/>
      </c>
      <c r="U1949">
        <f>IF($T1949=1,COUNTIF($T$9:$T1949,1),"")</f>
        <v/>
      </c>
      <c r="V1949">
        <f>IF(AND(ISTEXT($A1949),LEFT($A1950,3)="Pan"),1,"")</f>
        <v/>
      </c>
    </row>
    <row r="1950">
      <c r="S1950">
        <f>IF(AND(ISTEXT($A1950),ISNUMBER(SEARCH(" - ",$A1950)),ISERROR(SEARCH("Folio",$A1950)),$D1950=""),TRIM($A1950),$S1949)</f>
        <v/>
      </c>
      <c r="T1950">
        <f>IF(AND(ISNUMBER(SEARCH("Folio",$A1950)),$D1950&lt;&gt;""),1,"")</f>
        <v/>
      </c>
      <c r="U1950">
        <f>IF($T1950=1,COUNTIF($T$9:$T1950,1),"")</f>
        <v/>
      </c>
      <c r="V1950">
        <f>IF(AND(ISTEXT($A1950),LEFT($A1951,3)="Pan"),1,"")</f>
        <v/>
      </c>
    </row>
    <row r="1951">
      <c r="S1951">
        <f>IF(AND(ISTEXT($A1951),ISNUMBER(SEARCH(" - ",$A1951)),ISERROR(SEARCH("Folio",$A1951)),$D1951=""),TRIM($A1951),$S1950)</f>
        <v/>
      </c>
      <c r="T1951">
        <f>IF(AND(ISNUMBER(SEARCH("Folio",$A1951)),$D1951&lt;&gt;""),1,"")</f>
        <v/>
      </c>
      <c r="U1951">
        <f>IF($T1951=1,COUNTIF($T$9:$T1951,1),"")</f>
        <v/>
      </c>
      <c r="V1951">
        <f>IF(AND(ISTEXT($A1951),LEFT($A1952,3)="Pan"),1,"")</f>
        <v/>
      </c>
    </row>
    <row r="1952">
      <c r="S1952">
        <f>IF(AND(ISTEXT($A1952),ISNUMBER(SEARCH(" - ",$A1952)),ISERROR(SEARCH("Folio",$A1952)),$D1952=""),TRIM($A1952),$S1951)</f>
        <v/>
      </c>
      <c r="T1952">
        <f>IF(AND(ISNUMBER(SEARCH("Folio",$A1952)),$D1952&lt;&gt;""),1,"")</f>
        <v/>
      </c>
      <c r="U1952">
        <f>IF($T1952=1,COUNTIF($T$9:$T1952,1),"")</f>
        <v/>
      </c>
      <c r="V1952">
        <f>IF(AND(ISTEXT($A1952),LEFT($A1953,3)="Pan"),1,"")</f>
        <v/>
      </c>
    </row>
    <row r="1953">
      <c r="S1953">
        <f>IF(AND(ISTEXT($A1953),ISNUMBER(SEARCH(" - ",$A1953)),ISERROR(SEARCH("Folio",$A1953)),$D1953=""),TRIM($A1953),$S1952)</f>
        <v/>
      </c>
      <c r="T1953">
        <f>IF(AND(ISNUMBER(SEARCH("Folio",$A1953)),$D1953&lt;&gt;""),1,"")</f>
        <v/>
      </c>
      <c r="U1953">
        <f>IF($T1953=1,COUNTIF($T$9:$T1953,1),"")</f>
        <v/>
      </c>
      <c r="V1953">
        <f>IF(AND(ISTEXT($A1953),LEFT($A1954,3)="Pan"),1,"")</f>
        <v/>
      </c>
    </row>
    <row r="1954">
      <c r="S1954">
        <f>IF(AND(ISTEXT($A1954),ISNUMBER(SEARCH(" - ",$A1954)),ISERROR(SEARCH("Folio",$A1954)),$D1954=""),TRIM($A1954),$S1953)</f>
        <v/>
      </c>
      <c r="T1954">
        <f>IF(AND(ISNUMBER(SEARCH("Folio",$A1954)),$D1954&lt;&gt;""),1,"")</f>
        <v/>
      </c>
      <c r="U1954">
        <f>IF($T1954=1,COUNTIF($T$9:$T1954,1),"")</f>
        <v/>
      </c>
      <c r="V1954">
        <f>IF(AND(ISTEXT($A1954),LEFT($A1955,3)="Pan"),1,"")</f>
        <v/>
      </c>
    </row>
    <row r="1955">
      <c r="S1955">
        <f>IF(AND(ISTEXT($A1955),ISNUMBER(SEARCH(" - ",$A1955)),ISERROR(SEARCH("Folio",$A1955)),$D1955=""),TRIM($A1955),$S1954)</f>
        <v/>
      </c>
      <c r="T1955">
        <f>IF(AND(ISNUMBER(SEARCH("Folio",$A1955)),$D1955&lt;&gt;""),1,"")</f>
        <v/>
      </c>
      <c r="U1955">
        <f>IF($T1955=1,COUNTIF($T$9:$T1955,1),"")</f>
        <v/>
      </c>
      <c r="V1955">
        <f>IF(AND(ISTEXT($A1955),LEFT($A1956,3)="Pan"),1,"")</f>
        <v/>
      </c>
    </row>
    <row r="1956">
      <c r="S1956">
        <f>IF(AND(ISTEXT($A1956),ISNUMBER(SEARCH(" - ",$A1956)),ISERROR(SEARCH("Folio",$A1956)),$D1956=""),TRIM($A1956),$S1955)</f>
        <v/>
      </c>
      <c r="T1956">
        <f>IF(AND(ISNUMBER(SEARCH("Folio",$A1956)),$D1956&lt;&gt;""),1,"")</f>
        <v/>
      </c>
      <c r="U1956">
        <f>IF($T1956=1,COUNTIF($T$9:$T1956,1),"")</f>
        <v/>
      </c>
      <c r="V1956">
        <f>IF(AND(ISTEXT($A1956),LEFT($A1957,3)="Pan"),1,"")</f>
        <v/>
      </c>
    </row>
    <row r="1957">
      <c r="S1957">
        <f>IF(AND(ISTEXT($A1957),ISNUMBER(SEARCH(" - ",$A1957)),ISERROR(SEARCH("Folio",$A1957)),$D1957=""),TRIM($A1957),$S1956)</f>
        <v/>
      </c>
      <c r="T1957">
        <f>IF(AND(ISNUMBER(SEARCH("Folio",$A1957)),$D1957&lt;&gt;""),1,"")</f>
        <v/>
      </c>
      <c r="U1957">
        <f>IF($T1957=1,COUNTIF($T$9:$T1957,1),"")</f>
        <v/>
      </c>
      <c r="V1957">
        <f>IF(AND(ISTEXT($A1957),LEFT($A1958,3)="Pan"),1,"")</f>
        <v/>
      </c>
    </row>
    <row r="1958">
      <c r="S1958">
        <f>IF(AND(ISTEXT($A1958),ISNUMBER(SEARCH(" - ",$A1958)),ISERROR(SEARCH("Folio",$A1958)),$D1958=""),TRIM($A1958),$S1957)</f>
        <v/>
      </c>
      <c r="T1958">
        <f>IF(AND(ISNUMBER(SEARCH("Folio",$A1958)),$D1958&lt;&gt;""),1,"")</f>
        <v/>
      </c>
      <c r="U1958">
        <f>IF($T1958=1,COUNTIF($T$9:$T1958,1),"")</f>
        <v/>
      </c>
      <c r="V1958">
        <f>IF(AND(ISTEXT($A1958),LEFT($A1959,3)="Pan"),1,"")</f>
        <v/>
      </c>
    </row>
    <row r="1959">
      <c r="S1959">
        <f>IF(AND(ISTEXT($A1959),ISNUMBER(SEARCH(" - ",$A1959)),ISERROR(SEARCH("Folio",$A1959)),$D1959=""),TRIM($A1959),$S1958)</f>
        <v/>
      </c>
      <c r="T1959">
        <f>IF(AND(ISNUMBER(SEARCH("Folio",$A1959)),$D1959&lt;&gt;""),1,"")</f>
        <v/>
      </c>
      <c r="U1959">
        <f>IF($T1959=1,COUNTIF($T$9:$T1959,1),"")</f>
        <v/>
      </c>
      <c r="V1959">
        <f>IF(AND(ISTEXT($A1959),LEFT($A1960,3)="Pan"),1,"")</f>
        <v/>
      </c>
    </row>
    <row r="1960">
      <c r="S1960">
        <f>IF(AND(ISTEXT($A1960),ISNUMBER(SEARCH(" - ",$A1960)),ISERROR(SEARCH("Folio",$A1960)),$D1960=""),TRIM($A1960),$S1959)</f>
        <v/>
      </c>
      <c r="T1960">
        <f>IF(AND(ISNUMBER(SEARCH("Folio",$A1960)),$D1960&lt;&gt;""),1,"")</f>
        <v/>
      </c>
      <c r="U1960">
        <f>IF($T1960=1,COUNTIF($T$9:$T1960,1),"")</f>
        <v/>
      </c>
      <c r="V1960">
        <f>IF(AND(ISTEXT($A1960),LEFT($A1961,3)="Pan"),1,"")</f>
        <v/>
      </c>
    </row>
    <row r="1961">
      <c r="S1961">
        <f>IF(AND(ISTEXT($A1961),ISNUMBER(SEARCH(" - ",$A1961)),ISERROR(SEARCH("Folio",$A1961)),$D1961=""),TRIM($A1961),$S1960)</f>
        <v/>
      </c>
      <c r="T1961">
        <f>IF(AND(ISNUMBER(SEARCH("Folio",$A1961)),$D1961&lt;&gt;""),1,"")</f>
        <v/>
      </c>
      <c r="U1961">
        <f>IF($T1961=1,COUNTIF($T$9:$T1961,1),"")</f>
        <v/>
      </c>
      <c r="V1961">
        <f>IF(AND(ISTEXT($A1961),LEFT($A1962,3)="Pan"),1,"")</f>
        <v/>
      </c>
    </row>
    <row r="1962">
      <c r="S1962">
        <f>IF(AND(ISTEXT($A1962),ISNUMBER(SEARCH(" - ",$A1962)),ISERROR(SEARCH("Folio",$A1962)),$D1962=""),TRIM($A1962),$S1961)</f>
        <v/>
      </c>
      <c r="T1962">
        <f>IF(AND(ISNUMBER(SEARCH("Folio",$A1962)),$D1962&lt;&gt;""),1,"")</f>
        <v/>
      </c>
      <c r="U1962">
        <f>IF($T1962=1,COUNTIF($T$9:$T1962,1),"")</f>
        <v/>
      </c>
      <c r="V1962">
        <f>IF(AND(ISTEXT($A1962),LEFT($A1963,3)="Pan"),1,"")</f>
        <v/>
      </c>
    </row>
    <row r="1963">
      <c r="S1963">
        <f>IF(AND(ISTEXT($A1963),ISNUMBER(SEARCH(" - ",$A1963)),ISERROR(SEARCH("Folio",$A1963)),$D1963=""),TRIM($A1963),$S1962)</f>
        <v/>
      </c>
      <c r="T1963">
        <f>IF(AND(ISNUMBER(SEARCH("Folio",$A1963)),$D1963&lt;&gt;""),1,"")</f>
        <v/>
      </c>
      <c r="U1963">
        <f>IF($T1963=1,COUNTIF($T$9:$T1963,1),"")</f>
        <v/>
      </c>
      <c r="V1963">
        <f>IF(AND(ISTEXT($A1963),LEFT($A1964,3)="Pan"),1,"")</f>
        <v/>
      </c>
    </row>
    <row r="1964">
      <c r="S1964">
        <f>IF(AND(ISTEXT($A1964),ISNUMBER(SEARCH(" - ",$A1964)),ISERROR(SEARCH("Folio",$A1964)),$D1964=""),TRIM($A1964),$S1963)</f>
        <v/>
      </c>
      <c r="T1964">
        <f>IF(AND(ISNUMBER(SEARCH("Folio",$A1964)),$D1964&lt;&gt;""),1,"")</f>
        <v/>
      </c>
      <c r="U1964">
        <f>IF($T1964=1,COUNTIF($T$9:$T1964,1),"")</f>
        <v/>
      </c>
      <c r="V1964">
        <f>IF(AND(ISTEXT($A1964),LEFT($A1965,3)="Pan"),1,"")</f>
        <v/>
      </c>
    </row>
    <row r="1965">
      <c r="S1965">
        <f>IF(AND(ISTEXT($A1965),ISNUMBER(SEARCH(" - ",$A1965)),ISERROR(SEARCH("Folio",$A1965)),$D1965=""),TRIM($A1965),$S1964)</f>
        <v/>
      </c>
      <c r="T1965">
        <f>IF(AND(ISNUMBER(SEARCH("Folio",$A1965)),$D1965&lt;&gt;""),1,"")</f>
        <v/>
      </c>
      <c r="U1965">
        <f>IF($T1965=1,COUNTIF($T$9:$T1965,1),"")</f>
        <v/>
      </c>
      <c r="V1965">
        <f>IF(AND(ISTEXT($A1965),LEFT($A1966,3)="Pan"),1,"")</f>
        <v/>
      </c>
    </row>
    <row r="1966">
      <c r="S1966">
        <f>IF(AND(ISTEXT($A1966),ISNUMBER(SEARCH(" - ",$A1966)),ISERROR(SEARCH("Folio",$A1966)),$D1966=""),TRIM($A1966),$S1965)</f>
        <v/>
      </c>
      <c r="T1966">
        <f>IF(AND(ISNUMBER(SEARCH("Folio",$A1966)),$D1966&lt;&gt;""),1,"")</f>
        <v/>
      </c>
      <c r="U1966">
        <f>IF($T1966=1,COUNTIF($T$9:$T1966,1),"")</f>
        <v/>
      </c>
      <c r="V1966">
        <f>IF(AND(ISTEXT($A1966),LEFT($A1967,3)="Pan"),1,"")</f>
        <v/>
      </c>
    </row>
    <row r="1967">
      <c r="S1967">
        <f>IF(AND(ISTEXT($A1967),ISNUMBER(SEARCH(" - ",$A1967)),ISERROR(SEARCH("Folio",$A1967)),$D1967=""),TRIM($A1967),$S1966)</f>
        <v/>
      </c>
      <c r="T1967">
        <f>IF(AND(ISNUMBER(SEARCH("Folio",$A1967)),$D1967&lt;&gt;""),1,"")</f>
        <v/>
      </c>
      <c r="U1967">
        <f>IF($T1967=1,COUNTIF($T$9:$T1967,1),"")</f>
        <v/>
      </c>
      <c r="V1967">
        <f>IF(AND(ISTEXT($A1967),LEFT($A1968,3)="Pan"),1,"")</f>
        <v/>
      </c>
    </row>
    <row r="1968">
      <c r="S1968">
        <f>IF(AND(ISTEXT($A1968),ISNUMBER(SEARCH(" - ",$A1968)),ISERROR(SEARCH("Folio",$A1968)),$D1968=""),TRIM($A1968),$S1967)</f>
        <v/>
      </c>
      <c r="T1968">
        <f>IF(AND(ISNUMBER(SEARCH("Folio",$A1968)),$D1968&lt;&gt;""),1,"")</f>
        <v/>
      </c>
      <c r="U1968">
        <f>IF($T1968=1,COUNTIF($T$9:$T1968,1),"")</f>
        <v/>
      </c>
      <c r="V1968">
        <f>IF(AND(ISTEXT($A1968),LEFT($A1969,3)="Pan"),1,"")</f>
        <v/>
      </c>
    </row>
    <row r="1969">
      <c r="S1969">
        <f>IF(AND(ISTEXT($A1969),ISNUMBER(SEARCH(" - ",$A1969)),ISERROR(SEARCH("Folio",$A1969)),$D1969=""),TRIM($A1969),$S1968)</f>
        <v/>
      </c>
      <c r="T1969">
        <f>IF(AND(ISNUMBER(SEARCH("Folio",$A1969)),$D1969&lt;&gt;""),1,"")</f>
        <v/>
      </c>
      <c r="U1969">
        <f>IF($T1969=1,COUNTIF($T$9:$T1969,1),"")</f>
        <v/>
      </c>
      <c r="V1969">
        <f>IF(AND(ISTEXT($A1969),LEFT($A1970,3)="Pan"),1,"")</f>
        <v/>
      </c>
    </row>
    <row r="1970">
      <c r="S1970">
        <f>IF(AND(ISTEXT($A1970),ISNUMBER(SEARCH(" - ",$A1970)),ISERROR(SEARCH("Folio",$A1970)),$D1970=""),TRIM($A1970),$S1969)</f>
        <v/>
      </c>
      <c r="T1970">
        <f>IF(AND(ISNUMBER(SEARCH("Folio",$A1970)),$D1970&lt;&gt;""),1,"")</f>
        <v/>
      </c>
      <c r="U1970">
        <f>IF($T1970=1,COUNTIF($T$9:$T1970,1),"")</f>
        <v/>
      </c>
      <c r="V1970">
        <f>IF(AND(ISTEXT($A1970),LEFT($A1971,3)="Pan"),1,"")</f>
        <v/>
      </c>
    </row>
    <row r="1971">
      <c r="S1971">
        <f>IF(AND(ISTEXT($A1971),ISNUMBER(SEARCH(" - ",$A1971)),ISERROR(SEARCH("Folio",$A1971)),$D1971=""),TRIM($A1971),$S1970)</f>
        <v/>
      </c>
      <c r="T1971">
        <f>IF(AND(ISNUMBER(SEARCH("Folio",$A1971)),$D1971&lt;&gt;""),1,"")</f>
        <v/>
      </c>
      <c r="U1971">
        <f>IF($T1971=1,COUNTIF($T$9:$T1971,1),"")</f>
        <v/>
      </c>
      <c r="V1971">
        <f>IF(AND(ISTEXT($A1971),LEFT($A1972,3)="Pan"),1,"")</f>
        <v/>
      </c>
    </row>
    <row r="1972">
      <c r="S1972">
        <f>IF(AND(ISTEXT($A1972),ISNUMBER(SEARCH(" - ",$A1972)),ISERROR(SEARCH("Folio",$A1972)),$D1972=""),TRIM($A1972),$S1971)</f>
        <v/>
      </c>
      <c r="T1972">
        <f>IF(AND(ISNUMBER(SEARCH("Folio",$A1972)),$D1972&lt;&gt;""),1,"")</f>
        <v/>
      </c>
      <c r="U1972">
        <f>IF($T1972=1,COUNTIF($T$9:$T1972,1),"")</f>
        <v/>
      </c>
      <c r="V1972">
        <f>IF(AND(ISTEXT($A1972),LEFT($A1973,3)="Pan"),1,"")</f>
        <v/>
      </c>
    </row>
    <row r="1973">
      <c r="S1973">
        <f>IF(AND(ISTEXT($A1973),ISNUMBER(SEARCH(" - ",$A1973)),ISERROR(SEARCH("Folio",$A1973)),$D1973=""),TRIM($A1973),$S1972)</f>
        <v/>
      </c>
      <c r="T1973">
        <f>IF(AND(ISNUMBER(SEARCH("Folio",$A1973)),$D1973&lt;&gt;""),1,"")</f>
        <v/>
      </c>
      <c r="U1973">
        <f>IF($T1973=1,COUNTIF($T$9:$T1973,1),"")</f>
        <v/>
      </c>
      <c r="V1973">
        <f>IF(AND(ISTEXT($A1973),LEFT($A1974,3)="Pan"),1,"")</f>
        <v/>
      </c>
    </row>
    <row r="1974">
      <c r="S1974">
        <f>IF(AND(ISTEXT($A1974),ISNUMBER(SEARCH(" - ",$A1974)),ISERROR(SEARCH("Folio",$A1974)),$D1974=""),TRIM($A1974),$S1973)</f>
        <v/>
      </c>
      <c r="T1974">
        <f>IF(AND(ISNUMBER(SEARCH("Folio",$A1974)),$D1974&lt;&gt;""),1,"")</f>
        <v/>
      </c>
      <c r="U1974">
        <f>IF($T1974=1,COUNTIF($T$9:$T1974,1),"")</f>
        <v/>
      </c>
      <c r="V1974">
        <f>IF(AND(ISTEXT($A1974),LEFT($A1975,3)="Pan"),1,"")</f>
        <v/>
      </c>
    </row>
    <row r="1975">
      <c r="S1975">
        <f>IF(AND(ISTEXT($A1975),ISNUMBER(SEARCH(" - ",$A1975)),ISERROR(SEARCH("Folio",$A1975)),$D1975=""),TRIM($A1975),$S1974)</f>
        <v/>
      </c>
      <c r="T1975">
        <f>IF(AND(ISNUMBER(SEARCH("Folio",$A1975)),$D1975&lt;&gt;""),1,"")</f>
        <v/>
      </c>
      <c r="U1975">
        <f>IF($T1975=1,COUNTIF($T$9:$T1975,1),"")</f>
        <v/>
      </c>
      <c r="V1975">
        <f>IF(AND(ISTEXT($A1975),LEFT($A1976,3)="Pan"),1,"")</f>
        <v/>
      </c>
    </row>
    <row r="1976">
      <c r="S1976">
        <f>IF(AND(ISTEXT($A1976),ISNUMBER(SEARCH(" - ",$A1976)),ISERROR(SEARCH("Folio",$A1976)),$D1976=""),TRIM($A1976),$S1975)</f>
        <v/>
      </c>
      <c r="T1976">
        <f>IF(AND(ISNUMBER(SEARCH("Folio",$A1976)),$D1976&lt;&gt;""),1,"")</f>
        <v/>
      </c>
      <c r="U1976">
        <f>IF($T1976=1,COUNTIF($T$9:$T1976,1),"")</f>
        <v/>
      </c>
      <c r="V1976">
        <f>IF(AND(ISTEXT($A1976),LEFT($A1977,3)="Pan"),1,"")</f>
        <v/>
      </c>
    </row>
    <row r="1977">
      <c r="S1977">
        <f>IF(AND(ISTEXT($A1977),ISNUMBER(SEARCH(" - ",$A1977)),ISERROR(SEARCH("Folio",$A1977)),$D1977=""),TRIM($A1977),$S1976)</f>
        <v/>
      </c>
      <c r="T1977">
        <f>IF(AND(ISNUMBER(SEARCH("Folio",$A1977)),$D1977&lt;&gt;""),1,"")</f>
        <v/>
      </c>
      <c r="U1977">
        <f>IF($T1977=1,COUNTIF($T$9:$T1977,1),"")</f>
        <v/>
      </c>
      <c r="V1977">
        <f>IF(AND(ISTEXT($A1977),LEFT($A1978,3)="Pan"),1,"")</f>
        <v/>
      </c>
    </row>
    <row r="1978">
      <c r="S1978">
        <f>IF(AND(ISTEXT($A1978),ISNUMBER(SEARCH(" - ",$A1978)),ISERROR(SEARCH("Folio",$A1978)),$D1978=""),TRIM($A1978),$S1977)</f>
        <v/>
      </c>
      <c r="T1978">
        <f>IF(AND(ISNUMBER(SEARCH("Folio",$A1978)),$D1978&lt;&gt;""),1,"")</f>
        <v/>
      </c>
      <c r="U1978">
        <f>IF($T1978=1,COUNTIF($T$9:$T1978,1),"")</f>
        <v/>
      </c>
      <c r="V1978">
        <f>IF(AND(ISTEXT($A1978),LEFT($A1979,3)="Pan"),1,"")</f>
        <v/>
      </c>
    </row>
    <row r="1979">
      <c r="S1979">
        <f>IF(AND(ISTEXT($A1979),ISNUMBER(SEARCH(" - ",$A1979)),ISERROR(SEARCH("Folio",$A1979)),$D1979=""),TRIM($A1979),$S1978)</f>
        <v/>
      </c>
      <c r="T1979">
        <f>IF(AND(ISNUMBER(SEARCH("Folio",$A1979)),$D1979&lt;&gt;""),1,"")</f>
        <v/>
      </c>
      <c r="U1979">
        <f>IF($T1979=1,COUNTIF($T$9:$T1979,1),"")</f>
        <v/>
      </c>
      <c r="V1979">
        <f>IF(AND(ISTEXT($A1979),LEFT($A1980,3)="Pan"),1,"")</f>
        <v/>
      </c>
    </row>
    <row r="1980">
      <c r="S1980">
        <f>IF(AND(ISTEXT($A1980),ISNUMBER(SEARCH(" - ",$A1980)),ISERROR(SEARCH("Folio",$A1980)),$D1980=""),TRIM($A1980),$S1979)</f>
        <v/>
      </c>
      <c r="T1980">
        <f>IF(AND(ISNUMBER(SEARCH("Folio",$A1980)),$D1980&lt;&gt;""),1,"")</f>
        <v/>
      </c>
      <c r="U1980">
        <f>IF($T1980=1,COUNTIF($T$9:$T1980,1),"")</f>
        <v/>
      </c>
      <c r="V1980">
        <f>IF(AND(ISTEXT($A1980),LEFT($A1981,3)="Pan"),1,"")</f>
        <v/>
      </c>
    </row>
    <row r="1981">
      <c r="S1981">
        <f>IF(AND(ISTEXT($A1981),ISNUMBER(SEARCH(" - ",$A1981)),ISERROR(SEARCH("Folio",$A1981)),$D1981=""),TRIM($A1981),$S1980)</f>
        <v/>
      </c>
      <c r="T1981">
        <f>IF(AND(ISNUMBER(SEARCH("Folio",$A1981)),$D1981&lt;&gt;""),1,"")</f>
        <v/>
      </c>
      <c r="U1981">
        <f>IF($T1981=1,COUNTIF($T$9:$T1981,1),"")</f>
        <v/>
      </c>
      <c r="V1981">
        <f>IF(AND(ISTEXT($A1981),LEFT($A1982,3)="Pan"),1,"")</f>
        <v/>
      </c>
    </row>
    <row r="1982">
      <c r="S1982">
        <f>IF(AND(ISTEXT($A1982),ISNUMBER(SEARCH(" - ",$A1982)),ISERROR(SEARCH("Folio",$A1982)),$D1982=""),TRIM($A1982),$S1981)</f>
        <v/>
      </c>
      <c r="T1982">
        <f>IF(AND(ISNUMBER(SEARCH("Folio",$A1982)),$D1982&lt;&gt;""),1,"")</f>
        <v/>
      </c>
      <c r="U1982">
        <f>IF($T1982=1,COUNTIF($T$9:$T1982,1),"")</f>
        <v/>
      </c>
      <c r="V1982">
        <f>IF(AND(ISTEXT($A1982),LEFT($A1983,3)="Pan"),1,"")</f>
        <v/>
      </c>
    </row>
    <row r="1983">
      <c r="S1983">
        <f>IF(AND(ISTEXT($A1983),ISNUMBER(SEARCH(" - ",$A1983)),ISERROR(SEARCH("Folio",$A1983)),$D1983=""),TRIM($A1983),$S1982)</f>
        <v/>
      </c>
      <c r="T1983">
        <f>IF(AND(ISNUMBER(SEARCH("Folio",$A1983)),$D1983&lt;&gt;""),1,"")</f>
        <v/>
      </c>
      <c r="U1983">
        <f>IF($T1983=1,COUNTIF($T$9:$T1983,1),"")</f>
        <v/>
      </c>
      <c r="V1983">
        <f>IF(AND(ISTEXT($A1983),LEFT($A1984,3)="Pan"),1,"")</f>
        <v/>
      </c>
    </row>
    <row r="1984">
      <c r="S1984">
        <f>IF(AND(ISTEXT($A1984),ISNUMBER(SEARCH(" - ",$A1984)),ISERROR(SEARCH("Folio",$A1984)),$D1984=""),TRIM($A1984),$S1983)</f>
        <v/>
      </c>
      <c r="T1984">
        <f>IF(AND(ISNUMBER(SEARCH("Folio",$A1984)),$D1984&lt;&gt;""),1,"")</f>
        <v/>
      </c>
      <c r="U1984">
        <f>IF($T1984=1,COUNTIF($T$9:$T1984,1),"")</f>
        <v/>
      </c>
      <c r="V1984">
        <f>IF(AND(ISTEXT($A1984),LEFT($A1985,3)="Pan"),1,"")</f>
        <v/>
      </c>
    </row>
    <row r="1985">
      <c r="S1985">
        <f>IF(AND(ISTEXT($A1985),ISNUMBER(SEARCH(" - ",$A1985)),ISERROR(SEARCH("Folio",$A1985)),$D1985=""),TRIM($A1985),$S1984)</f>
        <v/>
      </c>
      <c r="T1985">
        <f>IF(AND(ISNUMBER(SEARCH("Folio",$A1985)),$D1985&lt;&gt;""),1,"")</f>
        <v/>
      </c>
      <c r="U1985">
        <f>IF($T1985=1,COUNTIF($T$9:$T1985,1),"")</f>
        <v/>
      </c>
      <c r="V1985">
        <f>IF(AND(ISTEXT($A1985),LEFT($A1986,3)="Pan"),1,"")</f>
        <v/>
      </c>
    </row>
    <row r="1986">
      <c r="S1986">
        <f>IF(AND(ISTEXT($A1986),ISNUMBER(SEARCH(" - ",$A1986)),ISERROR(SEARCH("Folio",$A1986)),$D1986=""),TRIM($A1986),$S1985)</f>
        <v/>
      </c>
      <c r="T1986">
        <f>IF(AND(ISNUMBER(SEARCH("Folio",$A1986)),$D1986&lt;&gt;""),1,"")</f>
        <v/>
      </c>
      <c r="U1986">
        <f>IF($T1986=1,COUNTIF($T$9:$T1986,1),"")</f>
        <v/>
      </c>
      <c r="V1986">
        <f>IF(AND(ISTEXT($A1986),LEFT($A1987,3)="Pan"),1,"")</f>
        <v/>
      </c>
    </row>
    <row r="1987">
      <c r="S1987">
        <f>IF(AND(ISTEXT($A1987),ISNUMBER(SEARCH(" - ",$A1987)),ISERROR(SEARCH("Folio",$A1987)),$D1987=""),TRIM($A1987),$S1986)</f>
        <v/>
      </c>
      <c r="T1987">
        <f>IF(AND(ISNUMBER(SEARCH("Folio",$A1987)),$D1987&lt;&gt;""),1,"")</f>
        <v/>
      </c>
      <c r="U1987">
        <f>IF($T1987=1,COUNTIF($T$9:$T1987,1),"")</f>
        <v/>
      </c>
      <c r="V1987">
        <f>IF(AND(ISTEXT($A1987),LEFT($A1988,3)="Pan"),1,"")</f>
        <v/>
      </c>
    </row>
    <row r="1988">
      <c r="S1988">
        <f>IF(AND(ISTEXT($A1988),ISNUMBER(SEARCH(" - ",$A1988)),ISERROR(SEARCH("Folio",$A1988)),$D1988=""),TRIM($A1988),$S1987)</f>
        <v/>
      </c>
      <c r="T1988">
        <f>IF(AND(ISNUMBER(SEARCH("Folio",$A1988)),$D1988&lt;&gt;""),1,"")</f>
        <v/>
      </c>
      <c r="U1988">
        <f>IF($T1988=1,COUNTIF($T$9:$T1988,1),"")</f>
        <v/>
      </c>
      <c r="V1988">
        <f>IF(AND(ISTEXT($A1988),LEFT($A1989,3)="Pan"),1,"")</f>
        <v/>
      </c>
    </row>
    <row r="1989">
      <c r="S1989">
        <f>IF(AND(ISTEXT($A1989),ISNUMBER(SEARCH(" - ",$A1989)),ISERROR(SEARCH("Folio",$A1989)),$D1989=""),TRIM($A1989),$S1988)</f>
        <v/>
      </c>
      <c r="T1989">
        <f>IF(AND(ISNUMBER(SEARCH("Folio",$A1989)),$D1989&lt;&gt;""),1,"")</f>
        <v/>
      </c>
      <c r="U1989">
        <f>IF($T1989=1,COUNTIF($T$9:$T1989,1),"")</f>
        <v/>
      </c>
      <c r="V1989">
        <f>IF(AND(ISTEXT($A1989),LEFT($A1990,3)="Pan"),1,"")</f>
        <v/>
      </c>
    </row>
    <row r="1990">
      <c r="S1990">
        <f>IF(AND(ISTEXT($A1990),ISNUMBER(SEARCH(" - ",$A1990)),ISERROR(SEARCH("Folio",$A1990)),$D1990=""),TRIM($A1990),$S1989)</f>
        <v/>
      </c>
      <c r="T1990">
        <f>IF(AND(ISNUMBER(SEARCH("Folio",$A1990)),$D1990&lt;&gt;""),1,"")</f>
        <v/>
      </c>
      <c r="U1990">
        <f>IF($T1990=1,COUNTIF($T$9:$T1990,1),"")</f>
        <v/>
      </c>
      <c r="V1990">
        <f>IF(AND(ISTEXT($A1990),LEFT($A1991,3)="Pan"),1,"")</f>
        <v/>
      </c>
    </row>
    <row r="1991">
      <c r="S1991">
        <f>IF(AND(ISTEXT($A1991),ISNUMBER(SEARCH(" - ",$A1991)),ISERROR(SEARCH("Folio",$A1991)),$D1991=""),TRIM($A1991),$S1990)</f>
        <v/>
      </c>
      <c r="T1991">
        <f>IF(AND(ISNUMBER(SEARCH("Folio",$A1991)),$D1991&lt;&gt;""),1,"")</f>
        <v/>
      </c>
      <c r="U1991">
        <f>IF($T1991=1,COUNTIF($T$9:$T1991,1),"")</f>
        <v/>
      </c>
      <c r="V1991">
        <f>IF(AND(ISTEXT($A1991),LEFT($A1992,3)="Pan"),1,"")</f>
        <v/>
      </c>
    </row>
    <row r="1992">
      <c r="S1992">
        <f>IF(AND(ISTEXT($A1992),ISNUMBER(SEARCH(" - ",$A1992)),ISERROR(SEARCH("Folio",$A1992)),$D1992=""),TRIM($A1992),$S1991)</f>
        <v/>
      </c>
      <c r="T1992">
        <f>IF(AND(ISNUMBER(SEARCH("Folio",$A1992)),$D1992&lt;&gt;""),1,"")</f>
        <v/>
      </c>
      <c r="U1992">
        <f>IF($T1992=1,COUNTIF($T$9:$T1992,1),"")</f>
        <v/>
      </c>
      <c r="V1992">
        <f>IF(AND(ISTEXT($A1992),LEFT($A1993,3)="Pan"),1,"")</f>
        <v/>
      </c>
    </row>
    <row r="1993">
      <c r="S1993">
        <f>IF(AND(ISTEXT($A1993),ISNUMBER(SEARCH(" - ",$A1993)),ISERROR(SEARCH("Folio",$A1993)),$D1993=""),TRIM($A1993),$S1992)</f>
        <v/>
      </c>
      <c r="T1993">
        <f>IF(AND(ISNUMBER(SEARCH("Folio",$A1993)),$D1993&lt;&gt;""),1,"")</f>
        <v/>
      </c>
      <c r="U1993">
        <f>IF($T1993=1,COUNTIF($T$9:$T1993,1),"")</f>
        <v/>
      </c>
      <c r="V1993">
        <f>IF(AND(ISTEXT($A1993),LEFT($A1994,3)="Pan"),1,"")</f>
        <v/>
      </c>
    </row>
    <row r="1994">
      <c r="S1994">
        <f>IF(AND(ISTEXT($A1994),ISNUMBER(SEARCH(" - ",$A1994)),ISERROR(SEARCH("Folio",$A1994)),$D1994=""),TRIM($A1994),$S1993)</f>
        <v/>
      </c>
      <c r="T1994">
        <f>IF(AND(ISNUMBER(SEARCH("Folio",$A1994)),$D1994&lt;&gt;""),1,"")</f>
        <v/>
      </c>
      <c r="U1994">
        <f>IF($T1994=1,COUNTIF($T$9:$T1994,1),"")</f>
        <v/>
      </c>
      <c r="V1994">
        <f>IF(AND(ISTEXT($A1994),LEFT($A1995,3)="Pan"),1,"")</f>
        <v/>
      </c>
    </row>
    <row r="1995">
      <c r="S1995">
        <f>IF(AND(ISTEXT($A1995),ISNUMBER(SEARCH(" - ",$A1995)),ISERROR(SEARCH("Folio",$A1995)),$D1995=""),TRIM($A1995),$S1994)</f>
        <v/>
      </c>
      <c r="T1995">
        <f>IF(AND(ISNUMBER(SEARCH("Folio",$A1995)),$D1995&lt;&gt;""),1,"")</f>
        <v/>
      </c>
      <c r="U1995">
        <f>IF($T1995=1,COUNTIF($T$9:$T1995,1),"")</f>
        <v/>
      </c>
      <c r="V1995">
        <f>IF(AND(ISTEXT($A1995),LEFT($A1996,3)="Pan"),1,"")</f>
        <v/>
      </c>
    </row>
    <row r="1996">
      <c r="S1996">
        <f>IF(AND(ISTEXT($A1996),ISNUMBER(SEARCH(" - ",$A1996)),ISERROR(SEARCH("Folio",$A1996)),$D1996=""),TRIM($A1996),$S1995)</f>
        <v/>
      </c>
      <c r="T1996">
        <f>IF(AND(ISNUMBER(SEARCH("Folio",$A1996)),$D1996&lt;&gt;""),1,"")</f>
        <v/>
      </c>
      <c r="U1996">
        <f>IF($T1996=1,COUNTIF($T$9:$T1996,1),"")</f>
        <v/>
      </c>
      <c r="V1996">
        <f>IF(AND(ISTEXT($A1996),LEFT($A1997,3)="Pan"),1,"")</f>
        <v/>
      </c>
    </row>
    <row r="1997">
      <c r="S1997">
        <f>IF(AND(ISTEXT($A1997),ISNUMBER(SEARCH(" - ",$A1997)),ISERROR(SEARCH("Folio",$A1997)),$D1997=""),TRIM($A1997),$S1996)</f>
        <v/>
      </c>
      <c r="T1997">
        <f>IF(AND(ISNUMBER(SEARCH("Folio",$A1997)),$D1997&lt;&gt;""),1,"")</f>
        <v/>
      </c>
      <c r="U1997">
        <f>IF($T1997=1,COUNTIF($T$9:$T1997,1),"")</f>
        <v/>
      </c>
      <c r="V1997">
        <f>IF(AND(ISTEXT($A1997),LEFT($A1998,3)="Pan"),1,"")</f>
        <v/>
      </c>
    </row>
    <row r="1998">
      <c r="S1998">
        <f>IF(AND(ISTEXT($A1998),ISNUMBER(SEARCH(" - ",$A1998)),ISERROR(SEARCH("Folio",$A1998)),$D1998=""),TRIM($A1998),$S1997)</f>
        <v/>
      </c>
      <c r="T1998">
        <f>IF(AND(ISNUMBER(SEARCH("Folio",$A1998)),$D1998&lt;&gt;""),1,"")</f>
        <v/>
      </c>
      <c r="U1998">
        <f>IF($T1998=1,COUNTIF($T$9:$T1998,1),"")</f>
        <v/>
      </c>
      <c r="V1998">
        <f>IF(AND(ISTEXT($A1998),LEFT($A1999,3)="Pan"),1,"")</f>
        <v/>
      </c>
    </row>
    <row r="1999">
      <c r="S1999">
        <f>IF(AND(ISTEXT($A1999),ISNUMBER(SEARCH(" - ",$A1999)),ISERROR(SEARCH("Folio",$A1999)),$D1999=""),TRIM($A1999),$S1998)</f>
        <v/>
      </c>
      <c r="T1999">
        <f>IF(AND(ISNUMBER(SEARCH("Folio",$A1999)),$D1999&lt;&gt;""),1,"")</f>
        <v/>
      </c>
      <c r="U1999">
        <f>IF($T1999=1,COUNTIF($T$9:$T1999,1),"")</f>
        <v/>
      </c>
      <c r="V1999">
        <f>IF(AND(ISTEXT($A1999),LEFT($A2000,3)="Pan"),1,"")</f>
        <v/>
      </c>
    </row>
    <row r="2000">
      <c r="S2000">
        <f>IF(AND(ISTEXT($A2000),ISNUMBER(SEARCH(" - ",$A2000)),ISERROR(SEARCH("Folio",$A2000)),$D2000=""),TRIM($A2000),$S1999)</f>
        <v/>
      </c>
      <c r="T2000">
        <f>IF(AND(ISNUMBER(SEARCH("Folio",$A2000)),$D2000&lt;&gt;""),1,"")</f>
        <v/>
      </c>
      <c r="U2000">
        <f>IF($T2000=1,COUNTIF($T$9:$T2000,1),"")</f>
        <v/>
      </c>
      <c r="V2000">
        <f>IF(AND(ISTEXT($A2000),LEFT($A2001,3)="Pan"),1,"")</f>
        <v/>
      </c>
    </row>
    <row r="2001">
      <c r="S2001">
        <f>IF(AND(ISTEXT($A2001),ISNUMBER(SEARCH(" - ",$A2001)),ISERROR(SEARCH("Folio",$A2001)),$D2001=""),TRIM($A2001),$S2000)</f>
        <v/>
      </c>
      <c r="T2001">
        <f>IF(AND(ISNUMBER(SEARCH("Folio",$A2001)),$D2001&lt;&gt;""),1,"")</f>
        <v/>
      </c>
      <c r="U2001">
        <f>IF($T2001=1,COUNTIF($T$9:$T2001,1),"")</f>
        <v/>
      </c>
      <c r="V2001">
        <f>IF(AND(ISTEXT($A2001),LEFT($A2002,3)="Pan"),1,"")</f>
        <v/>
      </c>
    </row>
    <row r="2002">
      <c r="S2002">
        <f>IF(AND(ISTEXT($A2002),ISNUMBER(SEARCH(" - ",$A2002)),ISERROR(SEARCH("Folio",$A2002)),$D2002=""),TRIM($A2002),$S2001)</f>
        <v/>
      </c>
      <c r="T2002">
        <f>IF(AND(ISNUMBER(SEARCH("Folio",$A2002)),$D2002&lt;&gt;""),1,"")</f>
        <v/>
      </c>
      <c r="U2002">
        <f>IF($T2002=1,COUNTIF($T$9:$T2002,1),"")</f>
        <v/>
      </c>
      <c r="V2002">
        <f>IF(AND(ISTEXT($A2002),LEFT($A2003,3)="Pan"),1,"")</f>
        <v/>
      </c>
    </row>
    <row r="2003">
      <c r="S2003">
        <f>IF(AND(ISTEXT($A2003),ISNUMBER(SEARCH(" - ",$A2003)),ISERROR(SEARCH("Folio",$A2003)),$D2003=""),TRIM($A2003),$S2002)</f>
        <v/>
      </c>
      <c r="T2003">
        <f>IF(AND(ISNUMBER(SEARCH("Folio",$A2003)),$D2003&lt;&gt;""),1,"")</f>
        <v/>
      </c>
      <c r="U2003">
        <f>IF($T2003=1,COUNTIF($T$9:$T2003,1),"")</f>
        <v/>
      </c>
      <c r="V2003">
        <f>IF(AND(ISTEXT($A2003),LEFT($A2004,3)="Pan"),1,"")</f>
        <v/>
      </c>
    </row>
    <row r="2004">
      <c r="S2004">
        <f>IF(AND(ISTEXT($A2004),ISNUMBER(SEARCH(" - ",$A2004)),ISERROR(SEARCH("Folio",$A2004)),$D2004=""),TRIM($A2004),$S2003)</f>
        <v/>
      </c>
      <c r="T2004">
        <f>IF(AND(ISNUMBER(SEARCH("Folio",$A2004)),$D2004&lt;&gt;""),1,"")</f>
        <v/>
      </c>
      <c r="U2004">
        <f>IF($T2004=1,COUNTIF($T$9:$T2004,1),"")</f>
        <v/>
      </c>
      <c r="V2004">
        <f>IF(AND(ISTEXT($A2004),LEFT($A2005,3)="Pan"),1,"")</f>
        <v/>
      </c>
    </row>
    <row r="2005">
      <c r="S2005">
        <f>IF(AND(ISTEXT($A2005),ISNUMBER(SEARCH(" - ",$A2005)),ISERROR(SEARCH("Folio",$A2005)),$D2005=""),TRIM($A2005),$S2004)</f>
        <v/>
      </c>
      <c r="T2005">
        <f>IF(AND(ISNUMBER(SEARCH("Folio",$A2005)),$D2005&lt;&gt;""),1,"")</f>
        <v/>
      </c>
      <c r="U2005">
        <f>IF($T2005=1,COUNTIF($T$9:$T2005,1),"")</f>
        <v/>
      </c>
      <c r="V2005">
        <f>IF(AND(ISTEXT($A2005),LEFT($A2006,3)="Pan"),1,"")</f>
        <v/>
      </c>
    </row>
    <row r="2006">
      <c r="S2006">
        <f>IF(AND(ISTEXT($A2006),ISNUMBER(SEARCH(" - ",$A2006)),ISERROR(SEARCH("Folio",$A2006)),$D2006=""),TRIM($A2006),$S2005)</f>
        <v/>
      </c>
      <c r="T2006">
        <f>IF(AND(ISNUMBER(SEARCH("Folio",$A2006)),$D2006&lt;&gt;""),1,"")</f>
        <v/>
      </c>
      <c r="U2006">
        <f>IF($T2006=1,COUNTIF($T$9:$T2006,1),"")</f>
        <v/>
      </c>
      <c r="V2006">
        <f>IF(AND(ISTEXT($A2006),LEFT($A2007,3)="Pan"),1,"")</f>
        <v/>
      </c>
    </row>
    <row r="2007">
      <c r="S2007">
        <f>IF(AND(ISTEXT($A2007),ISNUMBER(SEARCH(" - ",$A2007)),ISERROR(SEARCH("Folio",$A2007)),$D2007=""),TRIM($A2007),$S2006)</f>
        <v/>
      </c>
      <c r="T2007">
        <f>IF(AND(ISNUMBER(SEARCH("Folio",$A2007)),$D2007&lt;&gt;""),1,"")</f>
        <v/>
      </c>
      <c r="U2007">
        <f>IF($T2007=1,COUNTIF($T$9:$T2007,1),"")</f>
        <v/>
      </c>
      <c r="V2007">
        <f>IF(AND(ISTEXT($A2007),LEFT($A2008,3)="Pan"),1,"")</f>
        <v/>
      </c>
    </row>
    <row r="2008">
      <c r="S2008">
        <f>IF(AND(ISTEXT($A2008),ISNUMBER(SEARCH(" - ",$A2008)),ISERROR(SEARCH("Folio",$A2008)),$D2008=""),TRIM($A2008),$S2007)</f>
        <v/>
      </c>
      <c r="T2008">
        <f>IF(AND(ISNUMBER(SEARCH("Folio",$A2008)),$D2008&lt;&gt;""),1,"")</f>
        <v/>
      </c>
      <c r="U2008">
        <f>IF($T2008=1,COUNTIF($T$9:$T2008,1),"")</f>
        <v/>
      </c>
      <c r="V2008">
        <f>IF(AND(ISTEXT($A2008),LEFT($A2009,3)="Pan"),1,"")</f>
        <v/>
      </c>
    </row>
  </sheetData>
  <mergeCells count="7">
    <mergeCell ref="B7:P7"/>
    <mergeCell ref="X7:AL7"/>
    <mergeCell ref="B6:P6"/>
    <mergeCell ref="A1:P1"/>
    <mergeCell ref="B5:P5"/>
    <mergeCell ref="B4:P4"/>
    <mergeCell ref="A2:P2"/>
  </mergeCells>
  <dataValidations count="1">
    <dataValidation sqref="R5" showDropDown="0" showInputMessage="0" showErrorMessage="0" allowBlank="1" type="list">
      <formula1>Clients!$B$4:$B$203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0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46" customWidth="1" min="3" max="3"/>
    <col width="18" customWidth="1" min="4" max="4"/>
    <col width="12" customWidth="1" min="5" max="5"/>
    <col width="16" customWidth="1" min="6" max="6"/>
    <col width="16" customWidth="1" min="7" max="7"/>
    <col width="13" customWidth="1" min="8" max="8"/>
    <col width="15" customWidth="1" min="9" max="9"/>
    <col width="15" customWidth="1" min="10" max="10"/>
    <col width="12" customWidth="1" min="11" max="11"/>
    <col width="17" customWidth="1" min="12" max="12"/>
    <col width="14" customWidth="1" min="13" max="13"/>
    <col width="13" customWidth="1" min="14" max="14"/>
    <col width="10" customWidth="1" min="15" max="15"/>
    <col width="12" customWidth="1" min="16" max="16"/>
    <col width="17" customWidth="1" min="17" max="17"/>
    <col width="16" customWidth="1" min="18" max="18"/>
    <col width="16" customWidth="1" min="19" max="19"/>
    <col width="11" customWidth="1" min="20" max="20"/>
    <col width="10" customWidth="1" min="21" max="21"/>
    <col hidden="1" width="9" customWidth="1" min="22" max="22"/>
  </cols>
  <sheetData>
    <row r="1" ht="26" customHeight="1">
      <c r="A1" s="1" t="inlineStr">
        <is>
          <t>SCHEME-WISE INVESTMENT REGISTER</t>
        </is>
      </c>
    </row>
    <row r="2" ht="16" customHeight="1">
      <c r="A2" s="2" t="inlineStr">
        <is>
          <t>One row per scheme per client. Columns A to O are one unbroken paste block; P to V calculate themselves.</t>
        </is>
      </c>
    </row>
    <row r="4">
      <c r="A4" s="33" t="inlineStr">
        <is>
          <t>▼ A to O are one block - paste all 15 columns in one go (the Import Report sheet prepares them for you)</t>
        </is>
      </c>
      <c r="P4" s="33" t="inlineStr">
        <is>
          <t>▼ calculated - never paste over these</t>
        </is>
      </c>
    </row>
    <row r="5" ht="34" customHeight="1">
      <c r="A5" s="8" t="inlineStr">
        <is>
          <t>Client Name</t>
        </is>
      </c>
      <c r="B5" s="8" t="inlineStr">
        <is>
          <t>Category</t>
        </is>
      </c>
      <c r="C5" s="8" t="inlineStr">
        <is>
          <t>Scheme Name</t>
        </is>
      </c>
      <c r="D5" s="8" t="inlineStr">
        <is>
          <t>Folio No.</t>
        </is>
      </c>
      <c r="E5" s="8" t="inlineStr">
        <is>
          <t>Inv. Since</t>
        </is>
      </c>
      <c r="F5" s="8" t="inlineStr">
        <is>
          <t>Purchase</t>
        </is>
      </c>
      <c r="G5" s="8" t="inlineStr">
        <is>
          <t>Switch In</t>
        </is>
      </c>
      <c r="H5" s="8" t="inlineStr">
        <is>
          <t>Div Reinv</t>
        </is>
      </c>
      <c r="I5" s="8" t="inlineStr">
        <is>
          <t>Redemption</t>
        </is>
      </c>
      <c r="J5" s="8" t="inlineStr">
        <is>
          <t>Switch Out</t>
        </is>
      </c>
      <c r="K5" s="8" t="inlineStr">
        <is>
          <t>Div Pay</t>
        </is>
      </c>
      <c r="L5" s="8" t="inlineStr">
        <is>
          <t>Cur. Value</t>
        </is>
      </c>
      <c r="M5" s="8" t="inlineStr">
        <is>
          <t>Cur. Units</t>
        </is>
      </c>
      <c r="N5" s="8" t="inlineStr">
        <is>
          <t>Cur. NAV</t>
        </is>
      </c>
      <c r="O5" s="8" t="inlineStr">
        <is>
          <t>XIRR</t>
        </is>
      </c>
      <c r="P5" s="8" t="inlineStr">
        <is>
          <t>Asset Class</t>
        </is>
      </c>
      <c r="Q5" s="8" t="inlineStr">
        <is>
          <t>Total Invested</t>
        </is>
      </c>
      <c r="R5" s="8" t="inlineStr">
        <is>
          <t>Withdrawn</t>
        </is>
      </c>
      <c r="S5" s="8" t="inlineStr">
        <is>
          <t>Gain / Loss</t>
        </is>
      </c>
      <c r="T5" s="8" t="inlineStr">
        <is>
          <t>Abs. Rtn.</t>
        </is>
      </c>
      <c r="U5" s="8" t="inlineStr">
        <is>
          <t>Status</t>
        </is>
      </c>
      <c r="V5" s="8" t="inlineStr">
        <is>
          <t>Rpt. Idx</t>
        </is>
      </c>
    </row>
    <row r="6">
      <c r="A6" s="9" t="inlineStr">
        <is>
          <t>Sample Client (EXAMPLE)</t>
        </is>
      </c>
      <c r="B6" s="9" t="inlineStr">
        <is>
          <t>Debt - Low Duration Fund</t>
        </is>
      </c>
      <c r="C6" s="9" t="inlineStr">
        <is>
          <t>Bluechip Low Duration Fund - Regular Plan - Growth</t>
        </is>
      </c>
      <c r="D6" s="9" t="inlineStr">
        <is>
          <t>1910625/49</t>
        </is>
      </c>
      <c r="E6" s="10" t="inlineStr">
        <is>
          <t>2021-06-01</t>
        </is>
      </c>
      <c r="F6" s="34" t="n"/>
      <c r="G6" s="35" t="n">
        <v>190000</v>
      </c>
      <c r="H6" s="34" t="n"/>
      <c r="I6" s="34" t="n"/>
      <c r="J6" s="35" t="n">
        <v>195243.79</v>
      </c>
      <c r="K6" s="34" t="n"/>
      <c r="L6" s="34" t="n"/>
      <c r="M6" s="36" t="n"/>
      <c r="N6" s="37" t="n">
        <v>41.2489</v>
      </c>
      <c r="O6" s="38" t="n">
        <v>0.038</v>
      </c>
      <c r="P6" s="27">
        <f>IF($B6="","",IFERROR(TRIM(LEFT($B6,FIND(" - ",$B6)-1)),"Others"))</f>
        <v/>
      </c>
      <c r="Q6" s="39">
        <f>IF($A6="","",SUM($F6:$H6))</f>
        <v/>
      </c>
      <c r="R6" s="39">
        <f>IF($A6="","",SUM($I6:$K6))</f>
        <v/>
      </c>
      <c r="S6" s="39">
        <f>IF($A6="","",($L6+$R6)-$Q6)</f>
        <v/>
      </c>
      <c r="T6" s="31">
        <f>IF(OR($A6="",$Q6=0),"",$S6/$Q6)</f>
        <v/>
      </c>
      <c r="U6" s="27">
        <f>IF($A6="","",IF($L6&gt;0,"Live","Exited"))</f>
        <v/>
      </c>
      <c r="V6" s="40">
        <f>IF($A6="","",IF($A6='Client Report'!$C$4,COUNTIFS($A$6:$A6,'Client Report'!$C$4),""))</f>
        <v/>
      </c>
    </row>
    <row r="7">
      <c r="A7" s="11" t="n"/>
      <c r="B7" s="11" t="n"/>
      <c r="C7" s="11" t="n"/>
      <c r="D7" s="11" t="n"/>
      <c r="E7" s="12" t="n"/>
      <c r="F7" s="34" t="n"/>
      <c r="G7" s="34" t="n"/>
      <c r="H7" s="34" t="n"/>
      <c r="I7" s="34" t="n"/>
      <c r="J7" s="34" t="n"/>
      <c r="K7" s="34" t="n"/>
      <c r="L7" s="34" t="n"/>
      <c r="M7" s="36" t="n"/>
      <c r="N7" s="36" t="n"/>
      <c r="O7" s="41" t="n"/>
      <c r="P7" s="27">
        <f>IF($B7="","",IFERROR(TRIM(LEFT($B7,FIND(" - ",$B7)-1)),"Others"))</f>
        <v/>
      </c>
      <c r="Q7" s="39">
        <f>IF($A7="","",SUM($F7:$H7))</f>
        <v/>
      </c>
      <c r="R7" s="39">
        <f>IF($A7="","",SUM($I7:$K7))</f>
        <v/>
      </c>
      <c r="S7" s="39">
        <f>IF($A7="","",($L7+$R7)-$Q7)</f>
        <v/>
      </c>
      <c r="T7" s="31">
        <f>IF(OR($A7="",$Q7=0),"",$S7/$Q7)</f>
        <v/>
      </c>
      <c r="U7" s="27">
        <f>IF($A7="","",IF($L7&gt;0,"Live","Exited"))</f>
        <v/>
      </c>
      <c r="V7" s="40">
        <f>IF($A7="","",IF($A7='Client Report'!$C$4,COUNTIFS($A$6:$A7,'Client Report'!$C$4),""))</f>
        <v/>
      </c>
    </row>
    <row r="8">
      <c r="A8" s="11" t="n"/>
      <c r="B8" s="11" t="n"/>
      <c r="C8" s="11" t="n"/>
      <c r="D8" s="11" t="n"/>
      <c r="E8" s="12" t="n"/>
      <c r="F8" s="34" t="n"/>
      <c r="G8" s="34" t="n"/>
      <c r="H8" s="34" t="n"/>
      <c r="I8" s="34" t="n"/>
      <c r="J8" s="34" t="n"/>
      <c r="K8" s="34" t="n"/>
      <c r="L8" s="34" t="n"/>
      <c r="M8" s="36" t="n"/>
      <c r="N8" s="36" t="n"/>
      <c r="O8" s="41" t="n"/>
      <c r="P8" s="27">
        <f>IF($B8="","",IFERROR(TRIM(LEFT($B8,FIND(" - ",$B8)-1)),"Others"))</f>
        <v/>
      </c>
      <c r="Q8" s="39">
        <f>IF($A8="","",SUM($F8:$H8))</f>
        <v/>
      </c>
      <c r="R8" s="39">
        <f>IF($A8="","",SUM($I8:$K8))</f>
        <v/>
      </c>
      <c r="S8" s="39">
        <f>IF($A8="","",($L8+$R8)-$Q8)</f>
        <v/>
      </c>
      <c r="T8" s="31">
        <f>IF(OR($A8="",$Q8=0),"",$S8/$Q8)</f>
        <v/>
      </c>
      <c r="U8" s="27">
        <f>IF($A8="","",IF($L8&gt;0,"Live","Exited"))</f>
        <v/>
      </c>
      <c r="V8" s="40">
        <f>IF($A8="","",IF($A8='Client Report'!$C$4,COUNTIFS($A$6:$A8,'Client Report'!$C$4),""))</f>
        <v/>
      </c>
    </row>
    <row r="9">
      <c r="A9" s="11" t="n"/>
      <c r="B9" s="11" t="n"/>
      <c r="C9" s="11" t="n"/>
      <c r="D9" s="11" t="n"/>
      <c r="E9" s="12" t="n"/>
      <c r="F9" s="34" t="n"/>
      <c r="G9" s="34" t="n"/>
      <c r="H9" s="34" t="n"/>
      <c r="I9" s="34" t="n"/>
      <c r="J9" s="34" t="n"/>
      <c r="K9" s="34" t="n"/>
      <c r="L9" s="34" t="n"/>
      <c r="M9" s="36" t="n"/>
      <c r="N9" s="36" t="n"/>
      <c r="O9" s="41" t="n"/>
      <c r="P9" s="27">
        <f>IF($B9="","",IFERROR(TRIM(LEFT($B9,FIND(" - ",$B9)-1)),"Others"))</f>
        <v/>
      </c>
      <c r="Q9" s="39">
        <f>IF($A9="","",SUM($F9:$H9))</f>
        <v/>
      </c>
      <c r="R9" s="39">
        <f>IF($A9="","",SUM($I9:$K9))</f>
        <v/>
      </c>
      <c r="S9" s="39">
        <f>IF($A9="","",($L9+$R9)-$Q9)</f>
        <v/>
      </c>
      <c r="T9" s="31">
        <f>IF(OR($A9="",$Q9=0),"",$S9/$Q9)</f>
        <v/>
      </c>
      <c r="U9" s="27">
        <f>IF($A9="","",IF($L9&gt;0,"Live","Exited"))</f>
        <v/>
      </c>
      <c r="V9" s="40">
        <f>IF($A9="","",IF($A9='Client Report'!$C$4,COUNTIFS($A$6:$A9,'Client Report'!$C$4),""))</f>
        <v/>
      </c>
    </row>
    <row r="10">
      <c r="A10" s="11" t="n"/>
      <c r="B10" s="11" t="n"/>
      <c r="C10" s="11" t="n"/>
      <c r="D10" s="11" t="n"/>
      <c r="E10" s="12" t="n"/>
      <c r="F10" s="34" t="n"/>
      <c r="G10" s="34" t="n"/>
      <c r="H10" s="34" t="n"/>
      <c r="I10" s="34" t="n"/>
      <c r="J10" s="34" t="n"/>
      <c r="K10" s="34" t="n"/>
      <c r="L10" s="34" t="n"/>
      <c r="M10" s="36" t="n"/>
      <c r="N10" s="36" t="n"/>
      <c r="O10" s="41" t="n"/>
      <c r="P10" s="27">
        <f>IF($B10="","",IFERROR(TRIM(LEFT($B10,FIND(" - ",$B10)-1)),"Others"))</f>
        <v/>
      </c>
      <c r="Q10" s="39">
        <f>IF($A10="","",SUM($F10:$H10))</f>
        <v/>
      </c>
      <c r="R10" s="39">
        <f>IF($A10="","",SUM($I10:$K10))</f>
        <v/>
      </c>
      <c r="S10" s="39">
        <f>IF($A10="","",($L10+$R10)-$Q10)</f>
        <v/>
      </c>
      <c r="T10" s="31">
        <f>IF(OR($A10="",$Q10=0),"",$S10/$Q10)</f>
        <v/>
      </c>
      <c r="U10" s="27">
        <f>IF($A10="","",IF($L10&gt;0,"Live","Exited"))</f>
        <v/>
      </c>
      <c r="V10" s="40">
        <f>IF($A10="","",IF($A10='Client Report'!$C$4,COUNTIFS($A$6:$A10,'Client Report'!$C$4),""))</f>
        <v/>
      </c>
    </row>
    <row r="11">
      <c r="A11" s="11" t="n"/>
      <c r="B11" s="11" t="n"/>
      <c r="C11" s="11" t="n"/>
      <c r="D11" s="11" t="n"/>
      <c r="E11" s="12" t="n"/>
      <c r="F11" s="34" t="n"/>
      <c r="G11" s="34" t="n"/>
      <c r="H11" s="34" t="n"/>
      <c r="I11" s="34" t="n"/>
      <c r="J11" s="34" t="n"/>
      <c r="K11" s="34" t="n"/>
      <c r="L11" s="34" t="n"/>
      <c r="M11" s="36" t="n"/>
      <c r="N11" s="36" t="n"/>
      <c r="O11" s="41" t="n"/>
      <c r="P11" s="27">
        <f>IF($B11="","",IFERROR(TRIM(LEFT($B11,FIND(" - ",$B11)-1)),"Others"))</f>
        <v/>
      </c>
      <c r="Q11" s="39">
        <f>IF($A11="","",SUM($F11:$H11))</f>
        <v/>
      </c>
      <c r="R11" s="39">
        <f>IF($A11="","",SUM($I11:$K11))</f>
        <v/>
      </c>
      <c r="S11" s="39">
        <f>IF($A11="","",($L11+$R11)-$Q11)</f>
        <v/>
      </c>
      <c r="T11" s="31">
        <f>IF(OR($A11="",$Q11=0),"",$S11/$Q11)</f>
        <v/>
      </c>
      <c r="U11" s="27">
        <f>IF($A11="","",IF($L11&gt;0,"Live","Exited"))</f>
        <v/>
      </c>
      <c r="V11" s="40">
        <f>IF($A11="","",IF($A11='Client Report'!$C$4,COUNTIFS($A$6:$A11,'Client Report'!$C$4),""))</f>
        <v/>
      </c>
    </row>
    <row r="12">
      <c r="A12" s="11" t="n"/>
      <c r="B12" s="11" t="n"/>
      <c r="C12" s="11" t="n"/>
      <c r="D12" s="11" t="n"/>
      <c r="E12" s="12" t="n"/>
      <c r="F12" s="34" t="n"/>
      <c r="G12" s="34" t="n"/>
      <c r="H12" s="34" t="n"/>
      <c r="I12" s="34" t="n"/>
      <c r="J12" s="34" t="n"/>
      <c r="K12" s="34" t="n"/>
      <c r="L12" s="34" t="n"/>
      <c r="M12" s="36" t="n"/>
      <c r="N12" s="36" t="n"/>
      <c r="O12" s="41" t="n"/>
      <c r="P12" s="27">
        <f>IF($B12="","",IFERROR(TRIM(LEFT($B12,FIND(" - ",$B12)-1)),"Others"))</f>
        <v/>
      </c>
      <c r="Q12" s="39">
        <f>IF($A12="","",SUM($F12:$H12))</f>
        <v/>
      </c>
      <c r="R12" s="39">
        <f>IF($A12="","",SUM($I12:$K12))</f>
        <v/>
      </c>
      <c r="S12" s="39">
        <f>IF($A12="","",($L12+$R12)-$Q12)</f>
        <v/>
      </c>
      <c r="T12" s="31">
        <f>IF(OR($A12="",$Q12=0),"",$S12/$Q12)</f>
        <v/>
      </c>
      <c r="U12" s="27">
        <f>IF($A12="","",IF($L12&gt;0,"Live","Exited"))</f>
        <v/>
      </c>
      <c r="V12" s="40">
        <f>IF($A12="","",IF($A12='Client Report'!$C$4,COUNTIFS($A$6:$A12,'Client Report'!$C$4),""))</f>
        <v/>
      </c>
    </row>
    <row r="13">
      <c r="A13" s="11" t="n"/>
      <c r="B13" s="11" t="n"/>
      <c r="C13" s="11" t="n"/>
      <c r="D13" s="11" t="n"/>
      <c r="E13" s="12" t="n"/>
      <c r="F13" s="34" t="n"/>
      <c r="G13" s="34" t="n"/>
      <c r="H13" s="34" t="n"/>
      <c r="I13" s="34" t="n"/>
      <c r="J13" s="34" t="n"/>
      <c r="K13" s="34" t="n"/>
      <c r="L13" s="34" t="n"/>
      <c r="M13" s="36" t="n"/>
      <c r="N13" s="36" t="n"/>
      <c r="O13" s="41" t="n"/>
      <c r="P13" s="27">
        <f>IF($B13="","",IFERROR(TRIM(LEFT($B13,FIND(" - ",$B13)-1)),"Others"))</f>
        <v/>
      </c>
      <c r="Q13" s="39">
        <f>IF($A13="","",SUM($F13:$H13))</f>
        <v/>
      </c>
      <c r="R13" s="39">
        <f>IF($A13="","",SUM($I13:$K13))</f>
        <v/>
      </c>
      <c r="S13" s="39">
        <f>IF($A13="","",($L13+$R13)-$Q13)</f>
        <v/>
      </c>
      <c r="T13" s="31">
        <f>IF(OR($A13="",$Q13=0),"",$S13/$Q13)</f>
        <v/>
      </c>
      <c r="U13" s="27">
        <f>IF($A13="","",IF($L13&gt;0,"Live","Exited"))</f>
        <v/>
      </c>
      <c r="V13" s="40">
        <f>IF($A13="","",IF($A13='Client Report'!$C$4,COUNTIFS($A$6:$A13,'Client Report'!$C$4),""))</f>
        <v/>
      </c>
    </row>
    <row r="14">
      <c r="A14" s="11" t="n"/>
      <c r="B14" s="11" t="n"/>
      <c r="C14" s="11" t="n"/>
      <c r="D14" s="11" t="n"/>
      <c r="E14" s="12" t="n"/>
      <c r="F14" s="34" t="n"/>
      <c r="G14" s="34" t="n"/>
      <c r="H14" s="34" t="n"/>
      <c r="I14" s="34" t="n"/>
      <c r="J14" s="34" t="n"/>
      <c r="K14" s="34" t="n"/>
      <c r="L14" s="34" t="n"/>
      <c r="M14" s="36" t="n"/>
      <c r="N14" s="36" t="n"/>
      <c r="O14" s="41" t="n"/>
      <c r="P14" s="27">
        <f>IF($B14="","",IFERROR(TRIM(LEFT($B14,FIND(" - ",$B14)-1)),"Others"))</f>
        <v/>
      </c>
      <c r="Q14" s="39">
        <f>IF($A14="","",SUM($F14:$H14))</f>
        <v/>
      </c>
      <c r="R14" s="39">
        <f>IF($A14="","",SUM($I14:$K14))</f>
        <v/>
      </c>
      <c r="S14" s="39">
        <f>IF($A14="","",($L14+$R14)-$Q14)</f>
        <v/>
      </c>
      <c r="T14" s="31">
        <f>IF(OR($A14="",$Q14=0),"",$S14/$Q14)</f>
        <v/>
      </c>
      <c r="U14" s="27">
        <f>IF($A14="","",IF($L14&gt;0,"Live","Exited"))</f>
        <v/>
      </c>
      <c r="V14" s="40">
        <f>IF($A14="","",IF($A14='Client Report'!$C$4,COUNTIFS($A$6:$A14,'Client Report'!$C$4),""))</f>
        <v/>
      </c>
    </row>
    <row r="15">
      <c r="A15" s="11" t="n"/>
      <c r="B15" s="11" t="n"/>
      <c r="C15" s="11" t="n"/>
      <c r="D15" s="11" t="n"/>
      <c r="E15" s="12" t="n"/>
      <c r="F15" s="34" t="n"/>
      <c r="G15" s="34" t="n"/>
      <c r="H15" s="34" t="n"/>
      <c r="I15" s="34" t="n"/>
      <c r="J15" s="34" t="n"/>
      <c r="K15" s="34" t="n"/>
      <c r="L15" s="34" t="n"/>
      <c r="M15" s="36" t="n"/>
      <c r="N15" s="36" t="n"/>
      <c r="O15" s="41" t="n"/>
      <c r="P15" s="27">
        <f>IF($B15="","",IFERROR(TRIM(LEFT($B15,FIND(" - ",$B15)-1)),"Others"))</f>
        <v/>
      </c>
      <c r="Q15" s="39">
        <f>IF($A15="","",SUM($F15:$H15))</f>
        <v/>
      </c>
      <c r="R15" s="39">
        <f>IF($A15="","",SUM($I15:$K15))</f>
        <v/>
      </c>
      <c r="S15" s="39">
        <f>IF($A15="","",($L15+$R15)-$Q15)</f>
        <v/>
      </c>
      <c r="T15" s="31">
        <f>IF(OR($A15="",$Q15=0),"",$S15/$Q15)</f>
        <v/>
      </c>
      <c r="U15" s="27">
        <f>IF($A15="","",IF($L15&gt;0,"Live","Exited"))</f>
        <v/>
      </c>
      <c r="V15" s="40">
        <f>IF($A15="","",IF($A15='Client Report'!$C$4,COUNTIFS($A$6:$A15,'Client Report'!$C$4),""))</f>
        <v/>
      </c>
    </row>
    <row r="16">
      <c r="A16" s="11" t="n"/>
      <c r="B16" s="11" t="n"/>
      <c r="C16" s="11" t="n"/>
      <c r="D16" s="11" t="n"/>
      <c r="E16" s="12" t="n"/>
      <c r="F16" s="34" t="n"/>
      <c r="G16" s="34" t="n"/>
      <c r="H16" s="34" t="n"/>
      <c r="I16" s="34" t="n"/>
      <c r="J16" s="34" t="n"/>
      <c r="K16" s="34" t="n"/>
      <c r="L16" s="34" t="n"/>
      <c r="M16" s="36" t="n"/>
      <c r="N16" s="36" t="n"/>
      <c r="O16" s="41" t="n"/>
      <c r="P16" s="27">
        <f>IF($B16="","",IFERROR(TRIM(LEFT($B16,FIND(" - ",$B16)-1)),"Others"))</f>
        <v/>
      </c>
      <c r="Q16" s="39">
        <f>IF($A16="","",SUM($F16:$H16))</f>
        <v/>
      </c>
      <c r="R16" s="39">
        <f>IF($A16="","",SUM($I16:$K16))</f>
        <v/>
      </c>
      <c r="S16" s="39">
        <f>IF($A16="","",($L16+$R16)-$Q16)</f>
        <v/>
      </c>
      <c r="T16" s="31">
        <f>IF(OR($A16="",$Q16=0),"",$S16/$Q16)</f>
        <v/>
      </c>
      <c r="U16" s="27">
        <f>IF($A16="","",IF($L16&gt;0,"Live","Exited"))</f>
        <v/>
      </c>
      <c r="V16" s="40">
        <f>IF($A16="","",IF($A16='Client Report'!$C$4,COUNTIFS($A$6:$A16,'Client Report'!$C$4),""))</f>
        <v/>
      </c>
    </row>
    <row r="17">
      <c r="A17" s="11" t="n"/>
      <c r="B17" s="11" t="n"/>
      <c r="C17" s="11" t="n"/>
      <c r="D17" s="11" t="n"/>
      <c r="E17" s="12" t="n"/>
      <c r="F17" s="34" t="n"/>
      <c r="G17" s="34" t="n"/>
      <c r="H17" s="34" t="n"/>
      <c r="I17" s="34" t="n"/>
      <c r="J17" s="34" t="n"/>
      <c r="K17" s="34" t="n"/>
      <c r="L17" s="34" t="n"/>
      <c r="M17" s="36" t="n"/>
      <c r="N17" s="36" t="n"/>
      <c r="O17" s="41" t="n"/>
      <c r="P17" s="27">
        <f>IF($B17="","",IFERROR(TRIM(LEFT($B17,FIND(" - ",$B17)-1)),"Others"))</f>
        <v/>
      </c>
      <c r="Q17" s="39">
        <f>IF($A17="","",SUM($F17:$H17))</f>
        <v/>
      </c>
      <c r="R17" s="39">
        <f>IF($A17="","",SUM($I17:$K17))</f>
        <v/>
      </c>
      <c r="S17" s="39">
        <f>IF($A17="","",($L17+$R17)-$Q17)</f>
        <v/>
      </c>
      <c r="T17" s="31">
        <f>IF(OR($A17="",$Q17=0),"",$S17/$Q17)</f>
        <v/>
      </c>
      <c r="U17" s="27">
        <f>IF($A17="","",IF($L17&gt;0,"Live","Exited"))</f>
        <v/>
      </c>
      <c r="V17" s="40">
        <f>IF($A17="","",IF($A17='Client Report'!$C$4,COUNTIFS($A$6:$A17,'Client Report'!$C$4),""))</f>
        <v/>
      </c>
    </row>
    <row r="18">
      <c r="A18" s="11" t="n"/>
      <c r="B18" s="11" t="n"/>
      <c r="C18" s="11" t="n"/>
      <c r="D18" s="11" t="n"/>
      <c r="E18" s="12" t="n"/>
      <c r="F18" s="34" t="n"/>
      <c r="G18" s="34" t="n"/>
      <c r="H18" s="34" t="n"/>
      <c r="I18" s="34" t="n"/>
      <c r="J18" s="34" t="n"/>
      <c r="K18" s="34" t="n"/>
      <c r="L18" s="34" t="n"/>
      <c r="M18" s="36" t="n"/>
      <c r="N18" s="36" t="n"/>
      <c r="O18" s="41" t="n"/>
      <c r="P18" s="27">
        <f>IF($B18="","",IFERROR(TRIM(LEFT($B18,FIND(" - ",$B18)-1)),"Others"))</f>
        <v/>
      </c>
      <c r="Q18" s="39">
        <f>IF($A18="","",SUM($F18:$H18))</f>
        <v/>
      </c>
      <c r="R18" s="39">
        <f>IF($A18="","",SUM($I18:$K18))</f>
        <v/>
      </c>
      <c r="S18" s="39">
        <f>IF($A18="","",($L18+$R18)-$Q18)</f>
        <v/>
      </c>
      <c r="T18" s="31">
        <f>IF(OR($A18="",$Q18=0),"",$S18/$Q18)</f>
        <v/>
      </c>
      <c r="U18" s="27">
        <f>IF($A18="","",IF($L18&gt;0,"Live","Exited"))</f>
        <v/>
      </c>
      <c r="V18" s="40">
        <f>IF($A18="","",IF($A18='Client Report'!$C$4,COUNTIFS($A$6:$A18,'Client Report'!$C$4),""))</f>
        <v/>
      </c>
    </row>
    <row r="19">
      <c r="A19" s="11" t="n"/>
      <c r="B19" s="11" t="n"/>
      <c r="C19" s="11" t="n"/>
      <c r="D19" s="11" t="n"/>
      <c r="E19" s="12" t="n"/>
      <c r="F19" s="34" t="n"/>
      <c r="G19" s="34" t="n"/>
      <c r="H19" s="34" t="n"/>
      <c r="I19" s="34" t="n"/>
      <c r="J19" s="34" t="n"/>
      <c r="K19" s="34" t="n"/>
      <c r="L19" s="34" t="n"/>
      <c r="M19" s="36" t="n"/>
      <c r="N19" s="36" t="n"/>
      <c r="O19" s="41" t="n"/>
      <c r="P19" s="27">
        <f>IF($B19="","",IFERROR(TRIM(LEFT($B19,FIND(" - ",$B19)-1)),"Others"))</f>
        <v/>
      </c>
      <c r="Q19" s="39">
        <f>IF($A19="","",SUM($F19:$H19))</f>
        <v/>
      </c>
      <c r="R19" s="39">
        <f>IF($A19="","",SUM($I19:$K19))</f>
        <v/>
      </c>
      <c r="S19" s="39">
        <f>IF($A19="","",($L19+$R19)-$Q19)</f>
        <v/>
      </c>
      <c r="T19" s="31">
        <f>IF(OR($A19="",$Q19=0),"",$S19/$Q19)</f>
        <v/>
      </c>
      <c r="U19" s="27">
        <f>IF($A19="","",IF($L19&gt;0,"Live","Exited"))</f>
        <v/>
      </c>
      <c r="V19" s="40">
        <f>IF($A19="","",IF($A19='Client Report'!$C$4,COUNTIFS($A$6:$A19,'Client Report'!$C$4),""))</f>
        <v/>
      </c>
    </row>
    <row r="20">
      <c r="A20" s="11" t="n"/>
      <c r="B20" s="11" t="n"/>
      <c r="C20" s="11" t="n"/>
      <c r="D20" s="11" t="n"/>
      <c r="E20" s="12" t="n"/>
      <c r="F20" s="34" t="n"/>
      <c r="G20" s="34" t="n"/>
      <c r="H20" s="34" t="n"/>
      <c r="I20" s="34" t="n"/>
      <c r="J20" s="34" t="n"/>
      <c r="K20" s="34" t="n"/>
      <c r="L20" s="34" t="n"/>
      <c r="M20" s="36" t="n"/>
      <c r="N20" s="36" t="n"/>
      <c r="O20" s="41" t="n"/>
      <c r="P20" s="27">
        <f>IF($B20="","",IFERROR(TRIM(LEFT($B20,FIND(" - ",$B20)-1)),"Others"))</f>
        <v/>
      </c>
      <c r="Q20" s="39">
        <f>IF($A20="","",SUM($F20:$H20))</f>
        <v/>
      </c>
      <c r="R20" s="39">
        <f>IF($A20="","",SUM($I20:$K20))</f>
        <v/>
      </c>
      <c r="S20" s="39">
        <f>IF($A20="","",($L20+$R20)-$Q20)</f>
        <v/>
      </c>
      <c r="T20" s="31">
        <f>IF(OR($A20="",$Q20=0),"",$S20/$Q20)</f>
        <v/>
      </c>
      <c r="U20" s="27">
        <f>IF($A20="","",IF($L20&gt;0,"Live","Exited"))</f>
        <v/>
      </c>
      <c r="V20" s="40">
        <f>IF($A20="","",IF($A20='Client Report'!$C$4,COUNTIFS($A$6:$A20,'Client Report'!$C$4),""))</f>
        <v/>
      </c>
    </row>
    <row r="21">
      <c r="A21" s="11" t="n"/>
      <c r="B21" s="11" t="n"/>
      <c r="C21" s="11" t="n"/>
      <c r="D21" s="11" t="n"/>
      <c r="E21" s="12" t="n"/>
      <c r="F21" s="34" t="n"/>
      <c r="G21" s="34" t="n"/>
      <c r="H21" s="34" t="n"/>
      <c r="I21" s="34" t="n"/>
      <c r="J21" s="34" t="n"/>
      <c r="K21" s="34" t="n"/>
      <c r="L21" s="34" t="n"/>
      <c r="M21" s="36" t="n"/>
      <c r="N21" s="36" t="n"/>
      <c r="O21" s="41" t="n"/>
      <c r="P21" s="27">
        <f>IF($B21="","",IFERROR(TRIM(LEFT($B21,FIND(" - ",$B21)-1)),"Others"))</f>
        <v/>
      </c>
      <c r="Q21" s="39">
        <f>IF($A21="","",SUM($F21:$H21))</f>
        <v/>
      </c>
      <c r="R21" s="39">
        <f>IF($A21="","",SUM($I21:$K21))</f>
        <v/>
      </c>
      <c r="S21" s="39">
        <f>IF($A21="","",($L21+$R21)-$Q21)</f>
        <v/>
      </c>
      <c r="T21" s="31">
        <f>IF(OR($A21="",$Q21=0),"",$S21/$Q21)</f>
        <v/>
      </c>
      <c r="U21" s="27">
        <f>IF($A21="","",IF($L21&gt;0,"Live","Exited"))</f>
        <v/>
      </c>
      <c r="V21" s="40">
        <f>IF($A21="","",IF($A21='Client Report'!$C$4,COUNTIFS($A$6:$A21,'Client Report'!$C$4),""))</f>
        <v/>
      </c>
    </row>
    <row r="22">
      <c r="A22" s="11" t="n"/>
      <c r="B22" s="11" t="n"/>
      <c r="C22" s="11" t="n"/>
      <c r="D22" s="11" t="n"/>
      <c r="E22" s="12" t="n"/>
      <c r="F22" s="34" t="n"/>
      <c r="G22" s="34" t="n"/>
      <c r="H22" s="34" t="n"/>
      <c r="I22" s="34" t="n"/>
      <c r="J22" s="34" t="n"/>
      <c r="K22" s="34" t="n"/>
      <c r="L22" s="34" t="n"/>
      <c r="M22" s="36" t="n"/>
      <c r="N22" s="36" t="n"/>
      <c r="O22" s="41" t="n"/>
      <c r="P22" s="27">
        <f>IF($B22="","",IFERROR(TRIM(LEFT($B22,FIND(" - ",$B22)-1)),"Others"))</f>
        <v/>
      </c>
      <c r="Q22" s="39">
        <f>IF($A22="","",SUM($F22:$H22))</f>
        <v/>
      </c>
      <c r="R22" s="39">
        <f>IF($A22="","",SUM($I22:$K22))</f>
        <v/>
      </c>
      <c r="S22" s="39">
        <f>IF($A22="","",($L22+$R22)-$Q22)</f>
        <v/>
      </c>
      <c r="T22" s="31">
        <f>IF(OR($A22="",$Q22=0),"",$S22/$Q22)</f>
        <v/>
      </c>
      <c r="U22" s="27">
        <f>IF($A22="","",IF($L22&gt;0,"Live","Exited"))</f>
        <v/>
      </c>
      <c r="V22" s="40">
        <f>IF($A22="","",IF($A22='Client Report'!$C$4,COUNTIFS($A$6:$A22,'Client Report'!$C$4),""))</f>
        <v/>
      </c>
    </row>
    <row r="23">
      <c r="A23" s="11" t="n"/>
      <c r="B23" s="11" t="n"/>
      <c r="C23" s="11" t="n"/>
      <c r="D23" s="11" t="n"/>
      <c r="E23" s="12" t="n"/>
      <c r="F23" s="34" t="n"/>
      <c r="G23" s="34" t="n"/>
      <c r="H23" s="34" t="n"/>
      <c r="I23" s="34" t="n"/>
      <c r="J23" s="34" t="n"/>
      <c r="K23" s="34" t="n"/>
      <c r="L23" s="34" t="n"/>
      <c r="M23" s="36" t="n"/>
      <c r="N23" s="36" t="n"/>
      <c r="O23" s="41" t="n"/>
      <c r="P23" s="27">
        <f>IF($B23="","",IFERROR(TRIM(LEFT($B23,FIND(" - ",$B23)-1)),"Others"))</f>
        <v/>
      </c>
      <c r="Q23" s="39">
        <f>IF($A23="","",SUM($F23:$H23))</f>
        <v/>
      </c>
      <c r="R23" s="39">
        <f>IF($A23="","",SUM($I23:$K23))</f>
        <v/>
      </c>
      <c r="S23" s="39">
        <f>IF($A23="","",($L23+$R23)-$Q23)</f>
        <v/>
      </c>
      <c r="T23" s="31">
        <f>IF(OR($A23="",$Q23=0),"",$S23/$Q23)</f>
        <v/>
      </c>
      <c r="U23" s="27">
        <f>IF($A23="","",IF($L23&gt;0,"Live","Exited"))</f>
        <v/>
      </c>
      <c r="V23" s="40">
        <f>IF($A23="","",IF($A23='Client Report'!$C$4,COUNTIFS($A$6:$A23,'Client Report'!$C$4),""))</f>
        <v/>
      </c>
    </row>
    <row r="24">
      <c r="A24" s="11" t="n"/>
      <c r="B24" s="11" t="n"/>
      <c r="C24" s="11" t="n"/>
      <c r="D24" s="11" t="n"/>
      <c r="E24" s="12" t="n"/>
      <c r="F24" s="34" t="n"/>
      <c r="G24" s="34" t="n"/>
      <c r="H24" s="34" t="n"/>
      <c r="I24" s="34" t="n"/>
      <c r="J24" s="34" t="n"/>
      <c r="K24" s="34" t="n"/>
      <c r="L24" s="34" t="n"/>
      <c r="M24" s="36" t="n"/>
      <c r="N24" s="36" t="n"/>
      <c r="O24" s="41" t="n"/>
      <c r="P24" s="27">
        <f>IF($B24="","",IFERROR(TRIM(LEFT($B24,FIND(" - ",$B24)-1)),"Others"))</f>
        <v/>
      </c>
      <c r="Q24" s="39">
        <f>IF($A24="","",SUM($F24:$H24))</f>
        <v/>
      </c>
      <c r="R24" s="39">
        <f>IF($A24="","",SUM($I24:$K24))</f>
        <v/>
      </c>
      <c r="S24" s="39">
        <f>IF($A24="","",($L24+$R24)-$Q24)</f>
        <v/>
      </c>
      <c r="T24" s="31">
        <f>IF(OR($A24="",$Q24=0),"",$S24/$Q24)</f>
        <v/>
      </c>
      <c r="U24" s="27">
        <f>IF($A24="","",IF($L24&gt;0,"Live","Exited"))</f>
        <v/>
      </c>
      <c r="V24" s="40">
        <f>IF($A24="","",IF($A24='Client Report'!$C$4,COUNTIFS($A$6:$A24,'Client Report'!$C$4),""))</f>
        <v/>
      </c>
    </row>
    <row r="25">
      <c r="A25" s="11" t="n"/>
      <c r="B25" s="11" t="n"/>
      <c r="C25" s="11" t="n"/>
      <c r="D25" s="11" t="n"/>
      <c r="E25" s="12" t="n"/>
      <c r="F25" s="34" t="n"/>
      <c r="G25" s="34" t="n"/>
      <c r="H25" s="34" t="n"/>
      <c r="I25" s="34" t="n"/>
      <c r="J25" s="34" t="n"/>
      <c r="K25" s="34" t="n"/>
      <c r="L25" s="34" t="n"/>
      <c r="M25" s="36" t="n"/>
      <c r="N25" s="36" t="n"/>
      <c r="O25" s="41" t="n"/>
      <c r="P25" s="27">
        <f>IF($B25="","",IFERROR(TRIM(LEFT($B25,FIND(" - ",$B25)-1)),"Others"))</f>
        <v/>
      </c>
      <c r="Q25" s="39">
        <f>IF($A25="","",SUM($F25:$H25))</f>
        <v/>
      </c>
      <c r="R25" s="39">
        <f>IF($A25="","",SUM($I25:$K25))</f>
        <v/>
      </c>
      <c r="S25" s="39">
        <f>IF($A25="","",($L25+$R25)-$Q25)</f>
        <v/>
      </c>
      <c r="T25" s="31">
        <f>IF(OR($A25="",$Q25=0),"",$S25/$Q25)</f>
        <v/>
      </c>
      <c r="U25" s="27">
        <f>IF($A25="","",IF($L25&gt;0,"Live","Exited"))</f>
        <v/>
      </c>
      <c r="V25" s="40">
        <f>IF($A25="","",IF($A25='Client Report'!$C$4,COUNTIFS($A$6:$A25,'Client Report'!$C$4),""))</f>
        <v/>
      </c>
    </row>
    <row r="26">
      <c r="A26" s="11" t="n"/>
      <c r="B26" s="11" t="n"/>
      <c r="C26" s="11" t="n"/>
      <c r="D26" s="11" t="n"/>
      <c r="E26" s="12" t="n"/>
      <c r="F26" s="34" t="n"/>
      <c r="G26" s="34" t="n"/>
      <c r="H26" s="34" t="n"/>
      <c r="I26" s="34" t="n"/>
      <c r="J26" s="34" t="n"/>
      <c r="K26" s="34" t="n"/>
      <c r="L26" s="34" t="n"/>
      <c r="M26" s="36" t="n"/>
      <c r="N26" s="36" t="n"/>
      <c r="O26" s="41" t="n"/>
      <c r="P26" s="27">
        <f>IF($B26="","",IFERROR(TRIM(LEFT($B26,FIND(" - ",$B26)-1)),"Others"))</f>
        <v/>
      </c>
      <c r="Q26" s="39">
        <f>IF($A26="","",SUM($F26:$H26))</f>
        <v/>
      </c>
      <c r="R26" s="39">
        <f>IF($A26="","",SUM($I26:$K26))</f>
        <v/>
      </c>
      <c r="S26" s="39">
        <f>IF($A26="","",($L26+$R26)-$Q26)</f>
        <v/>
      </c>
      <c r="T26" s="31">
        <f>IF(OR($A26="",$Q26=0),"",$S26/$Q26)</f>
        <v/>
      </c>
      <c r="U26" s="27">
        <f>IF($A26="","",IF($L26&gt;0,"Live","Exited"))</f>
        <v/>
      </c>
      <c r="V26" s="40">
        <f>IF($A26="","",IF($A26='Client Report'!$C$4,COUNTIFS($A$6:$A26,'Client Report'!$C$4),""))</f>
        <v/>
      </c>
    </row>
    <row r="27">
      <c r="A27" s="11" t="n"/>
      <c r="B27" s="11" t="n"/>
      <c r="C27" s="11" t="n"/>
      <c r="D27" s="11" t="n"/>
      <c r="E27" s="12" t="n"/>
      <c r="F27" s="34" t="n"/>
      <c r="G27" s="34" t="n"/>
      <c r="H27" s="34" t="n"/>
      <c r="I27" s="34" t="n"/>
      <c r="J27" s="34" t="n"/>
      <c r="K27" s="34" t="n"/>
      <c r="L27" s="34" t="n"/>
      <c r="M27" s="36" t="n"/>
      <c r="N27" s="36" t="n"/>
      <c r="O27" s="41" t="n"/>
      <c r="P27" s="27">
        <f>IF($B27="","",IFERROR(TRIM(LEFT($B27,FIND(" - ",$B27)-1)),"Others"))</f>
        <v/>
      </c>
      <c r="Q27" s="39">
        <f>IF($A27="","",SUM($F27:$H27))</f>
        <v/>
      </c>
      <c r="R27" s="39">
        <f>IF($A27="","",SUM($I27:$K27))</f>
        <v/>
      </c>
      <c r="S27" s="39">
        <f>IF($A27="","",($L27+$R27)-$Q27)</f>
        <v/>
      </c>
      <c r="T27" s="31">
        <f>IF(OR($A27="",$Q27=0),"",$S27/$Q27)</f>
        <v/>
      </c>
      <c r="U27" s="27">
        <f>IF($A27="","",IF($L27&gt;0,"Live","Exited"))</f>
        <v/>
      </c>
      <c r="V27" s="40">
        <f>IF($A27="","",IF($A27='Client Report'!$C$4,COUNTIFS($A$6:$A27,'Client Report'!$C$4),""))</f>
        <v/>
      </c>
    </row>
    <row r="28">
      <c r="A28" s="11" t="n"/>
      <c r="B28" s="11" t="n"/>
      <c r="C28" s="11" t="n"/>
      <c r="D28" s="11" t="n"/>
      <c r="E28" s="12" t="n"/>
      <c r="F28" s="34" t="n"/>
      <c r="G28" s="34" t="n"/>
      <c r="H28" s="34" t="n"/>
      <c r="I28" s="34" t="n"/>
      <c r="J28" s="34" t="n"/>
      <c r="K28" s="34" t="n"/>
      <c r="L28" s="34" t="n"/>
      <c r="M28" s="36" t="n"/>
      <c r="N28" s="36" t="n"/>
      <c r="O28" s="41" t="n"/>
      <c r="P28" s="27">
        <f>IF($B28="","",IFERROR(TRIM(LEFT($B28,FIND(" - ",$B28)-1)),"Others"))</f>
        <v/>
      </c>
      <c r="Q28" s="39">
        <f>IF($A28="","",SUM($F28:$H28))</f>
        <v/>
      </c>
      <c r="R28" s="39">
        <f>IF($A28="","",SUM($I28:$K28))</f>
        <v/>
      </c>
      <c r="S28" s="39">
        <f>IF($A28="","",($L28+$R28)-$Q28)</f>
        <v/>
      </c>
      <c r="T28" s="31">
        <f>IF(OR($A28="",$Q28=0),"",$S28/$Q28)</f>
        <v/>
      </c>
      <c r="U28" s="27">
        <f>IF($A28="","",IF($L28&gt;0,"Live","Exited"))</f>
        <v/>
      </c>
      <c r="V28" s="40">
        <f>IF($A28="","",IF($A28='Client Report'!$C$4,COUNTIFS($A$6:$A28,'Client Report'!$C$4),""))</f>
        <v/>
      </c>
    </row>
    <row r="29">
      <c r="A29" s="11" t="n"/>
      <c r="B29" s="11" t="n"/>
      <c r="C29" s="11" t="n"/>
      <c r="D29" s="11" t="n"/>
      <c r="E29" s="12" t="n"/>
      <c r="F29" s="34" t="n"/>
      <c r="G29" s="34" t="n"/>
      <c r="H29" s="34" t="n"/>
      <c r="I29" s="34" t="n"/>
      <c r="J29" s="34" t="n"/>
      <c r="K29" s="34" t="n"/>
      <c r="L29" s="34" t="n"/>
      <c r="M29" s="36" t="n"/>
      <c r="N29" s="36" t="n"/>
      <c r="O29" s="41" t="n"/>
      <c r="P29" s="27">
        <f>IF($B29="","",IFERROR(TRIM(LEFT($B29,FIND(" - ",$B29)-1)),"Others"))</f>
        <v/>
      </c>
      <c r="Q29" s="39">
        <f>IF($A29="","",SUM($F29:$H29))</f>
        <v/>
      </c>
      <c r="R29" s="39">
        <f>IF($A29="","",SUM($I29:$K29))</f>
        <v/>
      </c>
      <c r="S29" s="39">
        <f>IF($A29="","",($L29+$R29)-$Q29)</f>
        <v/>
      </c>
      <c r="T29" s="31">
        <f>IF(OR($A29="",$Q29=0),"",$S29/$Q29)</f>
        <v/>
      </c>
      <c r="U29" s="27">
        <f>IF($A29="","",IF($L29&gt;0,"Live","Exited"))</f>
        <v/>
      </c>
      <c r="V29" s="40">
        <f>IF($A29="","",IF($A29='Client Report'!$C$4,COUNTIFS($A$6:$A29,'Client Report'!$C$4),""))</f>
        <v/>
      </c>
    </row>
    <row r="30">
      <c r="A30" s="11" t="n"/>
      <c r="B30" s="11" t="n"/>
      <c r="C30" s="11" t="n"/>
      <c r="D30" s="11" t="n"/>
      <c r="E30" s="12" t="n"/>
      <c r="F30" s="34" t="n"/>
      <c r="G30" s="34" t="n"/>
      <c r="H30" s="34" t="n"/>
      <c r="I30" s="34" t="n"/>
      <c r="J30" s="34" t="n"/>
      <c r="K30" s="34" t="n"/>
      <c r="L30" s="34" t="n"/>
      <c r="M30" s="36" t="n"/>
      <c r="N30" s="36" t="n"/>
      <c r="O30" s="41" t="n"/>
      <c r="P30" s="27">
        <f>IF($B30="","",IFERROR(TRIM(LEFT($B30,FIND(" - ",$B30)-1)),"Others"))</f>
        <v/>
      </c>
      <c r="Q30" s="39">
        <f>IF($A30="","",SUM($F30:$H30))</f>
        <v/>
      </c>
      <c r="R30" s="39">
        <f>IF($A30="","",SUM($I30:$K30))</f>
        <v/>
      </c>
      <c r="S30" s="39">
        <f>IF($A30="","",($L30+$R30)-$Q30)</f>
        <v/>
      </c>
      <c r="T30" s="31">
        <f>IF(OR($A30="",$Q30=0),"",$S30/$Q30)</f>
        <v/>
      </c>
      <c r="U30" s="27">
        <f>IF($A30="","",IF($L30&gt;0,"Live","Exited"))</f>
        <v/>
      </c>
      <c r="V30" s="40">
        <f>IF($A30="","",IF($A30='Client Report'!$C$4,COUNTIFS($A$6:$A30,'Client Report'!$C$4),""))</f>
        <v/>
      </c>
    </row>
    <row r="31">
      <c r="A31" s="11" t="n"/>
      <c r="B31" s="11" t="n"/>
      <c r="C31" s="11" t="n"/>
      <c r="D31" s="11" t="n"/>
      <c r="E31" s="12" t="n"/>
      <c r="F31" s="34" t="n"/>
      <c r="G31" s="34" t="n"/>
      <c r="H31" s="34" t="n"/>
      <c r="I31" s="34" t="n"/>
      <c r="J31" s="34" t="n"/>
      <c r="K31" s="34" t="n"/>
      <c r="L31" s="34" t="n"/>
      <c r="M31" s="36" t="n"/>
      <c r="N31" s="36" t="n"/>
      <c r="O31" s="41" t="n"/>
      <c r="P31" s="27">
        <f>IF($B31="","",IFERROR(TRIM(LEFT($B31,FIND(" - ",$B31)-1)),"Others"))</f>
        <v/>
      </c>
      <c r="Q31" s="39">
        <f>IF($A31="","",SUM($F31:$H31))</f>
        <v/>
      </c>
      <c r="R31" s="39">
        <f>IF($A31="","",SUM($I31:$K31))</f>
        <v/>
      </c>
      <c r="S31" s="39">
        <f>IF($A31="","",($L31+$R31)-$Q31)</f>
        <v/>
      </c>
      <c r="T31" s="31">
        <f>IF(OR($A31="",$Q31=0),"",$S31/$Q31)</f>
        <v/>
      </c>
      <c r="U31" s="27">
        <f>IF($A31="","",IF($L31&gt;0,"Live","Exited"))</f>
        <v/>
      </c>
      <c r="V31" s="40">
        <f>IF($A31="","",IF($A31='Client Report'!$C$4,COUNTIFS($A$6:$A31,'Client Report'!$C$4),""))</f>
        <v/>
      </c>
    </row>
    <row r="32">
      <c r="A32" s="11" t="n"/>
      <c r="B32" s="11" t="n"/>
      <c r="C32" s="11" t="n"/>
      <c r="D32" s="11" t="n"/>
      <c r="E32" s="12" t="n"/>
      <c r="F32" s="34" t="n"/>
      <c r="G32" s="34" t="n"/>
      <c r="H32" s="34" t="n"/>
      <c r="I32" s="34" t="n"/>
      <c r="J32" s="34" t="n"/>
      <c r="K32" s="34" t="n"/>
      <c r="L32" s="34" t="n"/>
      <c r="M32" s="36" t="n"/>
      <c r="N32" s="36" t="n"/>
      <c r="O32" s="41" t="n"/>
      <c r="P32" s="27">
        <f>IF($B32="","",IFERROR(TRIM(LEFT($B32,FIND(" - ",$B32)-1)),"Others"))</f>
        <v/>
      </c>
      <c r="Q32" s="39">
        <f>IF($A32="","",SUM($F32:$H32))</f>
        <v/>
      </c>
      <c r="R32" s="39">
        <f>IF($A32="","",SUM($I32:$K32))</f>
        <v/>
      </c>
      <c r="S32" s="39">
        <f>IF($A32="","",($L32+$R32)-$Q32)</f>
        <v/>
      </c>
      <c r="T32" s="31">
        <f>IF(OR($A32="",$Q32=0),"",$S32/$Q32)</f>
        <v/>
      </c>
      <c r="U32" s="27">
        <f>IF($A32="","",IF($L32&gt;0,"Live","Exited"))</f>
        <v/>
      </c>
      <c r="V32" s="40">
        <f>IF($A32="","",IF($A32='Client Report'!$C$4,COUNTIFS($A$6:$A32,'Client Report'!$C$4),""))</f>
        <v/>
      </c>
    </row>
    <row r="33">
      <c r="A33" s="11" t="n"/>
      <c r="B33" s="11" t="n"/>
      <c r="C33" s="11" t="n"/>
      <c r="D33" s="11" t="n"/>
      <c r="E33" s="12" t="n"/>
      <c r="F33" s="34" t="n"/>
      <c r="G33" s="34" t="n"/>
      <c r="H33" s="34" t="n"/>
      <c r="I33" s="34" t="n"/>
      <c r="J33" s="34" t="n"/>
      <c r="K33" s="34" t="n"/>
      <c r="L33" s="34" t="n"/>
      <c r="M33" s="36" t="n"/>
      <c r="N33" s="36" t="n"/>
      <c r="O33" s="41" t="n"/>
      <c r="P33" s="27">
        <f>IF($B33="","",IFERROR(TRIM(LEFT($B33,FIND(" - ",$B33)-1)),"Others"))</f>
        <v/>
      </c>
      <c r="Q33" s="39">
        <f>IF($A33="","",SUM($F33:$H33))</f>
        <v/>
      </c>
      <c r="R33" s="39">
        <f>IF($A33="","",SUM($I33:$K33))</f>
        <v/>
      </c>
      <c r="S33" s="39">
        <f>IF($A33="","",($L33+$R33)-$Q33)</f>
        <v/>
      </c>
      <c r="T33" s="31">
        <f>IF(OR($A33="",$Q33=0),"",$S33/$Q33)</f>
        <v/>
      </c>
      <c r="U33" s="27">
        <f>IF($A33="","",IF($L33&gt;0,"Live","Exited"))</f>
        <v/>
      </c>
      <c r="V33" s="40">
        <f>IF($A33="","",IF($A33='Client Report'!$C$4,COUNTIFS($A$6:$A33,'Client Report'!$C$4),""))</f>
        <v/>
      </c>
    </row>
    <row r="34">
      <c r="A34" s="11" t="n"/>
      <c r="B34" s="11" t="n"/>
      <c r="C34" s="11" t="n"/>
      <c r="D34" s="11" t="n"/>
      <c r="E34" s="12" t="n"/>
      <c r="F34" s="34" t="n"/>
      <c r="G34" s="34" t="n"/>
      <c r="H34" s="34" t="n"/>
      <c r="I34" s="34" t="n"/>
      <c r="J34" s="34" t="n"/>
      <c r="K34" s="34" t="n"/>
      <c r="L34" s="34" t="n"/>
      <c r="M34" s="36" t="n"/>
      <c r="N34" s="36" t="n"/>
      <c r="O34" s="41" t="n"/>
      <c r="P34" s="27">
        <f>IF($B34="","",IFERROR(TRIM(LEFT($B34,FIND(" - ",$B34)-1)),"Others"))</f>
        <v/>
      </c>
      <c r="Q34" s="39">
        <f>IF($A34="","",SUM($F34:$H34))</f>
        <v/>
      </c>
      <c r="R34" s="39">
        <f>IF($A34="","",SUM($I34:$K34))</f>
        <v/>
      </c>
      <c r="S34" s="39">
        <f>IF($A34="","",($L34+$R34)-$Q34)</f>
        <v/>
      </c>
      <c r="T34" s="31">
        <f>IF(OR($A34="",$Q34=0),"",$S34/$Q34)</f>
        <v/>
      </c>
      <c r="U34" s="27">
        <f>IF($A34="","",IF($L34&gt;0,"Live","Exited"))</f>
        <v/>
      </c>
      <c r="V34" s="40">
        <f>IF($A34="","",IF($A34='Client Report'!$C$4,COUNTIFS($A$6:$A34,'Client Report'!$C$4),""))</f>
        <v/>
      </c>
    </row>
    <row r="35">
      <c r="A35" s="11" t="n"/>
      <c r="B35" s="11" t="n"/>
      <c r="C35" s="11" t="n"/>
      <c r="D35" s="11" t="n"/>
      <c r="E35" s="12" t="n"/>
      <c r="F35" s="34" t="n"/>
      <c r="G35" s="34" t="n"/>
      <c r="H35" s="34" t="n"/>
      <c r="I35" s="34" t="n"/>
      <c r="J35" s="34" t="n"/>
      <c r="K35" s="34" t="n"/>
      <c r="L35" s="34" t="n"/>
      <c r="M35" s="36" t="n"/>
      <c r="N35" s="36" t="n"/>
      <c r="O35" s="41" t="n"/>
      <c r="P35" s="27">
        <f>IF($B35="","",IFERROR(TRIM(LEFT($B35,FIND(" - ",$B35)-1)),"Others"))</f>
        <v/>
      </c>
      <c r="Q35" s="39">
        <f>IF($A35="","",SUM($F35:$H35))</f>
        <v/>
      </c>
      <c r="R35" s="39">
        <f>IF($A35="","",SUM($I35:$K35))</f>
        <v/>
      </c>
      <c r="S35" s="39">
        <f>IF($A35="","",($L35+$R35)-$Q35)</f>
        <v/>
      </c>
      <c r="T35" s="31">
        <f>IF(OR($A35="",$Q35=0),"",$S35/$Q35)</f>
        <v/>
      </c>
      <c r="U35" s="27">
        <f>IF($A35="","",IF($L35&gt;0,"Live","Exited"))</f>
        <v/>
      </c>
      <c r="V35" s="40">
        <f>IF($A35="","",IF($A35='Client Report'!$C$4,COUNTIFS($A$6:$A35,'Client Report'!$C$4),""))</f>
        <v/>
      </c>
    </row>
    <row r="36">
      <c r="A36" s="11" t="n"/>
      <c r="B36" s="11" t="n"/>
      <c r="C36" s="11" t="n"/>
      <c r="D36" s="11" t="n"/>
      <c r="E36" s="12" t="n"/>
      <c r="F36" s="34" t="n"/>
      <c r="G36" s="34" t="n"/>
      <c r="H36" s="34" t="n"/>
      <c r="I36" s="34" t="n"/>
      <c r="J36" s="34" t="n"/>
      <c r="K36" s="34" t="n"/>
      <c r="L36" s="34" t="n"/>
      <c r="M36" s="36" t="n"/>
      <c r="N36" s="36" t="n"/>
      <c r="O36" s="41" t="n"/>
      <c r="P36" s="27">
        <f>IF($B36="","",IFERROR(TRIM(LEFT($B36,FIND(" - ",$B36)-1)),"Others"))</f>
        <v/>
      </c>
      <c r="Q36" s="39">
        <f>IF($A36="","",SUM($F36:$H36))</f>
        <v/>
      </c>
      <c r="R36" s="39">
        <f>IF($A36="","",SUM($I36:$K36))</f>
        <v/>
      </c>
      <c r="S36" s="39">
        <f>IF($A36="","",($L36+$R36)-$Q36)</f>
        <v/>
      </c>
      <c r="T36" s="31">
        <f>IF(OR($A36="",$Q36=0),"",$S36/$Q36)</f>
        <v/>
      </c>
      <c r="U36" s="27">
        <f>IF($A36="","",IF($L36&gt;0,"Live","Exited"))</f>
        <v/>
      </c>
      <c r="V36" s="40">
        <f>IF($A36="","",IF($A36='Client Report'!$C$4,COUNTIFS($A$6:$A36,'Client Report'!$C$4),""))</f>
        <v/>
      </c>
    </row>
    <row r="37">
      <c r="A37" s="11" t="n"/>
      <c r="B37" s="11" t="n"/>
      <c r="C37" s="11" t="n"/>
      <c r="D37" s="11" t="n"/>
      <c r="E37" s="12" t="n"/>
      <c r="F37" s="34" t="n"/>
      <c r="G37" s="34" t="n"/>
      <c r="H37" s="34" t="n"/>
      <c r="I37" s="34" t="n"/>
      <c r="J37" s="34" t="n"/>
      <c r="K37" s="34" t="n"/>
      <c r="L37" s="34" t="n"/>
      <c r="M37" s="36" t="n"/>
      <c r="N37" s="36" t="n"/>
      <c r="O37" s="41" t="n"/>
      <c r="P37" s="27">
        <f>IF($B37="","",IFERROR(TRIM(LEFT($B37,FIND(" - ",$B37)-1)),"Others"))</f>
        <v/>
      </c>
      <c r="Q37" s="39">
        <f>IF($A37="","",SUM($F37:$H37))</f>
        <v/>
      </c>
      <c r="R37" s="39">
        <f>IF($A37="","",SUM($I37:$K37))</f>
        <v/>
      </c>
      <c r="S37" s="39">
        <f>IF($A37="","",($L37+$R37)-$Q37)</f>
        <v/>
      </c>
      <c r="T37" s="31">
        <f>IF(OR($A37="",$Q37=0),"",$S37/$Q37)</f>
        <v/>
      </c>
      <c r="U37" s="27">
        <f>IF($A37="","",IF($L37&gt;0,"Live","Exited"))</f>
        <v/>
      </c>
      <c r="V37" s="40">
        <f>IF($A37="","",IF($A37='Client Report'!$C$4,COUNTIFS($A$6:$A37,'Client Report'!$C$4),""))</f>
        <v/>
      </c>
    </row>
    <row r="38">
      <c r="A38" s="11" t="n"/>
      <c r="B38" s="11" t="n"/>
      <c r="C38" s="11" t="n"/>
      <c r="D38" s="11" t="n"/>
      <c r="E38" s="12" t="n"/>
      <c r="F38" s="34" t="n"/>
      <c r="G38" s="34" t="n"/>
      <c r="H38" s="34" t="n"/>
      <c r="I38" s="34" t="n"/>
      <c r="J38" s="34" t="n"/>
      <c r="K38" s="34" t="n"/>
      <c r="L38" s="34" t="n"/>
      <c r="M38" s="36" t="n"/>
      <c r="N38" s="36" t="n"/>
      <c r="O38" s="41" t="n"/>
      <c r="P38" s="27">
        <f>IF($B38="","",IFERROR(TRIM(LEFT($B38,FIND(" - ",$B38)-1)),"Others"))</f>
        <v/>
      </c>
      <c r="Q38" s="39">
        <f>IF($A38="","",SUM($F38:$H38))</f>
        <v/>
      </c>
      <c r="R38" s="39">
        <f>IF($A38="","",SUM($I38:$K38))</f>
        <v/>
      </c>
      <c r="S38" s="39">
        <f>IF($A38="","",($L38+$R38)-$Q38)</f>
        <v/>
      </c>
      <c r="T38" s="31">
        <f>IF(OR($A38="",$Q38=0),"",$S38/$Q38)</f>
        <v/>
      </c>
      <c r="U38" s="27">
        <f>IF($A38="","",IF($L38&gt;0,"Live","Exited"))</f>
        <v/>
      </c>
      <c r="V38" s="40">
        <f>IF($A38="","",IF($A38='Client Report'!$C$4,COUNTIFS($A$6:$A38,'Client Report'!$C$4),""))</f>
        <v/>
      </c>
    </row>
    <row r="39">
      <c r="A39" s="11" t="n"/>
      <c r="B39" s="11" t="n"/>
      <c r="C39" s="11" t="n"/>
      <c r="D39" s="11" t="n"/>
      <c r="E39" s="12" t="n"/>
      <c r="F39" s="34" t="n"/>
      <c r="G39" s="34" t="n"/>
      <c r="H39" s="34" t="n"/>
      <c r="I39" s="34" t="n"/>
      <c r="J39" s="34" t="n"/>
      <c r="K39" s="34" t="n"/>
      <c r="L39" s="34" t="n"/>
      <c r="M39" s="36" t="n"/>
      <c r="N39" s="36" t="n"/>
      <c r="O39" s="41" t="n"/>
      <c r="P39" s="27">
        <f>IF($B39="","",IFERROR(TRIM(LEFT($B39,FIND(" - ",$B39)-1)),"Others"))</f>
        <v/>
      </c>
      <c r="Q39" s="39">
        <f>IF($A39="","",SUM($F39:$H39))</f>
        <v/>
      </c>
      <c r="R39" s="39">
        <f>IF($A39="","",SUM($I39:$K39))</f>
        <v/>
      </c>
      <c r="S39" s="39">
        <f>IF($A39="","",($L39+$R39)-$Q39)</f>
        <v/>
      </c>
      <c r="T39" s="31">
        <f>IF(OR($A39="",$Q39=0),"",$S39/$Q39)</f>
        <v/>
      </c>
      <c r="U39" s="27">
        <f>IF($A39="","",IF($L39&gt;0,"Live","Exited"))</f>
        <v/>
      </c>
      <c r="V39" s="40">
        <f>IF($A39="","",IF($A39='Client Report'!$C$4,COUNTIFS($A$6:$A39,'Client Report'!$C$4),""))</f>
        <v/>
      </c>
    </row>
    <row r="40">
      <c r="A40" s="11" t="n"/>
      <c r="B40" s="11" t="n"/>
      <c r="C40" s="11" t="n"/>
      <c r="D40" s="11" t="n"/>
      <c r="E40" s="12" t="n"/>
      <c r="F40" s="34" t="n"/>
      <c r="G40" s="34" t="n"/>
      <c r="H40" s="34" t="n"/>
      <c r="I40" s="34" t="n"/>
      <c r="J40" s="34" t="n"/>
      <c r="K40" s="34" t="n"/>
      <c r="L40" s="34" t="n"/>
      <c r="M40" s="36" t="n"/>
      <c r="N40" s="36" t="n"/>
      <c r="O40" s="41" t="n"/>
      <c r="P40" s="27">
        <f>IF($B40="","",IFERROR(TRIM(LEFT($B40,FIND(" - ",$B40)-1)),"Others"))</f>
        <v/>
      </c>
      <c r="Q40" s="39">
        <f>IF($A40="","",SUM($F40:$H40))</f>
        <v/>
      </c>
      <c r="R40" s="39">
        <f>IF($A40="","",SUM($I40:$K40))</f>
        <v/>
      </c>
      <c r="S40" s="39">
        <f>IF($A40="","",($L40+$R40)-$Q40)</f>
        <v/>
      </c>
      <c r="T40" s="31">
        <f>IF(OR($A40="",$Q40=0),"",$S40/$Q40)</f>
        <v/>
      </c>
      <c r="U40" s="27">
        <f>IF($A40="","",IF($L40&gt;0,"Live","Exited"))</f>
        <v/>
      </c>
      <c r="V40" s="40">
        <f>IF($A40="","",IF($A40='Client Report'!$C$4,COUNTIFS($A$6:$A40,'Client Report'!$C$4),""))</f>
        <v/>
      </c>
    </row>
    <row r="41">
      <c r="A41" s="11" t="n"/>
      <c r="B41" s="11" t="n"/>
      <c r="C41" s="11" t="n"/>
      <c r="D41" s="11" t="n"/>
      <c r="E41" s="12" t="n"/>
      <c r="F41" s="34" t="n"/>
      <c r="G41" s="34" t="n"/>
      <c r="H41" s="34" t="n"/>
      <c r="I41" s="34" t="n"/>
      <c r="J41" s="34" t="n"/>
      <c r="K41" s="34" t="n"/>
      <c r="L41" s="34" t="n"/>
      <c r="M41" s="36" t="n"/>
      <c r="N41" s="36" t="n"/>
      <c r="O41" s="41" t="n"/>
      <c r="P41" s="27">
        <f>IF($B41="","",IFERROR(TRIM(LEFT($B41,FIND(" - ",$B41)-1)),"Others"))</f>
        <v/>
      </c>
      <c r="Q41" s="39">
        <f>IF($A41="","",SUM($F41:$H41))</f>
        <v/>
      </c>
      <c r="R41" s="39">
        <f>IF($A41="","",SUM($I41:$K41))</f>
        <v/>
      </c>
      <c r="S41" s="39">
        <f>IF($A41="","",($L41+$R41)-$Q41)</f>
        <v/>
      </c>
      <c r="T41" s="31">
        <f>IF(OR($A41="",$Q41=0),"",$S41/$Q41)</f>
        <v/>
      </c>
      <c r="U41" s="27">
        <f>IF($A41="","",IF($L41&gt;0,"Live","Exited"))</f>
        <v/>
      </c>
      <c r="V41" s="40">
        <f>IF($A41="","",IF($A41='Client Report'!$C$4,COUNTIFS($A$6:$A41,'Client Report'!$C$4),""))</f>
        <v/>
      </c>
    </row>
    <row r="42">
      <c r="A42" s="11" t="n"/>
      <c r="B42" s="11" t="n"/>
      <c r="C42" s="11" t="n"/>
      <c r="D42" s="11" t="n"/>
      <c r="E42" s="12" t="n"/>
      <c r="F42" s="34" t="n"/>
      <c r="G42" s="34" t="n"/>
      <c r="H42" s="34" t="n"/>
      <c r="I42" s="34" t="n"/>
      <c r="J42" s="34" t="n"/>
      <c r="K42" s="34" t="n"/>
      <c r="L42" s="34" t="n"/>
      <c r="M42" s="36" t="n"/>
      <c r="N42" s="36" t="n"/>
      <c r="O42" s="41" t="n"/>
      <c r="P42" s="27">
        <f>IF($B42="","",IFERROR(TRIM(LEFT($B42,FIND(" - ",$B42)-1)),"Others"))</f>
        <v/>
      </c>
      <c r="Q42" s="39">
        <f>IF($A42="","",SUM($F42:$H42))</f>
        <v/>
      </c>
      <c r="R42" s="39">
        <f>IF($A42="","",SUM($I42:$K42))</f>
        <v/>
      </c>
      <c r="S42" s="39">
        <f>IF($A42="","",($L42+$R42)-$Q42)</f>
        <v/>
      </c>
      <c r="T42" s="31">
        <f>IF(OR($A42="",$Q42=0),"",$S42/$Q42)</f>
        <v/>
      </c>
      <c r="U42" s="27">
        <f>IF($A42="","",IF($L42&gt;0,"Live","Exited"))</f>
        <v/>
      </c>
      <c r="V42" s="40">
        <f>IF($A42="","",IF($A42='Client Report'!$C$4,COUNTIFS($A$6:$A42,'Client Report'!$C$4),""))</f>
        <v/>
      </c>
    </row>
    <row r="43">
      <c r="A43" s="11" t="n"/>
      <c r="B43" s="11" t="n"/>
      <c r="C43" s="11" t="n"/>
      <c r="D43" s="11" t="n"/>
      <c r="E43" s="12" t="n"/>
      <c r="F43" s="34" t="n"/>
      <c r="G43" s="34" t="n"/>
      <c r="H43" s="34" t="n"/>
      <c r="I43" s="34" t="n"/>
      <c r="J43" s="34" t="n"/>
      <c r="K43" s="34" t="n"/>
      <c r="L43" s="34" t="n"/>
      <c r="M43" s="36" t="n"/>
      <c r="N43" s="36" t="n"/>
      <c r="O43" s="41" t="n"/>
      <c r="P43" s="27">
        <f>IF($B43="","",IFERROR(TRIM(LEFT($B43,FIND(" - ",$B43)-1)),"Others"))</f>
        <v/>
      </c>
      <c r="Q43" s="39">
        <f>IF($A43="","",SUM($F43:$H43))</f>
        <v/>
      </c>
      <c r="R43" s="39">
        <f>IF($A43="","",SUM($I43:$K43))</f>
        <v/>
      </c>
      <c r="S43" s="39">
        <f>IF($A43="","",($L43+$R43)-$Q43)</f>
        <v/>
      </c>
      <c r="T43" s="31">
        <f>IF(OR($A43="",$Q43=0),"",$S43/$Q43)</f>
        <v/>
      </c>
      <c r="U43" s="27">
        <f>IF($A43="","",IF($L43&gt;0,"Live","Exited"))</f>
        <v/>
      </c>
      <c r="V43" s="40">
        <f>IF($A43="","",IF($A43='Client Report'!$C$4,COUNTIFS($A$6:$A43,'Client Report'!$C$4),""))</f>
        <v/>
      </c>
    </row>
    <row r="44">
      <c r="A44" s="11" t="n"/>
      <c r="B44" s="11" t="n"/>
      <c r="C44" s="11" t="n"/>
      <c r="D44" s="11" t="n"/>
      <c r="E44" s="12" t="n"/>
      <c r="F44" s="34" t="n"/>
      <c r="G44" s="34" t="n"/>
      <c r="H44" s="34" t="n"/>
      <c r="I44" s="34" t="n"/>
      <c r="J44" s="34" t="n"/>
      <c r="K44" s="34" t="n"/>
      <c r="L44" s="34" t="n"/>
      <c r="M44" s="36" t="n"/>
      <c r="N44" s="36" t="n"/>
      <c r="O44" s="41" t="n"/>
      <c r="P44" s="27">
        <f>IF($B44="","",IFERROR(TRIM(LEFT($B44,FIND(" - ",$B44)-1)),"Others"))</f>
        <v/>
      </c>
      <c r="Q44" s="39">
        <f>IF($A44="","",SUM($F44:$H44))</f>
        <v/>
      </c>
      <c r="R44" s="39">
        <f>IF($A44="","",SUM($I44:$K44))</f>
        <v/>
      </c>
      <c r="S44" s="39">
        <f>IF($A44="","",($L44+$R44)-$Q44)</f>
        <v/>
      </c>
      <c r="T44" s="31">
        <f>IF(OR($A44="",$Q44=0),"",$S44/$Q44)</f>
        <v/>
      </c>
      <c r="U44" s="27">
        <f>IF($A44="","",IF($L44&gt;0,"Live","Exited"))</f>
        <v/>
      </c>
      <c r="V44" s="40">
        <f>IF($A44="","",IF($A44='Client Report'!$C$4,COUNTIFS($A$6:$A44,'Client Report'!$C$4),""))</f>
        <v/>
      </c>
    </row>
    <row r="45">
      <c r="A45" s="11" t="n"/>
      <c r="B45" s="11" t="n"/>
      <c r="C45" s="11" t="n"/>
      <c r="D45" s="11" t="n"/>
      <c r="E45" s="12" t="n"/>
      <c r="F45" s="34" t="n"/>
      <c r="G45" s="34" t="n"/>
      <c r="H45" s="34" t="n"/>
      <c r="I45" s="34" t="n"/>
      <c r="J45" s="34" t="n"/>
      <c r="K45" s="34" t="n"/>
      <c r="L45" s="34" t="n"/>
      <c r="M45" s="36" t="n"/>
      <c r="N45" s="36" t="n"/>
      <c r="O45" s="41" t="n"/>
      <c r="P45" s="27">
        <f>IF($B45="","",IFERROR(TRIM(LEFT($B45,FIND(" - ",$B45)-1)),"Others"))</f>
        <v/>
      </c>
      <c r="Q45" s="39">
        <f>IF($A45="","",SUM($F45:$H45))</f>
        <v/>
      </c>
      <c r="R45" s="39">
        <f>IF($A45="","",SUM($I45:$K45))</f>
        <v/>
      </c>
      <c r="S45" s="39">
        <f>IF($A45="","",($L45+$R45)-$Q45)</f>
        <v/>
      </c>
      <c r="T45" s="31">
        <f>IF(OR($A45="",$Q45=0),"",$S45/$Q45)</f>
        <v/>
      </c>
      <c r="U45" s="27">
        <f>IF($A45="","",IF($L45&gt;0,"Live","Exited"))</f>
        <v/>
      </c>
      <c r="V45" s="40">
        <f>IF($A45="","",IF($A45='Client Report'!$C$4,COUNTIFS($A$6:$A45,'Client Report'!$C$4),""))</f>
        <v/>
      </c>
    </row>
    <row r="46">
      <c r="A46" s="11" t="n"/>
      <c r="B46" s="11" t="n"/>
      <c r="C46" s="11" t="n"/>
      <c r="D46" s="11" t="n"/>
      <c r="E46" s="12" t="n"/>
      <c r="F46" s="34" t="n"/>
      <c r="G46" s="34" t="n"/>
      <c r="H46" s="34" t="n"/>
      <c r="I46" s="34" t="n"/>
      <c r="J46" s="34" t="n"/>
      <c r="K46" s="34" t="n"/>
      <c r="L46" s="34" t="n"/>
      <c r="M46" s="36" t="n"/>
      <c r="N46" s="36" t="n"/>
      <c r="O46" s="41" t="n"/>
      <c r="P46" s="27">
        <f>IF($B46="","",IFERROR(TRIM(LEFT($B46,FIND(" - ",$B46)-1)),"Others"))</f>
        <v/>
      </c>
      <c r="Q46" s="39">
        <f>IF($A46="","",SUM($F46:$H46))</f>
        <v/>
      </c>
      <c r="R46" s="39">
        <f>IF($A46="","",SUM($I46:$K46))</f>
        <v/>
      </c>
      <c r="S46" s="39">
        <f>IF($A46="","",($L46+$R46)-$Q46)</f>
        <v/>
      </c>
      <c r="T46" s="31">
        <f>IF(OR($A46="",$Q46=0),"",$S46/$Q46)</f>
        <v/>
      </c>
      <c r="U46" s="27">
        <f>IF($A46="","",IF($L46&gt;0,"Live","Exited"))</f>
        <v/>
      </c>
      <c r="V46" s="40">
        <f>IF($A46="","",IF($A46='Client Report'!$C$4,COUNTIFS($A$6:$A46,'Client Report'!$C$4),""))</f>
        <v/>
      </c>
    </row>
    <row r="47">
      <c r="A47" s="11" t="n"/>
      <c r="B47" s="11" t="n"/>
      <c r="C47" s="11" t="n"/>
      <c r="D47" s="11" t="n"/>
      <c r="E47" s="12" t="n"/>
      <c r="F47" s="34" t="n"/>
      <c r="G47" s="34" t="n"/>
      <c r="H47" s="34" t="n"/>
      <c r="I47" s="34" t="n"/>
      <c r="J47" s="34" t="n"/>
      <c r="K47" s="34" t="n"/>
      <c r="L47" s="34" t="n"/>
      <c r="M47" s="36" t="n"/>
      <c r="N47" s="36" t="n"/>
      <c r="O47" s="41" t="n"/>
      <c r="P47" s="27">
        <f>IF($B47="","",IFERROR(TRIM(LEFT($B47,FIND(" - ",$B47)-1)),"Others"))</f>
        <v/>
      </c>
      <c r="Q47" s="39">
        <f>IF($A47="","",SUM($F47:$H47))</f>
        <v/>
      </c>
      <c r="R47" s="39">
        <f>IF($A47="","",SUM($I47:$K47))</f>
        <v/>
      </c>
      <c r="S47" s="39">
        <f>IF($A47="","",($L47+$R47)-$Q47)</f>
        <v/>
      </c>
      <c r="T47" s="31">
        <f>IF(OR($A47="",$Q47=0),"",$S47/$Q47)</f>
        <v/>
      </c>
      <c r="U47" s="27">
        <f>IF($A47="","",IF($L47&gt;0,"Live","Exited"))</f>
        <v/>
      </c>
      <c r="V47" s="40">
        <f>IF($A47="","",IF($A47='Client Report'!$C$4,COUNTIFS($A$6:$A47,'Client Report'!$C$4),""))</f>
        <v/>
      </c>
    </row>
    <row r="48">
      <c r="A48" s="11" t="n"/>
      <c r="B48" s="11" t="n"/>
      <c r="C48" s="11" t="n"/>
      <c r="D48" s="11" t="n"/>
      <c r="E48" s="12" t="n"/>
      <c r="F48" s="34" t="n"/>
      <c r="G48" s="34" t="n"/>
      <c r="H48" s="34" t="n"/>
      <c r="I48" s="34" t="n"/>
      <c r="J48" s="34" t="n"/>
      <c r="K48" s="34" t="n"/>
      <c r="L48" s="34" t="n"/>
      <c r="M48" s="36" t="n"/>
      <c r="N48" s="36" t="n"/>
      <c r="O48" s="41" t="n"/>
      <c r="P48" s="27">
        <f>IF($B48="","",IFERROR(TRIM(LEFT($B48,FIND(" - ",$B48)-1)),"Others"))</f>
        <v/>
      </c>
      <c r="Q48" s="39">
        <f>IF($A48="","",SUM($F48:$H48))</f>
        <v/>
      </c>
      <c r="R48" s="39">
        <f>IF($A48="","",SUM($I48:$K48))</f>
        <v/>
      </c>
      <c r="S48" s="39">
        <f>IF($A48="","",($L48+$R48)-$Q48)</f>
        <v/>
      </c>
      <c r="T48" s="31">
        <f>IF(OR($A48="",$Q48=0),"",$S48/$Q48)</f>
        <v/>
      </c>
      <c r="U48" s="27">
        <f>IF($A48="","",IF($L48&gt;0,"Live","Exited"))</f>
        <v/>
      </c>
      <c r="V48" s="40">
        <f>IF($A48="","",IF($A48='Client Report'!$C$4,COUNTIFS($A$6:$A48,'Client Report'!$C$4),""))</f>
        <v/>
      </c>
    </row>
    <row r="49">
      <c r="A49" s="11" t="n"/>
      <c r="B49" s="11" t="n"/>
      <c r="C49" s="11" t="n"/>
      <c r="D49" s="11" t="n"/>
      <c r="E49" s="12" t="n"/>
      <c r="F49" s="34" t="n"/>
      <c r="G49" s="34" t="n"/>
      <c r="H49" s="34" t="n"/>
      <c r="I49" s="34" t="n"/>
      <c r="J49" s="34" t="n"/>
      <c r="K49" s="34" t="n"/>
      <c r="L49" s="34" t="n"/>
      <c r="M49" s="36" t="n"/>
      <c r="N49" s="36" t="n"/>
      <c r="O49" s="41" t="n"/>
      <c r="P49" s="27">
        <f>IF($B49="","",IFERROR(TRIM(LEFT($B49,FIND(" - ",$B49)-1)),"Others"))</f>
        <v/>
      </c>
      <c r="Q49" s="39">
        <f>IF($A49="","",SUM($F49:$H49))</f>
        <v/>
      </c>
      <c r="R49" s="39">
        <f>IF($A49="","",SUM($I49:$K49))</f>
        <v/>
      </c>
      <c r="S49" s="39">
        <f>IF($A49="","",($L49+$R49)-$Q49)</f>
        <v/>
      </c>
      <c r="T49" s="31">
        <f>IF(OR($A49="",$Q49=0),"",$S49/$Q49)</f>
        <v/>
      </c>
      <c r="U49" s="27">
        <f>IF($A49="","",IF($L49&gt;0,"Live","Exited"))</f>
        <v/>
      </c>
      <c r="V49" s="40">
        <f>IF($A49="","",IF($A49='Client Report'!$C$4,COUNTIFS($A$6:$A49,'Client Report'!$C$4),""))</f>
        <v/>
      </c>
    </row>
    <row r="50">
      <c r="A50" s="11" t="n"/>
      <c r="B50" s="11" t="n"/>
      <c r="C50" s="11" t="n"/>
      <c r="D50" s="11" t="n"/>
      <c r="E50" s="12" t="n"/>
      <c r="F50" s="34" t="n"/>
      <c r="G50" s="34" t="n"/>
      <c r="H50" s="34" t="n"/>
      <c r="I50" s="34" t="n"/>
      <c r="J50" s="34" t="n"/>
      <c r="K50" s="34" t="n"/>
      <c r="L50" s="34" t="n"/>
      <c r="M50" s="36" t="n"/>
      <c r="N50" s="36" t="n"/>
      <c r="O50" s="41" t="n"/>
      <c r="P50" s="27">
        <f>IF($B50="","",IFERROR(TRIM(LEFT($B50,FIND(" - ",$B50)-1)),"Others"))</f>
        <v/>
      </c>
      <c r="Q50" s="39">
        <f>IF($A50="","",SUM($F50:$H50))</f>
        <v/>
      </c>
      <c r="R50" s="39">
        <f>IF($A50="","",SUM($I50:$K50))</f>
        <v/>
      </c>
      <c r="S50" s="39">
        <f>IF($A50="","",($L50+$R50)-$Q50)</f>
        <v/>
      </c>
      <c r="T50" s="31">
        <f>IF(OR($A50="",$Q50=0),"",$S50/$Q50)</f>
        <v/>
      </c>
      <c r="U50" s="27">
        <f>IF($A50="","",IF($L50&gt;0,"Live","Exited"))</f>
        <v/>
      </c>
      <c r="V50" s="40">
        <f>IF($A50="","",IF($A50='Client Report'!$C$4,COUNTIFS($A$6:$A50,'Client Report'!$C$4),""))</f>
        <v/>
      </c>
    </row>
    <row r="51">
      <c r="A51" s="11" t="n"/>
      <c r="B51" s="11" t="n"/>
      <c r="C51" s="11" t="n"/>
      <c r="D51" s="11" t="n"/>
      <c r="E51" s="12" t="n"/>
      <c r="F51" s="34" t="n"/>
      <c r="G51" s="34" t="n"/>
      <c r="H51" s="34" t="n"/>
      <c r="I51" s="34" t="n"/>
      <c r="J51" s="34" t="n"/>
      <c r="K51" s="34" t="n"/>
      <c r="L51" s="34" t="n"/>
      <c r="M51" s="36" t="n"/>
      <c r="N51" s="36" t="n"/>
      <c r="O51" s="41" t="n"/>
      <c r="P51" s="27">
        <f>IF($B51="","",IFERROR(TRIM(LEFT($B51,FIND(" - ",$B51)-1)),"Others"))</f>
        <v/>
      </c>
      <c r="Q51" s="39">
        <f>IF($A51="","",SUM($F51:$H51))</f>
        <v/>
      </c>
      <c r="R51" s="39">
        <f>IF($A51="","",SUM($I51:$K51))</f>
        <v/>
      </c>
      <c r="S51" s="39">
        <f>IF($A51="","",($L51+$R51)-$Q51)</f>
        <v/>
      </c>
      <c r="T51" s="31">
        <f>IF(OR($A51="",$Q51=0),"",$S51/$Q51)</f>
        <v/>
      </c>
      <c r="U51" s="27">
        <f>IF($A51="","",IF($L51&gt;0,"Live","Exited"))</f>
        <v/>
      </c>
      <c r="V51" s="40">
        <f>IF($A51="","",IF($A51='Client Report'!$C$4,COUNTIFS($A$6:$A51,'Client Report'!$C$4),""))</f>
        <v/>
      </c>
    </row>
    <row r="52">
      <c r="A52" s="11" t="n"/>
      <c r="B52" s="11" t="n"/>
      <c r="C52" s="11" t="n"/>
      <c r="D52" s="11" t="n"/>
      <c r="E52" s="12" t="n"/>
      <c r="F52" s="34" t="n"/>
      <c r="G52" s="34" t="n"/>
      <c r="H52" s="34" t="n"/>
      <c r="I52" s="34" t="n"/>
      <c r="J52" s="34" t="n"/>
      <c r="K52" s="34" t="n"/>
      <c r="L52" s="34" t="n"/>
      <c r="M52" s="36" t="n"/>
      <c r="N52" s="36" t="n"/>
      <c r="O52" s="41" t="n"/>
      <c r="P52" s="27">
        <f>IF($B52="","",IFERROR(TRIM(LEFT($B52,FIND(" - ",$B52)-1)),"Others"))</f>
        <v/>
      </c>
      <c r="Q52" s="39">
        <f>IF($A52="","",SUM($F52:$H52))</f>
        <v/>
      </c>
      <c r="R52" s="39">
        <f>IF($A52="","",SUM($I52:$K52))</f>
        <v/>
      </c>
      <c r="S52" s="39">
        <f>IF($A52="","",($L52+$R52)-$Q52)</f>
        <v/>
      </c>
      <c r="T52" s="31">
        <f>IF(OR($A52="",$Q52=0),"",$S52/$Q52)</f>
        <v/>
      </c>
      <c r="U52" s="27">
        <f>IF($A52="","",IF($L52&gt;0,"Live","Exited"))</f>
        <v/>
      </c>
      <c r="V52" s="40">
        <f>IF($A52="","",IF($A52='Client Report'!$C$4,COUNTIFS($A$6:$A52,'Client Report'!$C$4),""))</f>
        <v/>
      </c>
    </row>
    <row r="53">
      <c r="A53" s="11" t="n"/>
      <c r="B53" s="11" t="n"/>
      <c r="C53" s="11" t="n"/>
      <c r="D53" s="11" t="n"/>
      <c r="E53" s="12" t="n"/>
      <c r="F53" s="34" t="n"/>
      <c r="G53" s="34" t="n"/>
      <c r="H53" s="34" t="n"/>
      <c r="I53" s="34" t="n"/>
      <c r="J53" s="34" t="n"/>
      <c r="K53" s="34" t="n"/>
      <c r="L53" s="34" t="n"/>
      <c r="M53" s="36" t="n"/>
      <c r="N53" s="36" t="n"/>
      <c r="O53" s="41" t="n"/>
      <c r="P53" s="27">
        <f>IF($B53="","",IFERROR(TRIM(LEFT($B53,FIND(" - ",$B53)-1)),"Others"))</f>
        <v/>
      </c>
      <c r="Q53" s="39">
        <f>IF($A53="","",SUM($F53:$H53))</f>
        <v/>
      </c>
      <c r="R53" s="39">
        <f>IF($A53="","",SUM($I53:$K53))</f>
        <v/>
      </c>
      <c r="S53" s="39">
        <f>IF($A53="","",($L53+$R53)-$Q53)</f>
        <v/>
      </c>
      <c r="T53" s="31">
        <f>IF(OR($A53="",$Q53=0),"",$S53/$Q53)</f>
        <v/>
      </c>
      <c r="U53" s="27">
        <f>IF($A53="","",IF($L53&gt;0,"Live","Exited"))</f>
        <v/>
      </c>
      <c r="V53" s="40">
        <f>IF($A53="","",IF($A53='Client Report'!$C$4,COUNTIFS($A$6:$A53,'Client Report'!$C$4),""))</f>
        <v/>
      </c>
    </row>
    <row r="54">
      <c r="A54" s="11" t="n"/>
      <c r="B54" s="11" t="n"/>
      <c r="C54" s="11" t="n"/>
      <c r="D54" s="11" t="n"/>
      <c r="E54" s="12" t="n"/>
      <c r="F54" s="34" t="n"/>
      <c r="G54" s="34" t="n"/>
      <c r="H54" s="34" t="n"/>
      <c r="I54" s="34" t="n"/>
      <c r="J54" s="34" t="n"/>
      <c r="K54" s="34" t="n"/>
      <c r="L54" s="34" t="n"/>
      <c r="M54" s="36" t="n"/>
      <c r="N54" s="36" t="n"/>
      <c r="O54" s="41" t="n"/>
      <c r="P54" s="27">
        <f>IF($B54="","",IFERROR(TRIM(LEFT($B54,FIND(" - ",$B54)-1)),"Others"))</f>
        <v/>
      </c>
      <c r="Q54" s="39">
        <f>IF($A54="","",SUM($F54:$H54))</f>
        <v/>
      </c>
      <c r="R54" s="39">
        <f>IF($A54="","",SUM($I54:$K54))</f>
        <v/>
      </c>
      <c r="S54" s="39">
        <f>IF($A54="","",($L54+$R54)-$Q54)</f>
        <v/>
      </c>
      <c r="T54" s="31">
        <f>IF(OR($A54="",$Q54=0),"",$S54/$Q54)</f>
        <v/>
      </c>
      <c r="U54" s="27">
        <f>IF($A54="","",IF($L54&gt;0,"Live","Exited"))</f>
        <v/>
      </c>
      <c r="V54" s="40">
        <f>IF($A54="","",IF($A54='Client Report'!$C$4,COUNTIFS($A$6:$A54,'Client Report'!$C$4),""))</f>
        <v/>
      </c>
    </row>
    <row r="55">
      <c r="A55" s="11" t="n"/>
      <c r="B55" s="11" t="n"/>
      <c r="C55" s="11" t="n"/>
      <c r="D55" s="11" t="n"/>
      <c r="E55" s="12" t="n"/>
      <c r="F55" s="34" t="n"/>
      <c r="G55" s="34" t="n"/>
      <c r="H55" s="34" t="n"/>
      <c r="I55" s="34" t="n"/>
      <c r="J55" s="34" t="n"/>
      <c r="K55" s="34" t="n"/>
      <c r="L55" s="34" t="n"/>
      <c r="M55" s="36" t="n"/>
      <c r="N55" s="36" t="n"/>
      <c r="O55" s="41" t="n"/>
      <c r="P55" s="27">
        <f>IF($B55="","",IFERROR(TRIM(LEFT($B55,FIND(" - ",$B55)-1)),"Others"))</f>
        <v/>
      </c>
      <c r="Q55" s="39">
        <f>IF($A55="","",SUM($F55:$H55))</f>
        <v/>
      </c>
      <c r="R55" s="39">
        <f>IF($A55="","",SUM($I55:$K55))</f>
        <v/>
      </c>
      <c r="S55" s="39">
        <f>IF($A55="","",($L55+$R55)-$Q55)</f>
        <v/>
      </c>
      <c r="T55" s="31">
        <f>IF(OR($A55="",$Q55=0),"",$S55/$Q55)</f>
        <v/>
      </c>
      <c r="U55" s="27">
        <f>IF($A55="","",IF($L55&gt;0,"Live","Exited"))</f>
        <v/>
      </c>
      <c r="V55" s="40">
        <f>IF($A55="","",IF($A55='Client Report'!$C$4,COUNTIFS($A$6:$A55,'Client Report'!$C$4),""))</f>
        <v/>
      </c>
    </row>
    <row r="56">
      <c r="A56" s="11" t="n"/>
      <c r="B56" s="11" t="n"/>
      <c r="C56" s="11" t="n"/>
      <c r="D56" s="11" t="n"/>
      <c r="E56" s="12" t="n"/>
      <c r="F56" s="34" t="n"/>
      <c r="G56" s="34" t="n"/>
      <c r="H56" s="34" t="n"/>
      <c r="I56" s="34" t="n"/>
      <c r="J56" s="34" t="n"/>
      <c r="K56" s="34" t="n"/>
      <c r="L56" s="34" t="n"/>
      <c r="M56" s="36" t="n"/>
      <c r="N56" s="36" t="n"/>
      <c r="O56" s="41" t="n"/>
      <c r="P56" s="27">
        <f>IF($B56="","",IFERROR(TRIM(LEFT($B56,FIND(" - ",$B56)-1)),"Others"))</f>
        <v/>
      </c>
      <c r="Q56" s="39">
        <f>IF($A56="","",SUM($F56:$H56))</f>
        <v/>
      </c>
      <c r="R56" s="39">
        <f>IF($A56="","",SUM($I56:$K56))</f>
        <v/>
      </c>
      <c r="S56" s="39">
        <f>IF($A56="","",($L56+$R56)-$Q56)</f>
        <v/>
      </c>
      <c r="T56" s="31">
        <f>IF(OR($A56="",$Q56=0),"",$S56/$Q56)</f>
        <v/>
      </c>
      <c r="U56" s="27">
        <f>IF($A56="","",IF($L56&gt;0,"Live","Exited"))</f>
        <v/>
      </c>
      <c r="V56" s="40">
        <f>IF($A56="","",IF($A56='Client Report'!$C$4,COUNTIFS($A$6:$A56,'Client Report'!$C$4),""))</f>
        <v/>
      </c>
    </row>
    <row r="57">
      <c r="A57" s="11" t="n"/>
      <c r="B57" s="11" t="n"/>
      <c r="C57" s="11" t="n"/>
      <c r="D57" s="11" t="n"/>
      <c r="E57" s="12" t="n"/>
      <c r="F57" s="34" t="n"/>
      <c r="G57" s="34" t="n"/>
      <c r="H57" s="34" t="n"/>
      <c r="I57" s="34" t="n"/>
      <c r="J57" s="34" t="n"/>
      <c r="K57" s="34" t="n"/>
      <c r="L57" s="34" t="n"/>
      <c r="M57" s="36" t="n"/>
      <c r="N57" s="36" t="n"/>
      <c r="O57" s="41" t="n"/>
      <c r="P57" s="27">
        <f>IF($B57="","",IFERROR(TRIM(LEFT($B57,FIND(" - ",$B57)-1)),"Others"))</f>
        <v/>
      </c>
      <c r="Q57" s="39">
        <f>IF($A57="","",SUM($F57:$H57))</f>
        <v/>
      </c>
      <c r="R57" s="39">
        <f>IF($A57="","",SUM($I57:$K57))</f>
        <v/>
      </c>
      <c r="S57" s="39">
        <f>IF($A57="","",($L57+$R57)-$Q57)</f>
        <v/>
      </c>
      <c r="T57" s="31">
        <f>IF(OR($A57="",$Q57=0),"",$S57/$Q57)</f>
        <v/>
      </c>
      <c r="U57" s="27">
        <f>IF($A57="","",IF($L57&gt;0,"Live","Exited"))</f>
        <v/>
      </c>
      <c r="V57" s="40">
        <f>IF($A57="","",IF($A57='Client Report'!$C$4,COUNTIFS($A$6:$A57,'Client Report'!$C$4),""))</f>
        <v/>
      </c>
    </row>
    <row r="58">
      <c r="A58" s="11" t="n"/>
      <c r="B58" s="11" t="n"/>
      <c r="C58" s="11" t="n"/>
      <c r="D58" s="11" t="n"/>
      <c r="E58" s="12" t="n"/>
      <c r="F58" s="34" t="n"/>
      <c r="G58" s="34" t="n"/>
      <c r="H58" s="34" t="n"/>
      <c r="I58" s="34" t="n"/>
      <c r="J58" s="34" t="n"/>
      <c r="K58" s="34" t="n"/>
      <c r="L58" s="34" t="n"/>
      <c r="M58" s="36" t="n"/>
      <c r="N58" s="36" t="n"/>
      <c r="O58" s="41" t="n"/>
      <c r="P58" s="27">
        <f>IF($B58="","",IFERROR(TRIM(LEFT($B58,FIND(" - ",$B58)-1)),"Others"))</f>
        <v/>
      </c>
      <c r="Q58" s="39">
        <f>IF($A58="","",SUM($F58:$H58))</f>
        <v/>
      </c>
      <c r="R58" s="39">
        <f>IF($A58="","",SUM($I58:$K58))</f>
        <v/>
      </c>
      <c r="S58" s="39">
        <f>IF($A58="","",($L58+$R58)-$Q58)</f>
        <v/>
      </c>
      <c r="T58" s="31">
        <f>IF(OR($A58="",$Q58=0),"",$S58/$Q58)</f>
        <v/>
      </c>
      <c r="U58" s="27">
        <f>IF($A58="","",IF($L58&gt;0,"Live","Exited"))</f>
        <v/>
      </c>
      <c r="V58" s="40">
        <f>IF($A58="","",IF($A58='Client Report'!$C$4,COUNTIFS($A$6:$A58,'Client Report'!$C$4),""))</f>
        <v/>
      </c>
    </row>
    <row r="59">
      <c r="A59" s="11" t="n"/>
      <c r="B59" s="11" t="n"/>
      <c r="C59" s="11" t="n"/>
      <c r="D59" s="11" t="n"/>
      <c r="E59" s="12" t="n"/>
      <c r="F59" s="34" t="n"/>
      <c r="G59" s="34" t="n"/>
      <c r="H59" s="34" t="n"/>
      <c r="I59" s="34" t="n"/>
      <c r="J59" s="34" t="n"/>
      <c r="K59" s="34" t="n"/>
      <c r="L59" s="34" t="n"/>
      <c r="M59" s="36" t="n"/>
      <c r="N59" s="36" t="n"/>
      <c r="O59" s="41" t="n"/>
      <c r="P59" s="27">
        <f>IF($B59="","",IFERROR(TRIM(LEFT($B59,FIND(" - ",$B59)-1)),"Others"))</f>
        <v/>
      </c>
      <c r="Q59" s="39">
        <f>IF($A59="","",SUM($F59:$H59))</f>
        <v/>
      </c>
      <c r="R59" s="39">
        <f>IF($A59="","",SUM($I59:$K59))</f>
        <v/>
      </c>
      <c r="S59" s="39">
        <f>IF($A59="","",($L59+$R59)-$Q59)</f>
        <v/>
      </c>
      <c r="T59" s="31">
        <f>IF(OR($A59="",$Q59=0),"",$S59/$Q59)</f>
        <v/>
      </c>
      <c r="U59" s="27">
        <f>IF($A59="","",IF($L59&gt;0,"Live","Exited"))</f>
        <v/>
      </c>
      <c r="V59" s="40">
        <f>IF($A59="","",IF($A59='Client Report'!$C$4,COUNTIFS($A$6:$A59,'Client Report'!$C$4),""))</f>
        <v/>
      </c>
    </row>
    <row r="60">
      <c r="A60" s="11" t="n"/>
      <c r="B60" s="11" t="n"/>
      <c r="C60" s="11" t="n"/>
      <c r="D60" s="11" t="n"/>
      <c r="E60" s="12" t="n"/>
      <c r="F60" s="34" t="n"/>
      <c r="G60" s="34" t="n"/>
      <c r="H60" s="34" t="n"/>
      <c r="I60" s="34" t="n"/>
      <c r="J60" s="34" t="n"/>
      <c r="K60" s="34" t="n"/>
      <c r="L60" s="34" t="n"/>
      <c r="M60" s="36" t="n"/>
      <c r="N60" s="36" t="n"/>
      <c r="O60" s="41" t="n"/>
      <c r="P60" s="27">
        <f>IF($B60="","",IFERROR(TRIM(LEFT($B60,FIND(" - ",$B60)-1)),"Others"))</f>
        <v/>
      </c>
      <c r="Q60" s="39">
        <f>IF($A60="","",SUM($F60:$H60))</f>
        <v/>
      </c>
      <c r="R60" s="39">
        <f>IF($A60="","",SUM($I60:$K60))</f>
        <v/>
      </c>
      <c r="S60" s="39">
        <f>IF($A60="","",($L60+$R60)-$Q60)</f>
        <v/>
      </c>
      <c r="T60" s="31">
        <f>IF(OR($A60="",$Q60=0),"",$S60/$Q60)</f>
        <v/>
      </c>
      <c r="U60" s="27">
        <f>IF($A60="","",IF($L60&gt;0,"Live","Exited"))</f>
        <v/>
      </c>
      <c r="V60" s="40">
        <f>IF($A60="","",IF($A60='Client Report'!$C$4,COUNTIFS($A$6:$A60,'Client Report'!$C$4),""))</f>
        <v/>
      </c>
    </row>
    <row r="61">
      <c r="A61" s="11" t="n"/>
      <c r="B61" s="11" t="n"/>
      <c r="C61" s="11" t="n"/>
      <c r="D61" s="11" t="n"/>
      <c r="E61" s="12" t="n"/>
      <c r="F61" s="34" t="n"/>
      <c r="G61" s="34" t="n"/>
      <c r="H61" s="34" t="n"/>
      <c r="I61" s="34" t="n"/>
      <c r="J61" s="34" t="n"/>
      <c r="K61" s="34" t="n"/>
      <c r="L61" s="34" t="n"/>
      <c r="M61" s="36" t="n"/>
      <c r="N61" s="36" t="n"/>
      <c r="O61" s="41" t="n"/>
      <c r="P61" s="27">
        <f>IF($B61="","",IFERROR(TRIM(LEFT($B61,FIND(" - ",$B61)-1)),"Others"))</f>
        <v/>
      </c>
      <c r="Q61" s="39">
        <f>IF($A61="","",SUM($F61:$H61))</f>
        <v/>
      </c>
      <c r="R61" s="39">
        <f>IF($A61="","",SUM($I61:$K61))</f>
        <v/>
      </c>
      <c r="S61" s="39">
        <f>IF($A61="","",($L61+$R61)-$Q61)</f>
        <v/>
      </c>
      <c r="T61" s="31">
        <f>IF(OR($A61="",$Q61=0),"",$S61/$Q61)</f>
        <v/>
      </c>
      <c r="U61" s="27">
        <f>IF($A61="","",IF($L61&gt;0,"Live","Exited"))</f>
        <v/>
      </c>
      <c r="V61" s="40">
        <f>IF($A61="","",IF($A61='Client Report'!$C$4,COUNTIFS($A$6:$A61,'Client Report'!$C$4),""))</f>
        <v/>
      </c>
    </row>
    <row r="62">
      <c r="A62" s="11" t="n"/>
      <c r="B62" s="11" t="n"/>
      <c r="C62" s="11" t="n"/>
      <c r="D62" s="11" t="n"/>
      <c r="E62" s="12" t="n"/>
      <c r="F62" s="34" t="n"/>
      <c r="G62" s="34" t="n"/>
      <c r="H62" s="34" t="n"/>
      <c r="I62" s="34" t="n"/>
      <c r="J62" s="34" t="n"/>
      <c r="K62" s="34" t="n"/>
      <c r="L62" s="34" t="n"/>
      <c r="M62" s="36" t="n"/>
      <c r="N62" s="36" t="n"/>
      <c r="O62" s="41" t="n"/>
      <c r="P62" s="27">
        <f>IF($B62="","",IFERROR(TRIM(LEFT($B62,FIND(" - ",$B62)-1)),"Others"))</f>
        <v/>
      </c>
      <c r="Q62" s="39">
        <f>IF($A62="","",SUM($F62:$H62))</f>
        <v/>
      </c>
      <c r="R62" s="39">
        <f>IF($A62="","",SUM($I62:$K62))</f>
        <v/>
      </c>
      <c r="S62" s="39">
        <f>IF($A62="","",($L62+$R62)-$Q62)</f>
        <v/>
      </c>
      <c r="T62" s="31">
        <f>IF(OR($A62="",$Q62=0),"",$S62/$Q62)</f>
        <v/>
      </c>
      <c r="U62" s="27">
        <f>IF($A62="","",IF($L62&gt;0,"Live","Exited"))</f>
        <v/>
      </c>
      <c r="V62" s="40">
        <f>IF($A62="","",IF($A62='Client Report'!$C$4,COUNTIFS($A$6:$A62,'Client Report'!$C$4),""))</f>
        <v/>
      </c>
    </row>
    <row r="63">
      <c r="A63" s="11" t="n"/>
      <c r="B63" s="11" t="n"/>
      <c r="C63" s="11" t="n"/>
      <c r="D63" s="11" t="n"/>
      <c r="E63" s="12" t="n"/>
      <c r="F63" s="34" t="n"/>
      <c r="G63" s="34" t="n"/>
      <c r="H63" s="34" t="n"/>
      <c r="I63" s="34" t="n"/>
      <c r="J63" s="34" t="n"/>
      <c r="K63" s="34" t="n"/>
      <c r="L63" s="34" t="n"/>
      <c r="M63" s="36" t="n"/>
      <c r="N63" s="36" t="n"/>
      <c r="O63" s="41" t="n"/>
      <c r="P63" s="27">
        <f>IF($B63="","",IFERROR(TRIM(LEFT($B63,FIND(" - ",$B63)-1)),"Others"))</f>
        <v/>
      </c>
      <c r="Q63" s="39">
        <f>IF($A63="","",SUM($F63:$H63))</f>
        <v/>
      </c>
      <c r="R63" s="39">
        <f>IF($A63="","",SUM($I63:$K63))</f>
        <v/>
      </c>
      <c r="S63" s="39">
        <f>IF($A63="","",($L63+$R63)-$Q63)</f>
        <v/>
      </c>
      <c r="T63" s="31">
        <f>IF(OR($A63="",$Q63=0),"",$S63/$Q63)</f>
        <v/>
      </c>
      <c r="U63" s="27">
        <f>IF($A63="","",IF($L63&gt;0,"Live","Exited"))</f>
        <v/>
      </c>
      <c r="V63" s="40">
        <f>IF($A63="","",IF($A63='Client Report'!$C$4,COUNTIFS($A$6:$A63,'Client Report'!$C$4),""))</f>
        <v/>
      </c>
    </row>
    <row r="64">
      <c r="A64" s="11" t="n"/>
      <c r="B64" s="11" t="n"/>
      <c r="C64" s="11" t="n"/>
      <c r="D64" s="11" t="n"/>
      <c r="E64" s="12" t="n"/>
      <c r="F64" s="34" t="n"/>
      <c r="G64" s="34" t="n"/>
      <c r="H64" s="34" t="n"/>
      <c r="I64" s="34" t="n"/>
      <c r="J64" s="34" t="n"/>
      <c r="K64" s="34" t="n"/>
      <c r="L64" s="34" t="n"/>
      <c r="M64" s="36" t="n"/>
      <c r="N64" s="36" t="n"/>
      <c r="O64" s="41" t="n"/>
      <c r="P64" s="27">
        <f>IF($B64="","",IFERROR(TRIM(LEFT($B64,FIND(" - ",$B64)-1)),"Others"))</f>
        <v/>
      </c>
      <c r="Q64" s="39">
        <f>IF($A64="","",SUM($F64:$H64))</f>
        <v/>
      </c>
      <c r="R64" s="39">
        <f>IF($A64="","",SUM($I64:$K64))</f>
        <v/>
      </c>
      <c r="S64" s="39">
        <f>IF($A64="","",($L64+$R64)-$Q64)</f>
        <v/>
      </c>
      <c r="T64" s="31">
        <f>IF(OR($A64="",$Q64=0),"",$S64/$Q64)</f>
        <v/>
      </c>
      <c r="U64" s="27">
        <f>IF($A64="","",IF($L64&gt;0,"Live","Exited"))</f>
        <v/>
      </c>
      <c r="V64" s="40">
        <f>IF($A64="","",IF($A64='Client Report'!$C$4,COUNTIFS($A$6:$A64,'Client Report'!$C$4),""))</f>
        <v/>
      </c>
    </row>
    <row r="65">
      <c r="A65" s="11" t="n"/>
      <c r="B65" s="11" t="n"/>
      <c r="C65" s="11" t="n"/>
      <c r="D65" s="11" t="n"/>
      <c r="E65" s="12" t="n"/>
      <c r="F65" s="34" t="n"/>
      <c r="G65" s="34" t="n"/>
      <c r="H65" s="34" t="n"/>
      <c r="I65" s="34" t="n"/>
      <c r="J65" s="34" t="n"/>
      <c r="K65" s="34" t="n"/>
      <c r="L65" s="34" t="n"/>
      <c r="M65" s="36" t="n"/>
      <c r="N65" s="36" t="n"/>
      <c r="O65" s="41" t="n"/>
      <c r="P65" s="27">
        <f>IF($B65="","",IFERROR(TRIM(LEFT($B65,FIND(" - ",$B65)-1)),"Others"))</f>
        <v/>
      </c>
      <c r="Q65" s="39">
        <f>IF($A65="","",SUM($F65:$H65))</f>
        <v/>
      </c>
      <c r="R65" s="39">
        <f>IF($A65="","",SUM($I65:$K65))</f>
        <v/>
      </c>
      <c r="S65" s="39">
        <f>IF($A65="","",($L65+$R65)-$Q65)</f>
        <v/>
      </c>
      <c r="T65" s="31">
        <f>IF(OR($A65="",$Q65=0),"",$S65/$Q65)</f>
        <v/>
      </c>
      <c r="U65" s="27">
        <f>IF($A65="","",IF($L65&gt;0,"Live","Exited"))</f>
        <v/>
      </c>
      <c r="V65" s="40">
        <f>IF($A65="","",IF($A65='Client Report'!$C$4,COUNTIFS($A$6:$A65,'Client Report'!$C$4),""))</f>
        <v/>
      </c>
    </row>
    <row r="66">
      <c r="A66" s="11" t="n"/>
      <c r="B66" s="11" t="n"/>
      <c r="C66" s="11" t="n"/>
      <c r="D66" s="11" t="n"/>
      <c r="E66" s="12" t="n"/>
      <c r="F66" s="34" t="n"/>
      <c r="G66" s="34" t="n"/>
      <c r="H66" s="34" t="n"/>
      <c r="I66" s="34" t="n"/>
      <c r="J66" s="34" t="n"/>
      <c r="K66" s="34" t="n"/>
      <c r="L66" s="34" t="n"/>
      <c r="M66" s="36" t="n"/>
      <c r="N66" s="36" t="n"/>
      <c r="O66" s="41" t="n"/>
      <c r="P66" s="27">
        <f>IF($B66="","",IFERROR(TRIM(LEFT($B66,FIND(" - ",$B66)-1)),"Others"))</f>
        <v/>
      </c>
      <c r="Q66" s="39">
        <f>IF($A66="","",SUM($F66:$H66))</f>
        <v/>
      </c>
      <c r="R66" s="39">
        <f>IF($A66="","",SUM($I66:$K66))</f>
        <v/>
      </c>
      <c r="S66" s="39">
        <f>IF($A66="","",($L66+$R66)-$Q66)</f>
        <v/>
      </c>
      <c r="T66" s="31">
        <f>IF(OR($A66="",$Q66=0),"",$S66/$Q66)</f>
        <v/>
      </c>
      <c r="U66" s="27">
        <f>IF($A66="","",IF($L66&gt;0,"Live","Exited"))</f>
        <v/>
      </c>
      <c r="V66" s="40">
        <f>IF($A66="","",IF($A66='Client Report'!$C$4,COUNTIFS($A$6:$A66,'Client Report'!$C$4),""))</f>
        <v/>
      </c>
    </row>
    <row r="67">
      <c r="A67" s="11" t="n"/>
      <c r="B67" s="11" t="n"/>
      <c r="C67" s="11" t="n"/>
      <c r="D67" s="11" t="n"/>
      <c r="E67" s="12" t="n"/>
      <c r="F67" s="34" t="n"/>
      <c r="G67" s="34" t="n"/>
      <c r="H67" s="34" t="n"/>
      <c r="I67" s="34" t="n"/>
      <c r="J67" s="34" t="n"/>
      <c r="K67" s="34" t="n"/>
      <c r="L67" s="34" t="n"/>
      <c r="M67" s="36" t="n"/>
      <c r="N67" s="36" t="n"/>
      <c r="O67" s="41" t="n"/>
      <c r="P67" s="27">
        <f>IF($B67="","",IFERROR(TRIM(LEFT($B67,FIND(" - ",$B67)-1)),"Others"))</f>
        <v/>
      </c>
      <c r="Q67" s="39">
        <f>IF($A67="","",SUM($F67:$H67))</f>
        <v/>
      </c>
      <c r="R67" s="39">
        <f>IF($A67="","",SUM($I67:$K67))</f>
        <v/>
      </c>
      <c r="S67" s="39">
        <f>IF($A67="","",($L67+$R67)-$Q67)</f>
        <v/>
      </c>
      <c r="T67" s="31">
        <f>IF(OR($A67="",$Q67=0),"",$S67/$Q67)</f>
        <v/>
      </c>
      <c r="U67" s="27">
        <f>IF($A67="","",IF($L67&gt;0,"Live","Exited"))</f>
        <v/>
      </c>
      <c r="V67" s="40">
        <f>IF($A67="","",IF($A67='Client Report'!$C$4,COUNTIFS($A$6:$A67,'Client Report'!$C$4),""))</f>
        <v/>
      </c>
    </row>
    <row r="68">
      <c r="A68" s="11" t="n"/>
      <c r="B68" s="11" t="n"/>
      <c r="C68" s="11" t="n"/>
      <c r="D68" s="11" t="n"/>
      <c r="E68" s="12" t="n"/>
      <c r="F68" s="34" t="n"/>
      <c r="G68" s="34" t="n"/>
      <c r="H68" s="34" t="n"/>
      <c r="I68" s="34" t="n"/>
      <c r="J68" s="34" t="n"/>
      <c r="K68" s="34" t="n"/>
      <c r="L68" s="34" t="n"/>
      <c r="M68" s="36" t="n"/>
      <c r="N68" s="36" t="n"/>
      <c r="O68" s="41" t="n"/>
      <c r="P68" s="27">
        <f>IF($B68="","",IFERROR(TRIM(LEFT($B68,FIND(" - ",$B68)-1)),"Others"))</f>
        <v/>
      </c>
      <c r="Q68" s="39">
        <f>IF($A68="","",SUM($F68:$H68))</f>
        <v/>
      </c>
      <c r="R68" s="39">
        <f>IF($A68="","",SUM($I68:$K68))</f>
        <v/>
      </c>
      <c r="S68" s="39">
        <f>IF($A68="","",($L68+$R68)-$Q68)</f>
        <v/>
      </c>
      <c r="T68" s="31">
        <f>IF(OR($A68="",$Q68=0),"",$S68/$Q68)</f>
        <v/>
      </c>
      <c r="U68" s="27">
        <f>IF($A68="","",IF($L68&gt;0,"Live","Exited"))</f>
        <v/>
      </c>
      <c r="V68" s="40">
        <f>IF($A68="","",IF($A68='Client Report'!$C$4,COUNTIFS($A$6:$A68,'Client Report'!$C$4),""))</f>
        <v/>
      </c>
    </row>
    <row r="69">
      <c r="A69" s="11" t="n"/>
      <c r="B69" s="11" t="n"/>
      <c r="C69" s="11" t="n"/>
      <c r="D69" s="11" t="n"/>
      <c r="E69" s="12" t="n"/>
      <c r="F69" s="34" t="n"/>
      <c r="G69" s="34" t="n"/>
      <c r="H69" s="34" t="n"/>
      <c r="I69" s="34" t="n"/>
      <c r="J69" s="34" t="n"/>
      <c r="K69" s="34" t="n"/>
      <c r="L69" s="34" t="n"/>
      <c r="M69" s="36" t="n"/>
      <c r="N69" s="36" t="n"/>
      <c r="O69" s="41" t="n"/>
      <c r="P69" s="27">
        <f>IF($B69="","",IFERROR(TRIM(LEFT($B69,FIND(" - ",$B69)-1)),"Others"))</f>
        <v/>
      </c>
      <c r="Q69" s="39">
        <f>IF($A69="","",SUM($F69:$H69))</f>
        <v/>
      </c>
      <c r="R69" s="39">
        <f>IF($A69="","",SUM($I69:$K69))</f>
        <v/>
      </c>
      <c r="S69" s="39">
        <f>IF($A69="","",($L69+$R69)-$Q69)</f>
        <v/>
      </c>
      <c r="T69" s="31">
        <f>IF(OR($A69="",$Q69=0),"",$S69/$Q69)</f>
        <v/>
      </c>
      <c r="U69" s="27">
        <f>IF($A69="","",IF($L69&gt;0,"Live","Exited"))</f>
        <v/>
      </c>
      <c r="V69" s="40">
        <f>IF($A69="","",IF($A69='Client Report'!$C$4,COUNTIFS($A$6:$A69,'Client Report'!$C$4),""))</f>
        <v/>
      </c>
    </row>
    <row r="70">
      <c r="A70" s="11" t="n"/>
      <c r="B70" s="11" t="n"/>
      <c r="C70" s="11" t="n"/>
      <c r="D70" s="11" t="n"/>
      <c r="E70" s="12" t="n"/>
      <c r="F70" s="34" t="n"/>
      <c r="G70" s="34" t="n"/>
      <c r="H70" s="34" t="n"/>
      <c r="I70" s="34" t="n"/>
      <c r="J70" s="34" t="n"/>
      <c r="K70" s="34" t="n"/>
      <c r="L70" s="34" t="n"/>
      <c r="M70" s="36" t="n"/>
      <c r="N70" s="36" t="n"/>
      <c r="O70" s="41" t="n"/>
      <c r="P70" s="27">
        <f>IF($B70="","",IFERROR(TRIM(LEFT($B70,FIND(" - ",$B70)-1)),"Others"))</f>
        <v/>
      </c>
      <c r="Q70" s="39">
        <f>IF($A70="","",SUM($F70:$H70))</f>
        <v/>
      </c>
      <c r="R70" s="39">
        <f>IF($A70="","",SUM($I70:$K70))</f>
        <v/>
      </c>
      <c r="S70" s="39">
        <f>IF($A70="","",($L70+$R70)-$Q70)</f>
        <v/>
      </c>
      <c r="T70" s="31">
        <f>IF(OR($A70="",$Q70=0),"",$S70/$Q70)</f>
        <v/>
      </c>
      <c r="U70" s="27">
        <f>IF($A70="","",IF($L70&gt;0,"Live","Exited"))</f>
        <v/>
      </c>
      <c r="V70" s="40">
        <f>IF($A70="","",IF($A70='Client Report'!$C$4,COUNTIFS($A$6:$A70,'Client Report'!$C$4),""))</f>
        <v/>
      </c>
    </row>
    <row r="71">
      <c r="A71" s="11" t="n"/>
      <c r="B71" s="11" t="n"/>
      <c r="C71" s="11" t="n"/>
      <c r="D71" s="11" t="n"/>
      <c r="E71" s="12" t="n"/>
      <c r="F71" s="34" t="n"/>
      <c r="G71" s="34" t="n"/>
      <c r="H71" s="34" t="n"/>
      <c r="I71" s="34" t="n"/>
      <c r="J71" s="34" t="n"/>
      <c r="K71" s="34" t="n"/>
      <c r="L71" s="34" t="n"/>
      <c r="M71" s="36" t="n"/>
      <c r="N71" s="36" t="n"/>
      <c r="O71" s="41" t="n"/>
      <c r="P71" s="27">
        <f>IF($B71="","",IFERROR(TRIM(LEFT($B71,FIND(" - ",$B71)-1)),"Others"))</f>
        <v/>
      </c>
      <c r="Q71" s="39">
        <f>IF($A71="","",SUM($F71:$H71))</f>
        <v/>
      </c>
      <c r="R71" s="39">
        <f>IF($A71="","",SUM($I71:$K71))</f>
        <v/>
      </c>
      <c r="S71" s="39">
        <f>IF($A71="","",($L71+$R71)-$Q71)</f>
        <v/>
      </c>
      <c r="T71" s="31">
        <f>IF(OR($A71="",$Q71=0),"",$S71/$Q71)</f>
        <v/>
      </c>
      <c r="U71" s="27">
        <f>IF($A71="","",IF($L71&gt;0,"Live","Exited"))</f>
        <v/>
      </c>
      <c r="V71" s="40">
        <f>IF($A71="","",IF($A71='Client Report'!$C$4,COUNTIFS($A$6:$A71,'Client Report'!$C$4),""))</f>
        <v/>
      </c>
    </row>
    <row r="72">
      <c r="A72" s="11" t="n"/>
      <c r="B72" s="11" t="n"/>
      <c r="C72" s="11" t="n"/>
      <c r="D72" s="11" t="n"/>
      <c r="E72" s="12" t="n"/>
      <c r="F72" s="34" t="n"/>
      <c r="G72" s="34" t="n"/>
      <c r="H72" s="34" t="n"/>
      <c r="I72" s="34" t="n"/>
      <c r="J72" s="34" t="n"/>
      <c r="K72" s="34" t="n"/>
      <c r="L72" s="34" t="n"/>
      <c r="M72" s="36" t="n"/>
      <c r="N72" s="36" t="n"/>
      <c r="O72" s="41" t="n"/>
      <c r="P72" s="27">
        <f>IF($B72="","",IFERROR(TRIM(LEFT($B72,FIND(" - ",$B72)-1)),"Others"))</f>
        <v/>
      </c>
      <c r="Q72" s="39">
        <f>IF($A72="","",SUM($F72:$H72))</f>
        <v/>
      </c>
      <c r="R72" s="39">
        <f>IF($A72="","",SUM($I72:$K72))</f>
        <v/>
      </c>
      <c r="S72" s="39">
        <f>IF($A72="","",($L72+$R72)-$Q72)</f>
        <v/>
      </c>
      <c r="T72" s="31">
        <f>IF(OR($A72="",$Q72=0),"",$S72/$Q72)</f>
        <v/>
      </c>
      <c r="U72" s="27">
        <f>IF($A72="","",IF($L72&gt;0,"Live","Exited"))</f>
        <v/>
      </c>
      <c r="V72" s="40">
        <f>IF($A72="","",IF($A72='Client Report'!$C$4,COUNTIFS($A$6:$A72,'Client Report'!$C$4),""))</f>
        <v/>
      </c>
    </row>
    <row r="73">
      <c r="A73" s="11" t="n"/>
      <c r="B73" s="11" t="n"/>
      <c r="C73" s="11" t="n"/>
      <c r="D73" s="11" t="n"/>
      <c r="E73" s="12" t="n"/>
      <c r="F73" s="34" t="n"/>
      <c r="G73" s="34" t="n"/>
      <c r="H73" s="34" t="n"/>
      <c r="I73" s="34" t="n"/>
      <c r="J73" s="34" t="n"/>
      <c r="K73" s="34" t="n"/>
      <c r="L73" s="34" t="n"/>
      <c r="M73" s="36" t="n"/>
      <c r="N73" s="36" t="n"/>
      <c r="O73" s="41" t="n"/>
      <c r="P73" s="27">
        <f>IF($B73="","",IFERROR(TRIM(LEFT($B73,FIND(" - ",$B73)-1)),"Others"))</f>
        <v/>
      </c>
      <c r="Q73" s="39">
        <f>IF($A73="","",SUM($F73:$H73))</f>
        <v/>
      </c>
      <c r="R73" s="39">
        <f>IF($A73="","",SUM($I73:$K73))</f>
        <v/>
      </c>
      <c r="S73" s="39">
        <f>IF($A73="","",($L73+$R73)-$Q73)</f>
        <v/>
      </c>
      <c r="T73" s="31">
        <f>IF(OR($A73="",$Q73=0),"",$S73/$Q73)</f>
        <v/>
      </c>
      <c r="U73" s="27">
        <f>IF($A73="","",IF($L73&gt;0,"Live","Exited"))</f>
        <v/>
      </c>
      <c r="V73" s="40">
        <f>IF($A73="","",IF($A73='Client Report'!$C$4,COUNTIFS($A$6:$A73,'Client Report'!$C$4),""))</f>
        <v/>
      </c>
    </row>
    <row r="74">
      <c r="A74" s="11" t="n"/>
      <c r="B74" s="11" t="n"/>
      <c r="C74" s="11" t="n"/>
      <c r="D74" s="11" t="n"/>
      <c r="E74" s="12" t="n"/>
      <c r="F74" s="34" t="n"/>
      <c r="G74" s="34" t="n"/>
      <c r="H74" s="34" t="n"/>
      <c r="I74" s="34" t="n"/>
      <c r="J74" s="34" t="n"/>
      <c r="K74" s="34" t="n"/>
      <c r="L74" s="34" t="n"/>
      <c r="M74" s="36" t="n"/>
      <c r="N74" s="36" t="n"/>
      <c r="O74" s="41" t="n"/>
      <c r="P74" s="27">
        <f>IF($B74="","",IFERROR(TRIM(LEFT($B74,FIND(" - ",$B74)-1)),"Others"))</f>
        <v/>
      </c>
      <c r="Q74" s="39">
        <f>IF($A74="","",SUM($F74:$H74))</f>
        <v/>
      </c>
      <c r="R74" s="39">
        <f>IF($A74="","",SUM($I74:$K74))</f>
        <v/>
      </c>
      <c r="S74" s="39">
        <f>IF($A74="","",($L74+$R74)-$Q74)</f>
        <v/>
      </c>
      <c r="T74" s="31">
        <f>IF(OR($A74="",$Q74=0),"",$S74/$Q74)</f>
        <v/>
      </c>
      <c r="U74" s="27">
        <f>IF($A74="","",IF($L74&gt;0,"Live","Exited"))</f>
        <v/>
      </c>
      <c r="V74" s="40">
        <f>IF($A74="","",IF($A74='Client Report'!$C$4,COUNTIFS($A$6:$A74,'Client Report'!$C$4),""))</f>
        <v/>
      </c>
    </row>
    <row r="75">
      <c r="A75" s="11" t="n"/>
      <c r="B75" s="11" t="n"/>
      <c r="C75" s="11" t="n"/>
      <c r="D75" s="11" t="n"/>
      <c r="E75" s="12" t="n"/>
      <c r="F75" s="34" t="n"/>
      <c r="G75" s="34" t="n"/>
      <c r="H75" s="34" t="n"/>
      <c r="I75" s="34" t="n"/>
      <c r="J75" s="34" t="n"/>
      <c r="K75" s="34" t="n"/>
      <c r="L75" s="34" t="n"/>
      <c r="M75" s="36" t="n"/>
      <c r="N75" s="36" t="n"/>
      <c r="O75" s="41" t="n"/>
      <c r="P75" s="27">
        <f>IF($B75="","",IFERROR(TRIM(LEFT($B75,FIND(" - ",$B75)-1)),"Others"))</f>
        <v/>
      </c>
      <c r="Q75" s="39">
        <f>IF($A75="","",SUM($F75:$H75))</f>
        <v/>
      </c>
      <c r="R75" s="39">
        <f>IF($A75="","",SUM($I75:$K75))</f>
        <v/>
      </c>
      <c r="S75" s="39">
        <f>IF($A75="","",($L75+$R75)-$Q75)</f>
        <v/>
      </c>
      <c r="T75" s="31">
        <f>IF(OR($A75="",$Q75=0),"",$S75/$Q75)</f>
        <v/>
      </c>
      <c r="U75" s="27">
        <f>IF($A75="","",IF($L75&gt;0,"Live","Exited"))</f>
        <v/>
      </c>
      <c r="V75" s="40">
        <f>IF($A75="","",IF($A75='Client Report'!$C$4,COUNTIFS($A$6:$A75,'Client Report'!$C$4),""))</f>
        <v/>
      </c>
    </row>
    <row r="76">
      <c r="A76" s="11" t="n"/>
      <c r="B76" s="11" t="n"/>
      <c r="C76" s="11" t="n"/>
      <c r="D76" s="11" t="n"/>
      <c r="E76" s="12" t="n"/>
      <c r="F76" s="34" t="n"/>
      <c r="G76" s="34" t="n"/>
      <c r="H76" s="34" t="n"/>
      <c r="I76" s="34" t="n"/>
      <c r="J76" s="34" t="n"/>
      <c r="K76" s="34" t="n"/>
      <c r="L76" s="34" t="n"/>
      <c r="M76" s="36" t="n"/>
      <c r="N76" s="36" t="n"/>
      <c r="O76" s="41" t="n"/>
      <c r="P76" s="27">
        <f>IF($B76="","",IFERROR(TRIM(LEFT($B76,FIND(" - ",$B76)-1)),"Others"))</f>
        <v/>
      </c>
      <c r="Q76" s="39">
        <f>IF($A76="","",SUM($F76:$H76))</f>
        <v/>
      </c>
      <c r="R76" s="39">
        <f>IF($A76="","",SUM($I76:$K76))</f>
        <v/>
      </c>
      <c r="S76" s="39">
        <f>IF($A76="","",($L76+$R76)-$Q76)</f>
        <v/>
      </c>
      <c r="T76" s="31">
        <f>IF(OR($A76="",$Q76=0),"",$S76/$Q76)</f>
        <v/>
      </c>
      <c r="U76" s="27">
        <f>IF($A76="","",IF($L76&gt;0,"Live","Exited"))</f>
        <v/>
      </c>
      <c r="V76" s="40">
        <f>IF($A76="","",IF($A76='Client Report'!$C$4,COUNTIFS($A$6:$A76,'Client Report'!$C$4),""))</f>
        <v/>
      </c>
    </row>
    <row r="77">
      <c r="A77" s="11" t="n"/>
      <c r="B77" s="11" t="n"/>
      <c r="C77" s="11" t="n"/>
      <c r="D77" s="11" t="n"/>
      <c r="E77" s="12" t="n"/>
      <c r="F77" s="34" t="n"/>
      <c r="G77" s="34" t="n"/>
      <c r="H77" s="34" t="n"/>
      <c r="I77" s="34" t="n"/>
      <c r="J77" s="34" t="n"/>
      <c r="K77" s="34" t="n"/>
      <c r="L77" s="34" t="n"/>
      <c r="M77" s="36" t="n"/>
      <c r="N77" s="36" t="n"/>
      <c r="O77" s="41" t="n"/>
      <c r="P77" s="27">
        <f>IF($B77="","",IFERROR(TRIM(LEFT($B77,FIND(" - ",$B77)-1)),"Others"))</f>
        <v/>
      </c>
      <c r="Q77" s="39">
        <f>IF($A77="","",SUM($F77:$H77))</f>
        <v/>
      </c>
      <c r="R77" s="39">
        <f>IF($A77="","",SUM($I77:$K77))</f>
        <v/>
      </c>
      <c r="S77" s="39">
        <f>IF($A77="","",($L77+$R77)-$Q77)</f>
        <v/>
      </c>
      <c r="T77" s="31">
        <f>IF(OR($A77="",$Q77=0),"",$S77/$Q77)</f>
        <v/>
      </c>
      <c r="U77" s="27">
        <f>IF($A77="","",IF($L77&gt;0,"Live","Exited"))</f>
        <v/>
      </c>
      <c r="V77" s="40">
        <f>IF($A77="","",IF($A77='Client Report'!$C$4,COUNTIFS($A$6:$A77,'Client Report'!$C$4),""))</f>
        <v/>
      </c>
    </row>
    <row r="78">
      <c r="A78" s="11" t="n"/>
      <c r="B78" s="11" t="n"/>
      <c r="C78" s="11" t="n"/>
      <c r="D78" s="11" t="n"/>
      <c r="E78" s="12" t="n"/>
      <c r="F78" s="34" t="n"/>
      <c r="G78" s="34" t="n"/>
      <c r="H78" s="34" t="n"/>
      <c r="I78" s="34" t="n"/>
      <c r="J78" s="34" t="n"/>
      <c r="K78" s="34" t="n"/>
      <c r="L78" s="34" t="n"/>
      <c r="M78" s="36" t="n"/>
      <c r="N78" s="36" t="n"/>
      <c r="O78" s="41" t="n"/>
      <c r="P78" s="27">
        <f>IF($B78="","",IFERROR(TRIM(LEFT($B78,FIND(" - ",$B78)-1)),"Others"))</f>
        <v/>
      </c>
      <c r="Q78" s="39">
        <f>IF($A78="","",SUM($F78:$H78))</f>
        <v/>
      </c>
      <c r="R78" s="39">
        <f>IF($A78="","",SUM($I78:$K78))</f>
        <v/>
      </c>
      <c r="S78" s="39">
        <f>IF($A78="","",($L78+$R78)-$Q78)</f>
        <v/>
      </c>
      <c r="T78" s="31">
        <f>IF(OR($A78="",$Q78=0),"",$S78/$Q78)</f>
        <v/>
      </c>
      <c r="U78" s="27">
        <f>IF($A78="","",IF($L78&gt;0,"Live","Exited"))</f>
        <v/>
      </c>
      <c r="V78" s="40">
        <f>IF($A78="","",IF($A78='Client Report'!$C$4,COUNTIFS($A$6:$A78,'Client Report'!$C$4),""))</f>
        <v/>
      </c>
    </row>
    <row r="79">
      <c r="A79" s="11" t="n"/>
      <c r="B79" s="11" t="n"/>
      <c r="C79" s="11" t="n"/>
      <c r="D79" s="11" t="n"/>
      <c r="E79" s="12" t="n"/>
      <c r="F79" s="34" t="n"/>
      <c r="G79" s="34" t="n"/>
      <c r="H79" s="34" t="n"/>
      <c r="I79" s="34" t="n"/>
      <c r="J79" s="34" t="n"/>
      <c r="K79" s="34" t="n"/>
      <c r="L79" s="34" t="n"/>
      <c r="M79" s="36" t="n"/>
      <c r="N79" s="36" t="n"/>
      <c r="O79" s="41" t="n"/>
      <c r="P79" s="27">
        <f>IF($B79="","",IFERROR(TRIM(LEFT($B79,FIND(" - ",$B79)-1)),"Others"))</f>
        <v/>
      </c>
      <c r="Q79" s="39">
        <f>IF($A79="","",SUM($F79:$H79))</f>
        <v/>
      </c>
      <c r="R79" s="39">
        <f>IF($A79="","",SUM($I79:$K79))</f>
        <v/>
      </c>
      <c r="S79" s="39">
        <f>IF($A79="","",($L79+$R79)-$Q79)</f>
        <v/>
      </c>
      <c r="T79" s="31">
        <f>IF(OR($A79="",$Q79=0),"",$S79/$Q79)</f>
        <v/>
      </c>
      <c r="U79" s="27">
        <f>IF($A79="","",IF($L79&gt;0,"Live","Exited"))</f>
        <v/>
      </c>
      <c r="V79" s="40">
        <f>IF($A79="","",IF($A79='Client Report'!$C$4,COUNTIFS($A$6:$A79,'Client Report'!$C$4),""))</f>
        <v/>
      </c>
    </row>
    <row r="80">
      <c r="A80" s="11" t="n"/>
      <c r="B80" s="11" t="n"/>
      <c r="C80" s="11" t="n"/>
      <c r="D80" s="11" t="n"/>
      <c r="E80" s="12" t="n"/>
      <c r="F80" s="34" t="n"/>
      <c r="G80" s="34" t="n"/>
      <c r="H80" s="34" t="n"/>
      <c r="I80" s="34" t="n"/>
      <c r="J80" s="34" t="n"/>
      <c r="K80" s="34" t="n"/>
      <c r="L80" s="34" t="n"/>
      <c r="M80" s="36" t="n"/>
      <c r="N80" s="36" t="n"/>
      <c r="O80" s="41" t="n"/>
      <c r="P80" s="27">
        <f>IF($B80="","",IFERROR(TRIM(LEFT($B80,FIND(" - ",$B80)-1)),"Others"))</f>
        <v/>
      </c>
      <c r="Q80" s="39">
        <f>IF($A80="","",SUM($F80:$H80))</f>
        <v/>
      </c>
      <c r="R80" s="39">
        <f>IF($A80="","",SUM($I80:$K80))</f>
        <v/>
      </c>
      <c r="S80" s="39">
        <f>IF($A80="","",($L80+$R80)-$Q80)</f>
        <v/>
      </c>
      <c r="T80" s="31">
        <f>IF(OR($A80="",$Q80=0),"",$S80/$Q80)</f>
        <v/>
      </c>
      <c r="U80" s="27">
        <f>IF($A80="","",IF($L80&gt;0,"Live","Exited"))</f>
        <v/>
      </c>
      <c r="V80" s="40">
        <f>IF($A80="","",IF($A80='Client Report'!$C$4,COUNTIFS($A$6:$A80,'Client Report'!$C$4),""))</f>
        <v/>
      </c>
    </row>
    <row r="81">
      <c r="A81" s="11" t="n"/>
      <c r="B81" s="11" t="n"/>
      <c r="C81" s="11" t="n"/>
      <c r="D81" s="11" t="n"/>
      <c r="E81" s="12" t="n"/>
      <c r="F81" s="34" t="n"/>
      <c r="G81" s="34" t="n"/>
      <c r="H81" s="34" t="n"/>
      <c r="I81" s="34" t="n"/>
      <c r="J81" s="34" t="n"/>
      <c r="K81" s="34" t="n"/>
      <c r="L81" s="34" t="n"/>
      <c r="M81" s="36" t="n"/>
      <c r="N81" s="36" t="n"/>
      <c r="O81" s="41" t="n"/>
      <c r="P81" s="27">
        <f>IF($B81="","",IFERROR(TRIM(LEFT($B81,FIND(" - ",$B81)-1)),"Others"))</f>
        <v/>
      </c>
      <c r="Q81" s="39">
        <f>IF($A81="","",SUM($F81:$H81))</f>
        <v/>
      </c>
      <c r="R81" s="39">
        <f>IF($A81="","",SUM($I81:$K81))</f>
        <v/>
      </c>
      <c r="S81" s="39">
        <f>IF($A81="","",($L81+$R81)-$Q81)</f>
        <v/>
      </c>
      <c r="T81" s="31">
        <f>IF(OR($A81="",$Q81=0),"",$S81/$Q81)</f>
        <v/>
      </c>
      <c r="U81" s="27">
        <f>IF($A81="","",IF($L81&gt;0,"Live","Exited"))</f>
        <v/>
      </c>
      <c r="V81" s="40">
        <f>IF($A81="","",IF($A81='Client Report'!$C$4,COUNTIFS($A$6:$A81,'Client Report'!$C$4),""))</f>
        <v/>
      </c>
    </row>
    <row r="82">
      <c r="A82" s="11" t="n"/>
      <c r="B82" s="11" t="n"/>
      <c r="C82" s="11" t="n"/>
      <c r="D82" s="11" t="n"/>
      <c r="E82" s="12" t="n"/>
      <c r="F82" s="34" t="n"/>
      <c r="G82" s="34" t="n"/>
      <c r="H82" s="34" t="n"/>
      <c r="I82" s="34" t="n"/>
      <c r="J82" s="34" t="n"/>
      <c r="K82" s="34" t="n"/>
      <c r="L82" s="34" t="n"/>
      <c r="M82" s="36" t="n"/>
      <c r="N82" s="36" t="n"/>
      <c r="O82" s="41" t="n"/>
      <c r="P82" s="27">
        <f>IF($B82="","",IFERROR(TRIM(LEFT($B82,FIND(" - ",$B82)-1)),"Others"))</f>
        <v/>
      </c>
      <c r="Q82" s="39">
        <f>IF($A82="","",SUM($F82:$H82))</f>
        <v/>
      </c>
      <c r="R82" s="39">
        <f>IF($A82="","",SUM($I82:$K82))</f>
        <v/>
      </c>
      <c r="S82" s="39">
        <f>IF($A82="","",($L82+$R82)-$Q82)</f>
        <v/>
      </c>
      <c r="T82" s="31">
        <f>IF(OR($A82="",$Q82=0),"",$S82/$Q82)</f>
        <v/>
      </c>
      <c r="U82" s="27">
        <f>IF($A82="","",IF($L82&gt;0,"Live","Exited"))</f>
        <v/>
      </c>
      <c r="V82" s="40">
        <f>IF($A82="","",IF($A82='Client Report'!$C$4,COUNTIFS($A$6:$A82,'Client Report'!$C$4),""))</f>
        <v/>
      </c>
    </row>
    <row r="83">
      <c r="A83" s="11" t="n"/>
      <c r="B83" s="11" t="n"/>
      <c r="C83" s="11" t="n"/>
      <c r="D83" s="11" t="n"/>
      <c r="E83" s="12" t="n"/>
      <c r="F83" s="34" t="n"/>
      <c r="G83" s="34" t="n"/>
      <c r="H83" s="34" t="n"/>
      <c r="I83" s="34" t="n"/>
      <c r="J83" s="34" t="n"/>
      <c r="K83" s="34" t="n"/>
      <c r="L83" s="34" t="n"/>
      <c r="M83" s="36" t="n"/>
      <c r="N83" s="36" t="n"/>
      <c r="O83" s="41" t="n"/>
      <c r="P83" s="27">
        <f>IF($B83="","",IFERROR(TRIM(LEFT($B83,FIND(" - ",$B83)-1)),"Others"))</f>
        <v/>
      </c>
      <c r="Q83" s="39">
        <f>IF($A83="","",SUM($F83:$H83))</f>
        <v/>
      </c>
      <c r="R83" s="39">
        <f>IF($A83="","",SUM($I83:$K83))</f>
        <v/>
      </c>
      <c r="S83" s="39">
        <f>IF($A83="","",($L83+$R83)-$Q83)</f>
        <v/>
      </c>
      <c r="T83" s="31">
        <f>IF(OR($A83="",$Q83=0),"",$S83/$Q83)</f>
        <v/>
      </c>
      <c r="U83" s="27">
        <f>IF($A83="","",IF($L83&gt;0,"Live","Exited"))</f>
        <v/>
      </c>
      <c r="V83" s="40">
        <f>IF($A83="","",IF($A83='Client Report'!$C$4,COUNTIFS($A$6:$A83,'Client Report'!$C$4),""))</f>
        <v/>
      </c>
    </row>
    <row r="84">
      <c r="A84" s="11" t="n"/>
      <c r="B84" s="11" t="n"/>
      <c r="C84" s="11" t="n"/>
      <c r="D84" s="11" t="n"/>
      <c r="E84" s="12" t="n"/>
      <c r="F84" s="34" t="n"/>
      <c r="G84" s="34" t="n"/>
      <c r="H84" s="34" t="n"/>
      <c r="I84" s="34" t="n"/>
      <c r="J84" s="34" t="n"/>
      <c r="K84" s="34" t="n"/>
      <c r="L84" s="34" t="n"/>
      <c r="M84" s="36" t="n"/>
      <c r="N84" s="36" t="n"/>
      <c r="O84" s="41" t="n"/>
      <c r="P84" s="27">
        <f>IF($B84="","",IFERROR(TRIM(LEFT($B84,FIND(" - ",$B84)-1)),"Others"))</f>
        <v/>
      </c>
      <c r="Q84" s="39">
        <f>IF($A84="","",SUM($F84:$H84))</f>
        <v/>
      </c>
      <c r="R84" s="39">
        <f>IF($A84="","",SUM($I84:$K84))</f>
        <v/>
      </c>
      <c r="S84" s="39">
        <f>IF($A84="","",($L84+$R84)-$Q84)</f>
        <v/>
      </c>
      <c r="T84" s="31">
        <f>IF(OR($A84="",$Q84=0),"",$S84/$Q84)</f>
        <v/>
      </c>
      <c r="U84" s="27">
        <f>IF($A84="","",IF($L84&gt;0,"Live","Exited"))</f>
        <v/>
      </c>
      <c r="V84" s="40">
        <f>IF($A84="","",IF($A84='Client Report'!$C$4,COUNTIFS($A$6:$A84,'Client Report'!$C$4),""))</f>
        <v/>
      </c>
    </row>
    <row r="85">
      <c r="A85" s="11" t="n"/>
      <c r="B85" s="11" t="n"/>
      <c r="C85" s="11" t="n"/>
      <c r="D85" s="11" t="n"/>
      <c r="E85" s="12" t="n"/>
      <c r="F85" s="34" t="n"/>
      <c r="G85" s="34" t="n"/>
      <c r="H85" s="34" t="n"/>
      <c r="I85" s="34" t="n"/>
      <c r="J85" s="34" t="n"/>
      <c r="K85" s="34" t="n"/>
      <c r="L85" s="34" t="n"/>
      <c r="M85" s="36" t="n"/>
      <c r="N85" s="36" t="n"/>
      <c r="O85" s="41" t="n"/>
      <c r="P85" s="27">
        <f>IF($B85="","",IFERROR(TRIM(LEFT($B85,FIND(" - ",$B85)-1)),"Others"))</f>
        <v/>
      </c>
      <c r="Q85" s="39">
        <f>IF($A85="","",SUM($F85:$H85))</f>
        <v/>
      </c>
      <c r="R85" s="39">
        <f>IF($A85="","",SUM($I85:$K85))</f>
        <v/>
      </c>
      <c r="S85" s="39">
        <f>IF($A85="","",($L85+$R85)-$Q85)</f>
        <v/>
      </c>
      <c r="T85" s="31">
        <f>IF(OR($A85="",$Q85=0),"",$S85/$Q85)</f>
        <v/>
      </c>
      <c r="U85" s="27">
        <f>IF($A85="","",IF($L85&gt;0,"Live","Exited"))</f>
        <v/>
      </c>
      <c r="V85" s="40">
        <f>IF($A85="","",IF($A85='Client Report'!$C$4,COUNTIFS($A$6:$A85,'Client Report'!$C$4),""))</f>
        <v/>
      </c>
    </row>
    <row r="86">
      <c r="A86" s="11" t="n"/>
      <c r="B86" s="11" t="n"/>
      <c r="C86" s="11" t="n"/>
      <c r="D86" s="11" t="n"/>
      <c r="E86" s="12" t="n"/>
      <c r="F86" s="34" t="n"/>
      <c r="G86" s="34" t="n"/>
      <c r="H86" s="34" t="n"/>
      <c r="I86" s="34" t="n"/>
      <c r="J86" s="34" t="n"/>
      <c r="K86" s="34" t="n"/>
      <c r="L86" s="34" t="n"/>
      <c r="M86" s="36" t="n"/>
      <c r="N86" s="36" t="n"/>
      <c r="O86" s="41" t="n"/>
      <c r="P86" s="27">
        <f>IF($B86="","",IFERROR(TRIM(LEFT($B86,FIND(" - ",$B86)-1)),"Others"))</f>
        <v/>
      </c>
      <c r="Q86" s="39">
        <f>IF($A86="","",SUM($F86:$H86))</f>
        <v/>
      </c>
      <c r="R86" s="39">
        <f>IF($A86="","",SUM($I86:$K86))</f>
        <v/>
      </c>
      <c r="S86" s="39">
        <f>IF($A86="","",($L86+$R86)-$Q86)</f>
        <v/>
      </c>
      <c r="T86" s="31">
        <f>IF(OR($A86="",$Q86=0),"",$S86/$Q86)</f>
        <v/>
      </c>
      <c r="U86" s="27">
        <f>IF($A86="","",IF($L86&gt;0,"Live","Exited"))</f>
        <v/>
      </c>
      <c r="V86" s="40">
        <f>IF($A86="","",IF($A86='Client Report'!$C$4,COUNTIFS($A$6:$A86,'Client Report'!$C$4),""))</f>
        <v/>
      </c>
    </row>
    <row r="87">
      <c r="A87" s="11" t="n"/>
      <c r="B87" s="11" t="n"/>
      <c r="C87" s="11" t="n"/>
      <c r="D87" s="11" t="n"/>
      <c r="E87" s="12" t="n"/>
      <c r="F87" s="34" t="n"/>
      <c r="G87" s="34" t="n"/>
      <c r="H87" s="34" t="n"/>
      <c r="I87" s="34" t="n"/>
      <c r="J87" s="34" t="n"/>
      <c r="K87" s="34" t="n"/>
      <c r="L87" s="34" t="n"/>
      <c r="M87" s="36" t="n"/>
      <c r="N87" s="36" t="n"/>
      <c r="O87" s="41" t="n"/>
      <c r="P87" s="27">
        <f>IF($B87="","",IFERROR(TRIM(LEFT($B87,FIND(" - ",$B87)-1)),"Others"))</f>
        <v/>
      </c>
      <c r="Q87" s="39">
        <f>IF($A87="","",SUM($F87:$H87))</f>
        <v/>
      </c>
      <c r="R87" s="39">
        <f>IF($A87="","",SUM($I87:$K87))</f>
        <v/>
      </c>
      <c r="S87" s="39">
        <f>IF($A87="","",($L87+$R87)-$Q87)</f>
        <v/>
      </c>
      <c r="T87" s="31">
        <f>IF(OR($A87="",$Q87=0),"",$S87/$Q87)</f>
        <v/>
      </c>
      <c r="U87" s="27">
        <f>IF($A87="","",IF($L87&gt;0,"Live","Exited"))</f>
        <v/>
      </c>
      <c r="V87" s="40">
        <f>IF($A87="","",IF($A87='Client Report'!$C$4,COUNTIFS($A$6:$A87,'Client Report'!$C$4),""))</f>
        <v/>
      </c>
    </row>
    <row r="88">
      <c r="A88" s="11" t="n"/>
      <c r="B88" s="11" t="n"/>
      <c r="C88" s="11" t="n"/>
      <c r="D88" s="11" t="n"/>
      <c r="E88" s="12" t="n"/>
      <c r="F88" s="34" t="n"/>
      <c r="G88" s="34" t="n"/>
      <c r="H88" s="34" t="n"/>
      <c r="I88" s="34" t="n"/>
      <c r="J88" s="34" t="n"/>
      <c r="K88" s="34" t="n"/>
      <c r="L88" s="34" t="n"/>
      <c r="M88" s="36" t="n"/>
      <c r="N88" s="36" t="n"/>
      <c r="O88" s="41" t="n"/>
      <c r="P88" s="27">
        <f>IF($B88="","",IFERROR(TRIM(LEFT($B88,FIND(" - ",$B88)-1)),"Others"))</f>
        <v/>
      </c>
      <c r="Q88" s="39">
        <f>IF($A88="","",SUM($F88:$H88))</f>
        <v/>
      </c>
      <c r="R88" s="39">
        <f>IF($A88="","",SUM($I88:$K88))</f>
        <v/>
      </c>
      <c r="S88" s="39">
        <f>IF($A88="","",($L88+$R88)-$Q88)</f>
        <v/>
      </c>
      <c r="T88" s="31">
        <f>IF(OR($A88="",$Q88=0),"",$S88/$Q88)</f>
        <v/>
      </c>
      <c r="U88" s="27">
        <f>IF($A88="","",IF($L88&gt;0,"Live","Exited"))</f>
        <v/>
      </c>
      <c r="V88" s="40">
        <f>IF($A88="","",IF($A88='Client Report'!$C$4,COUNTIFS($A$6:$A88,'Client Report'!$C$4),""))</f>
        <v/>
      </c>
    </row>
    <row r="89">
      <c r="A89" s="11" t="n"/>
      <c r="B89" s="11" t="n"/>
      <c r="C89" s="11" t="n"/>
      <c r="D89" s="11" t="n"/>
      <c r="E89" s="12" t="n"/>
      <c r="F89" s="34" t="n"/>
      <c r="G89" s="34" t="n"/>
      <c r="H89" s="34" t="n"/>
      <c r="I89" s="34" t="n"/>
      <c r="J89" s="34" t="n"/>
      <c r="K89" s="34" t="n"/>
      <c r="L89" s="34" t="n"/>
      <c r="M89" s="36" t="n"/>
      <c r="N89" s="36" t="n"/>
      <c r="O89" s="41" t="n"/>
      <c r="P89" s="27">
        <f>IF($B89="","",IFERROR(TRIM(LEFT($B89,FIND(" - ",$B89)-1)),"Others"))</f>
        <v/>
      </c>
      <c r="Q89" s="39">
        <f>IF($A89="","",SUM($F89:$H89))</f>
        <v/>
      </c>
      <c r="R89" s="39">
        <f>IF($A89="","",SUM($I89:$K89))</f>
        <v/>
      </c>
      <c r="S89" s="39">
        <f>IF($A89="","",($L89+$R89)-$Q89)</f>
        <v/>
      </c>
      <c r="T89" s="31">
        <f>IF(OR($A89="",$Q89=0),"",$S89/$Q89)</f>
        <v/>
      </c>
      <c r="U89" s="27">
        <f>IF($A89="","",IF($L89&gt;0,"Live","Exited"))</f>
        <v/>
      </c>
      <c r="V89" s="40">
        <f>IF($A89="","",IF($A89='Client Report'!$C$4,COUNTIFS($A$6:$A89,'Client Report'!$C$4),""))</f>
        <v/>
      </c>
    </row>
    <row r="90">
      <c r="A90" s="11" t="n"/>
      <c r="B90" s="11" t="n"/>
      <c r="C90" s="11" t="n"/>
      <c r="D90" s="11" t="n"/>
      <c r="E90" s="12" t="n"/>
      <c r="F90" s="34" t="n"/>
      <c r="G90" s="34" t="n"/>
      <c r="H90" s="34" t="n"/>
      <c r="I90" s="34" t="n"/>
      <c r="J90" s="34" t="n"/>
      <c r="K90" s="34" t="n"/>
      <c r="L90" s="34" t="n"/>
      <c r="M90" s="36" t="n"/>
      <c r="N90" s="36" t="n"/>
      <c r="O90" s="41" t="n"/>
      <c r="P90" s="27">
        <f>IF($B90="","",IFERROR(TRIM(LEFT($B90,FIND(" - ",$B90)-1)),"Others"))</f>
        <v/>
      </c>
      <c r="Q90" s="39">
        <f>IF($A90="","",SUM($F90:$H90))</f>
        <v/>
      </c>
      <c r="R90" s="39">
        <f>IF($A90="","",SUM($I90:$K90))</f>
        <v/>
      </c>
      <c r="S90" s="39">
        <f>IF($A90="","",($L90+$R90)-$Q90)</f>
        <v/>
      </c>
      <c r="T90" s="31">
        <f>IF(OR($A90="",$Q90=0),"",$S90/$Q90)</f>
        <v/>
      </c>
      <c r="U90" s="27">
        <f>IF($A90="","",IF($L90&gt;0,"Live","Exited"))</f>
        <v/>
      </c>
      <c r="V90" s="40">
        <f>IF($A90="","",IF($A90='Client Report'!$C$4,COUNTIFS($A$6:$A90,'Client Report'!$C$4),""))</f>
        <v/>
      </c>
    </row>
    <row r="91">
      <c r="A91" s="11" t="n"/>
      <c r="B91" s="11" t="n"/>
      <c r="C91" s="11" t="n"/>
      <c r="D91" s="11" t="n"/>
      <c r="E91" s="12" t="n"/>
      <c r="F91" s="34" t="n"/>
      <c r="G91" s="34" t="n"/>
      <c r="H91" s="34" t="n"/>
      <c r="I91" s="34" t="n"/>
      <c r="J91" s="34" t="n"/>
      <c r="K91" s="34" t="n"/>
      <c r="L91" s="34" t="n"/>
      <c r="M91" s="36" t="n"/>
      <c r="N91" s="36" t="n"/>
      <c r="O91" s="41" t="n"/>
      <c r="P91" s="27">
        <f>IF($B91="","",IFERROR(TRIM(LEFT($B91,FIND(" - ",$B91)-1)),"Others"))</f>
        <v/>
      </c>
      <c r="Q91" s="39">
        <f>IF($A91="","",SUM($F91:$H91))</f>
        <v/>
      </c>
      <c r="R91" s="39">
        <f>IF($A91="","",SUM($I91:$K91))</f>
        <v/>
      </c>
      <c r="S91" s="39">
        <f>IF($A91="","",($L91+$R91)-$Q91)</f>
        <v/>
      </c>
      <c r="T91" s="31">
        <f>IF(OR($A91="",$Q91=0),"",$S91/$Q91)</f>
        <v/>
      </c>
      <c r="U91" s="27">
        <f>IF($A91="","",IF($L91&gt;0,"Live","Exited"))</f>
        <v/>
      </c>
      <c r="V91" s="40">
        <f>IF($A91="","",IF($A91='Client Report'!$C$4,COUNTIFS($A$6:$A91,'Client Report'!$C$4),""))</f>
        <v/>
      </c>
    </row>
    <row r="92">
      <c r="A92" s="11" t="n"/>
      <c r="B92" s="11" t="n"/>
      <c r="C92" s="11" t="n"/>
      <c r="D92" s="11" t="n"/>
      <c r="E92" s="12" t="n"/>
      <c r="F92" s="34" t="n"/>
      <c r="G92" s="34" t="n"/>
      <c r="H92" s="34" t="n"/>
      <c r="I92" s="34" t="n"/>
      <c r="J92" s="34" t="n"/>
      <c r="K92" s="34" t="n"/>
      <c r="L92" s="34" t="n"/>
      <c r="M92" s="36" t="n"/>
      <c r="N92" s="36" t="n"/>
      <c r="O92" s="41" t="n"/>
      <c r="P92" s="27">
        <f>IF($B92="","",IFERROR(TRIM(LEFT($B92,FIND(" - ",$B92)-1)),"Others"))</f>
        <v/>
      </c>
      <c r="Q92" s="39">
        <f>IF($A92="","",SUM($F92:$H92))</f>
        <v/>
      </c>
      <c r="R92" s="39">
        <f>IF($A92="","",SUM($I92:$K92))</f>
        <v/>
      </c>
      <c r="S92" s="39">
        <f>IF($A92="","",($L92+$R92)-$Q92)</f>
        <v/>
      </c>
      <c r="T92" s="31">
        <f>IF(OR($A92="",$Q92=0),"",$S92/$Q92)</f>
        <v/>
      </c>
      <c r="U92" s="27">
        <f>IF($A92="","",IF($L92&gt;0,"Live","Exited"))</f>
        <v/>
      </c>
      <c r="V92" s="40">
        <f>IF($A92="","",IF($A92='Client Report'!$C$4,COUNTIFS($A$6:$A92,'Client Report'!$C$4),""))</f>
        <v/>
      </c>
    </row>
    <row r="93">
      <c r="A93" s="11" t="n"/>
      <c r="B93" s="11" t="n"/>
      <c r="C93" s="11" t="n"/>
      <c r="D93" s="11" t="n"/>
      <c r="E93" s="12" t="n"/>
      <c r="F93" s="34" t="n"/>
      <c r="G93" s="34" t="n"/>
      <c r="H93" s="34" t="n"/>
      <c r="I93" s="34" t="n"/>
      <c r="J93" s="34" t="n"/>
      <c r="K93" s="34" t="n"/>
      <c r="L93" s="34" t="n"/>
      <c r="M93" s="36" t="n"/>
      <c r="N93" s="36" t="n"/>
      <c r="O93" s="41" t="n"/>
      <c r="P93" s="27">
        <f>IF($B93="","",IFERROR(TRIM(LEFT($B93,FIND(" - ",$B93)-1)),"Others"))</f>
        <v/>
      </c>
      <c r="Q93" s="39">
        <f>IF($A93="","",SUM($F93:$H93))</f>
        <v/>
      </c>
      <c r="R93" s="39">
        <f>IF($A93="","",SUM($I93:$K93))</f>
        <v/>
      </c>
      <c r="S93" s="39">
        <f>IF($A93="","",($L93+$R93)-$Q93)</f>
        <v/>
      </c>
      <c r="T93" s="31">
        <f>IF(OR($A93="",$Q93=0),"",$S93/$Q93)</f>
        <v/>
      </c>
      <c r="U93" s="27">
        <f>IF($A93="","",IF($L93&gt;0,"Live","Exited"))</f>
        <v/>
      </c>
      <c r="V93" s="40">
        <f>IF($A93="","",IF($A93='Client Report'!$C$4,COUNTIFS($A$6:$A93,'Client Report'!$C$4),""))</f>
        <v/>
      </c>
    </row>
    <row r="94">
      <c r="A94" s="11" t="n"/>
      <c r="B94" s="11" t="n"/>
      <c r="C94" s="11" t="n"/>
      <c r="D94" s="11" t="n"/>
      <c r="E94" s="12" t="n"/>
      <c r="F94" s="34" t="n"/>
      <c r="G94" s="34" t="n"/>
      <c r="H94" s="34" t="n"/>
      <c r="I94" s="34" t="n"/>
      <c r="J94" s="34" t="n"/>
      <c r="K94" s="34" t="n"/>
      <c r="L94" s="34" t="n"/>
      <c r="M94" s="36" t="n"/>
      <c r="N94" s="36" t="n"/>
      <c r="O94" s="41" t="n"/>
      <c r="P94" s="27">
        <f>IF($B94="","",IFERROR(TRIM(LEFT($B94,FIND(" - ",$B94)-1)),"Others"))</f>
        <v/>
      </c>
      <c r="Q94" s="39">
        <f>IF($A94="","",SUM($F94:$H94))</f>
        <v/>
      </c>
      <c r="R94" s="39">
        <f>IF($A94="","",SUM($I94:$K94))</f>
        <v/>
      </c>
      <c r="S94" s="39">
        <f>IF($A94="","",($L94+$R94)-$Q94)</f>
        <v/>
      </c>
      <c r="T94" s="31">
        <f>IF(OR($A94="",$Q94=0),"",$S94/$Q94)</f>
        <v/>
      </c>
      <c r="U94" s="27">
        <f>IF($A94="","",IF($L94&gt;0,"Live","Exited"))</f>
        <v/>
      </c>
      <c r="V94" s="40">
        <f>IF($A94="","",IF($A94='Client Report'!$C$4,COUNTIFS($A$6:$A94,'Client Report'!$C$4),""))</f>
        <v/>
      </c>
    </row>
    <row r="95">
      <c r="A95" s="11" t="n"/>
      <c r="B95" s="11" t="n"/>
      <c r="C95" s="11" t="n"/>
      <c r="D95" s="11" t="n"/>
      <c r="E95" s="12" t="n"/>
      <c r="F95" s="34" t="n"/>
      <c r="G95" s="34" t="n"/>
      <c r="H95" s="34" t="n"/>
      <c r="I95" s="34" t="n"/>
      <c r="J95" s="34" t="n"/>
      <c r="K95" s="34" t="n"/>
      <c r="L95" s="34" t="n"/>
      <c r="M95" s="36" t="n"/>
      <c r="N95" s="36" t="n"/>
      <c r="O95" s="41" t="n"/>
      <c r="P95" s="27">
        <f>IF($B95="","",IFERROR(TRIM(LEFT($B95,FIND(" - ",$B95)-1)),"Others"))</f>
        <v/>
      </c>
      <c r="Q95" s="39">
        <f>IF($A95="","",SUM($F95:$H95))</f>
        <v/>
      </c>
      <c r="R95" s="39">
        <f>IF($A95="","",SUM($I95:$K95))</f>
        <v/>
      </c>
      <c r="S95" s="39">
        <f>IF($A95="","",($L95+$R95)-$Q95)</f>
        <v/>
      </c>
      <c r="T95" s="31">
        <f>IF(OR($A95="",$Q95=0),"",$S95/$Q95)</f>
        <v/>
      </c>
      <c r="U95" s="27">
        <f>IF($A95="","",IF($L95&gt;0,"Live","Exited"))</f>
        <v/>
      </c>
      <c r="V95" s="40">
        <f>IF($A95="","",IF($A95='Client Report'!$C$4,COUNTIFS($A$6:$A95,'Client Report'!$C$4),""))</f>
        <v/>
      </c>
    </row>
    <row r="96">
      <c r="A96" s="11" t="n"/>
      <c r="B96" s="11" t="n"/>
      <c r="C96" s="11" t="n"/>
      <c r="D96" s="11" t="n"/>
      <c r="E96" s="12" t="n"/>
      <c r="F96" s="34" t="n"/>
      <c r="G96" s="34" t="n"/>
      <c r="H96" s="34" t="n"/>
      <c r="I96" s="34" t="n"/>
      <c r="J96" s="34" t="n"/>
      <c r="K96" s="34" t="n"/>
      <c r="L96" s="34" t="n"/>
      <c r="M96" s="36" t="n"/>
      <c r="N96" s="36" t="n"/>
      <c r="O96" s="41" t="n"/>
      <c r="P96" s="27">
        <f>IF($B96="","",IFERROR(TRIM(LEFT($B96,FIND(" - ",$B96)-1)),"Others"))</f>
        <v/>
      </c>
      <c r="Q96" s="39">
        <f>IF($A96="","",SUM($F96:$H96))</f>
        <v/>
      </c>
      <c r="R96" s="39">
        <f>IF($A96="","",SUM($I96:$K96))</f>
        <v/>
      </c>
      <c r="S96" s="39">
        <f>IF($A96="","",($L96+$R96)-$Q96)</f>
        <v/>
      </c>
      <c r="T96" s="31">
        <f>IF(OR($A96="",$Q96=0),"",$S96/$Q96)</f>
        <v/>
      </c>
      <c r="U96" s="27">
        <f>IF($A96="","",IF($L96&gt;0,"Live","Exited"))</f>
        <v/>
      </c>
      <c r="V96" s="40">
        <f>IF($A96="","",IF($A96='Client Report'!$C$4,COUNTIFS($A$6:$A96,'Client Report'!$C$4),""))</f>
        <v/>
      </c>
    </row>
    <row r="97">
      <c r="A97" s="11" t="n"/>
      <c r="B97" s="11" t="n"/>
      <c r="C97" s="11" t="n"/>
      <c r="D97" s="11" t="n"/>
      <c r="E97" s="12" t="n"/>
      <c r="F97" s="34" t="n"/>
      <c r="G97" s="34" t="n"/>
      <c r="H97" s="34" t="n"/>
      <c r="I97" s="34" t="n"/>
      <c r="J97" s="34" t="n"/>
      <c r="K97" s="34" t="n"/>
      <c r="L97" s="34" t="n"/>
      <c r="M97" s="36" t="n"/>
      <c r="N97" s="36" t="n"/>
      <c r="O97" s="41" t="n"/>
      <c r="P97" s="27">
        <f>IF($B97="","",IFERROR(TRIM(LEFT($B97,FIND(" - ",$B97)-1)),"Others"))</f>
        <v/>
      </c>
      <c r="Q97" s="39">
        <f>IF($A97="","",SUM($F97:$H97))</f>
        <v/>
      </c>
      <c r="R97" s="39">
        <f>IF($A97="","",SUM($I97:$K97))</f>
        <v/>
      </c>
      <c r="S97" s="39">
        <f>IF($A97="","",($L97+$R97)-$Q97)</f>
        <v/>
      </c>
      <c r="T97" s="31">
        <f>IF(OR($A97="",$Q97=0),"",$S97/$Q97)</f>
        <v/>
      </c>
      <c r="U97" s="27">
        <f>IF($A97="","",IF($L97&gt;0,"Live","Exited"))</f>
        <v/>
      </c>
      <c r="V97" s="40">
        <f>IF($A97="","",IF($A97='Client Report'!$C$4,COUNTIFS($A$6:$A97,'Client Report'!$C$4),""))</f>
        <v/>
      </c>
    </row>
    <row r="98">
      <c r="A98" s="11" t="n"/>
      <c r="B98" s="11" t="n"/>
      <c r="C98" s="11" t="n"/>
      <c r="D98" s="11" t="n"/>
      <c r="E98" s="12" t="n"/>
      <c r="F98" s="34" t="n"/>
      <c r="G98" s="34" t="n"/>
      <c r="H98" s="34" t="n"/>
      <c r="I98" s="34" t="n"/>
      <c r="J98" s="34" t="n"/>
      <c r="K98" s="34" t="n"/>
      <c r="L98" s="34" t="n"/>
      <c r="M98" s="36" t="n"/>
      <c r="N98" s="36" t="n"/>
      <c r="O98" s="41" t="n"/>
      <c r="P98" s="27">
        <f>IF($B98="","",IFERROR(TRIM(LEFT($B98,FIND(" - ",$B98)-1)),"Others"))</f>
        <v/>
      </c>
      <c r="Q98" s="39">
        <f>IF($A98="","",SUM($F98:$H98))</f>
        <v/>
      </c>
      <c r="R98" s="39">
        <f>IF($A98="","",SUM($I98:$K98))</f>
        <v/>
      </c>
      <c r="S98" s="39">
        <f>IF($A98="","",($L98+$R98)-$Q98)</f>
        <v/>
      </c>
      <c r="T98" s="31">
        <f>IF(OR($A98="",$Q98=0),"",$S98/$Q98)</f>
        <v/>
      </c>
      <c r="U98" s="27">
        <f>IF($A98="","",IF($L98&gt;0,"Live","Exited"))</f>
        <v/>
      </c>
      <c r="V98" s="40">
        <f>IF($A98="","",IF($A98='Client Report'!$C$4,COUNTIFS($A$6:$A98,'Client Report'!$C$4),""))</f>
        <v/>
      </c>
    </row>
    <row r="99">
      <c r="A99" s="11" t="n"/>
      <c r="B99" s="11" t="n"/>
      <c r="C99" s="11" t="n"/>
      <c r="D99" s="11" t="n"/>
      <c r="E99" s="12" t="n"/>
      <c r="F99" s="34" t="n"/>
      <c r="G99" s="34" t="n"/>
      <c r="H99" s="34" t="n"/>
      <c r="I99" s="34" t="n"/>
      <c r="J99" s="34" t="n"/>
      <c r="K99" s="34" t="n"/>
      <c r="L99" s="34" t="n"/>
      <c r="M99" s="36" t="n"/>
      <c r="N99" s="36" t="n"/>
      <c r="O99" s="41" t="n"/>
      <c r="P99" s="27">
        <f>IF($B99="","",IFERROR(TRIM(LEFT($B99,FIND(" - ",$B99)-1)),"Others"))</f>
        <v/>
      </c>
      <c r="Q99" s="39">
        <f>IF($A99="","",SUM($F99:$H99))</f>
        <v/>
      </c>
      <c r="R99" s="39">
        <f>IF($A99="","",SUM($I99:$K99))</f>
        <v/>
      </c>
      <c r="S99" s="39">
        <f>IF($A99="","",($L99+$R99)-$Q99)</f>
        <v/>
      </c>
      <c r="T99" s="31">
        <f>IF(OR($A99="",$Q99=0),"",$S99/$Q99)</f>
        <v/>
      </c>
      <c r="U99" s="27">
        <f>IF($A99="","",IF($L99&gt;0,"Live","Exited"))</f>
        <v/>
      </c>
      <c r="V99" s="40">
        <f>IF($A99="","",IF($A99='Client Report'!$C$4,COUNTIFS($A$6:$A99,'Client Report'!$C$4),""))</f>
        <v/>
      </c>
    </row>
    <row r="100">
      <c r="A100" s="11" t="n"/>
      <c r="B100" s="11" t="n"/>
      <c r="C100" s="11" t="n"/>
      <c r="D100" s="11" t="n"/>
      <c r="E100" s="12" t="n"/>
      <c r="F100" s="34" t="n"/>
      <c r="G100" s="34" t="n"/>
      <c r="H100" s="34" t="n"/>
      <c r="I100" s="34" t="n"/>
      <c r="J100" s="34" t="n"/>
      <c r="K100" s="34" t="n"/>
      <c r="L100" s="34" t="n"/>
      <c r="M100" s="36" t="n"/>
      <c r="N100" s="36" t="n"/>
      <c r="O100" s="41" t="n"/>
      <c r="P100" s="27">
        <f>IF($B100="","",IFERROR(TRIM(LEFT($B100,FIND(" - ",$B100)-1)),"Others"))</f>
        <v/>
      </c>
      <c r="Q100" s="39">
        <f>IF($A100="","",SUM($F100:$H100))</f>
        <v/>
      </c>
      <c r="R100" s="39">
        <f>IF($A100="","",SUM($I100:$K100))</f>
        <v/>
      </c>
      <c r="S100" s="39">
        <f>IF($A100="","",($L100+$R100)-$Q100)</f>
        <v/>
      </c>
      <c r="T100" s="31">
        <f>IF(OR($A100="",$Q100=0),"",$S100/$Q100)</f>
        <v/>
      </c>
      <c r="U100" s="27">
        <f>IF($A100="","",IF($L100&gt;0,"Live","Exited"))</f>
        <v/>
      </c>
      <c r="V100" s="40">
        <f>IF($A100="","",IF($A100='Client Report'!$C$4,COUNTIFS($A$6:$A100,'Client Report'!$C$4),""))</f>
        <v/>
      </c>
    </row>
    <row r="101">
      <c r="A101" s="11" t="n"/>
      <c r="B101" s="11" t="n"/>
      <c r="C101" s="11" t="n"/>
      <c r="D101" s="11" t="n"/>
      <c r="E101" s="12" t="n"/>
      <c r="F101" s="34" t="n"/>
      <c r="G101" s="34" t="n"/>
      <c r="H101" s="34" t="n"/>
      <c r="I101" s="34" t="n"/>
      <c r="J101" s="34" t="n"/>
      <c r="K101" s="34" t="n"/>
      <c r="L101" s="34" t="n"/>
      <c r="M101" s="36" t="n"/>
      <c r="N101" s="36" t="n"/>
      <c r="O101" s="41" t="n"/>
      <c r="P101" s="27">
        <f>IF($B101="","",IFERROR(TRIM(LEFT($B101,FIND(" - ",$B101)-1)),"Others"))</f>
        <v/>
      </c>
      <c r="Q101" s="39">
        <f>IF($A101="","",SUM($F101:$H101))</f>
        <v/>
      </c>
      <c r="R101" s="39">
        <f>IF($A101="","",SUM($I101:$K101))</f>
        <v/>
      </c>
      <c r="S101" s="39">
        <f>IF($A101="","",($L101+$R101)-$Q101)</f>
        <v/>
      </c>
      <c r="T101" s="31">
        <f>IF(OR($A101="",$Q101=0),"",$S101/$Q101)</f>
        <v/>
      </c>
      <c r="U101" s="27">
        <f>IF($A101="","",IF($L101&gt;0,"Live","Exited"))</f>
        <v/>
      </c>
      <c r="V101" s="40">
        <f>IF($A101="","",IF($A101='Client Report'!$C$4,COUNTIFS($A$6:$A101,'Client Report'!$C$4),""))</f>
        <v/>
      </c>
    </row>
    <row r="102">
      <c r="A102" s="11" t="n"/>
      <c r="B102" s="11" t="n"/>
      <c r="C102" s="11" t="n"/>
      <c r="D102" s="11" t="n"/>
      <c r="E102" s="12" t="n"/>
      <c r="F102" s="34" t="n"/>
      <c r="G102" s="34" t="n"/>
      <c r="H102" s="34" t="n"/>
      <c r="I102" s="34" t="n"/>
      <c r="J102" s="34" t="n"/>
      <c r="K102" s="34" t="n"/>
      <c r="L102" s="34" t="n"/>
      <c r="M102" s="36" t="n"/>
      <c r="N102" s="36" t="n"/>
      <c r="O102" s="41" t="n"/>
      <c r="P102" s="27">
        <f>IF($B102="","",IFERROR(TRIM(LEFT($B102,FIND(" - ",$B102)-1)),"Others"))</f>
        <v/>
      </c>
      <c r="Q102" s="39">
        <f>IF($A102="","",SUM($F102:$H102))</f>
        <v/>
      </c>
      <c r="R102" s="39">
        <f>IF($A102="","",SUM($I102:$K102))</f>
        <v/>
      </c>
      <c r="S102" s="39">
        <f>IF($A102="","",($L102+$R102)-$Q102)</f>
        <v/>
      </c>
      <c r="T102" s="31">
        <f>IF(OR($A102="",$Q102=0),"",$S102/$Q102)</f>
        <v/>
      </c>
      <c r="U102" s="27">
        <f>IF($A102="","",IF($L102&gt;0,"Live","Exited"))</f>
        <v/>
      </c>
      <c r="V102" s="40">
        <f>IF($A102="","",IF($A102='Client Report'!$C$4,COUNTIFS($A$6:$A102,'Client Report'!$C$4),""))</f>
        <v/>
      </c>
    </row>
    <row r="103">
      <c r="A103" s="11" t="n"/>
      <c r="B103" s="11" t="n"/>
      <c r="C103" s="11" t="n"/>
      <c r="D103" s="11" t="n"/>
      <c r="E103" s="12" t="n"/>
      <c r="F103" s="34" t="n"/>
      <c r="G103" s="34" t="n"/>
      <c r="H103" s="34" t="n"/>
      <c r="I103" s="34" t="n"/>
      <c r="J103" s="34" t="n"/>
      <c r="K103" s="34" t="n"/>
      <c r="L103" s="34" t="n"/>
      <c r="M103" s="36" t="n"/>
      <c r="N103" s="36" t="n"/>
      <c r="O103" s="41" t="n"/>
      <c r="P103" s="27">
        <f>IF($B103="","",IFERROR(TRIM(LEFT($B103,FIND(" - ",$B103)-1)),"Others"))</f>
        <v/>
      </c>
      <c r="Q103" s="39">
        <f>IF($A103="","",SUM($F103:$H103))</f>
        <v/>
      </c>
      <c r="R103" s="39">
        <f>IF($A103="","",SUM($I103:$K103))</f>
        <v/>
      </c>
      <c r="S103" s="39">
        <f>IF($A103="","",($L103+$R103)-$Q103)</f>
        <v/>
      </c>
      <c r="T103" s="31">
        <f>IF(OR($A103="",$Q103=0),"",$S103/$Q103)</f>
        <v/>
      </c>
      <c r="U103" s="27">
        <f>IF($A103="","",IF($L103&gt;0,"Live","Exited"))</f>
        <v/>
      </c>
      <c r="V103" s="40">
        <f>IF($A103="","",IF($A103='Client Report'!$C$4,COUNTIFS($A$6:$A103,'Client Report'!$C$4),""))</f>
        <v/>
      </c>
    </row>
    <row r="104">
      <c r="A104" s="11" t="n"/>
      <c r="B104" s="11" t="n"/>
      <c r="C104" s="11" t="n"/>
      <c r="D104" s="11" t="n"/>
      <c r="E104" s="12" t="n"/>
      <c r="F104" s="34" t="n"/>
      <c r="G104" s="34" t="n"/>
      <c r="H104" s="34" t="n"/>
      <c r="I104" s="34" t="n"/>
      <c r="J104" s="34" t="n"/>
      <c r="K104" s="34" t="n"/>
      <c r="L104" s="34" t="n"/>
      <c r="M104" s="36" t="n"/>
      <c r="N104" s="36" t="n"/>
      <c r="O104" s="41" t="n"/>
      <c r="P104" s="27">
        <f>IF($B104="","",IFERROR(TRIM(LEFT($B104,FIND(" - ",$B104)-1)),"Others"))</f>
        <v/>
      </c>
      <c r="Q104" s="39">
        <f>IF($A104="","",SUM($F104:$H104))</f>
        <v/>
      </c>
      <c r="R104" s="39">
        <f>IF($A104="","",SUM($I104:$K104))</f>
        <v/>
      </c>
      <c r="S104" s="39">
        <f>IF($A104="","",($L104+$R104)-$Q104)</f>
        <v/>
      </c>
      <c r="T104" s="31">
        <f>IF(OR($A104="",$Q104=0),"",$S104/$Q104)</f>
        <v/>
      </c>
      <c r="U104" s="27">
        <f>IF($A104="","",IF($L104&gt;0,"Live","Exited"))</f>
        <v/>
      </c>
      <c r="V104" s="40">
        <f>IF($A104="","",IF($A104='Client Report'!$C$4,COUNTIFS($A$6:$A104,'Client Report'!$C$4),""))</f>
        <v/>
      </c>
    </row>
    <row r="105">
      <c r="A105" s="11" t="n"/>
      <c r="B105" s="11" t="n"/>
      <c r="C105" s="11" t="n"/>
      <c r="D105" s="11" t="n"/>
      <c r="E105" s="12" t="n"/>
      <c r="F105" s="34" t="n"/>
      <c r="G105" s="34" t="n"/>
      <c r="H105" s="34" t="n"/>
      <c r="I105" s="34" t="n"/>
      <c r="J105" s="34" t="n"/>
      <c r="K105" s="34" t="n"/>
      <c r="L105" s="34" t="n"/>
      <c r="M105" s="36" t="n"/>
      <c r="N105" s="36" t="n"/>
      <c r="O105" s="41" t="n"/>
      <c r="P105" s="27">
        <f>IF($B105="","",IFERROR(TRIM(LEFT($B105,FIND(" - ",$B105)-1)),"Others"))</f>
        <v/>
      </c>
      <c r="Q105" s="39">
        <f>IF($A105="","",SUM($F105:$H105))</f>
        <v/>
      </c>
      <c r="R105" s="39">
        <f>IF($A105="","",SUM($I105:$K105))</f>
        <v/>
      </c>
      <c r="S105" s="39">
        <f>IF($A105="","",($L105+$R105)-$Q105)</f>
        <v/>
      </c>
      <c r="T105" s="31">
        <f>IF(OR($A105="",$Q105=0),"",$S105/$Q105)</f>
        <v/>
      </c>
      <c r="U105" s="27">
        <f>IF($A105="","",IF($L105&gt;0,"Live","Exited"))</f>
        <v/>
      </c>
      <c r="V105" s="40">
        <f>IF($A105="","",IF($A105='Client Report'!$C$4,COUNTIFS($A$6:$A105,'Client Report'!$C$4),""))</f>
        <v/>
      </c>
    </row>
    <row r="106">
      <c r="A106" s="11" t="n"/>
      <c r="B106" s="11" t="n"/>
      <c r="C106" s="11" t="n"/>
      <c r="D106" s="11" t="n"/>
      <c r="E106" s="12" t="n"/>
      <c r="F106" s="34" t="n"/>
      <c r="G106" s="34" t="n"/>
      <c r="H106" s="34" t="n"/>
      <c r="I106" s="34" t="n"/>
      <c r="J106" s="34" t="n"/>
      <c r="K106" s="34" t="n"/>
      <c r="L106" s="34" t="n"/>
      <c r="M106" s="36" t="n"/>
      <c r="N106" s="36" t="n"/>
      <c r="O106" s="41" t="n"/>
      <c r="P106" s="27">
        <f>IF($B106="","",IFERROR(TRIM(LEFT($B106,FIND(" - ",$B106)-1)),"Others"))</f>
        <v/>
      </c>
      <c r="Q106" s="39">
        <f>IF($A106="","",SUM($F106:$H106))</f>
        <v/>
      </c>
      <c r="R106" s="39">
        <f>IF($A106="","",SUM($I106:$K106))</f>
        <v/>
      </c>
      <c r="S106" s="39">
        <f>IF($A106="","",($L106+$R106)-$Q106)</f>
        <v/>
      </c>
      <c r="T106" s="31">
        <f>IF(OR($A106="",$Q106=0),"",$S106/$Q106)</f>
        <v/>
      </c>
      <c r="U106" s="27">
        <f>IF($A106="","",IF($L106&gt;0,"Live","Exited"))</f>
        <v/>
      </c>
      <c r="V106" s="40">
        <f>IF($A106="","",IF($A106='Client Report'!$C$4,COUNTIFS($A$6:$A106,'Client Report'!$C$4),""))</f>
        <v/>
      </c>
    </row>
    <row r="107">
      <c r="A107" s="11" t="n"/>
      <c r="B107" s="11" t="n"/>
      <c r="C107" s="11" t="n"/>
      <c r="D107" s="11" t="n"/>
      <c r="E107" s="12" t="n"/>
      <c r="F107" s="34" t="n"/>
      <c r="G107" s="34" t="n"/>
      <c r="H107" s="34" t="n"/>
      <c r="I107" s="34" t="n"/>
      <c r="J107" s="34" t="n"/>
      <c r="K107" s="34" t="n"/>
      <c r="L107" s="34" t="n"/>
      <c r="M107" s="36" t="n"/>
      <c r="N107" s="36" t="n"/>
      <c r="O107" s="41" t="n"/>
      <c r="P107" s="27">
        <f>IF($B107="","",IFERROR(TRIM(LEFT($B107,FIND(" - ",$B107)-1)),"Others"))</f>
        <v/>
      </c>
      <c r="Q107" s="39">
        <f>IF($A107="","",SUM($F107:$H107))</f>
        <v/>
      </c>
      <c r="R107" s="39">
        <f>IF($A107="","",SUM($I107:$K107))</f>
        <v/>
      </c>
      <c r="S107" s="39">
        <f>IF($A107="","",($L107+$R107)-$Q107)</f>
        <v/>
      </c>
      <c r="T107" s="31">
        <f>IF(OR($A107="",$Q107=0),"",$S107/$Q107)</f>
        <v/>
      </c>
      <c r="U107" s="27">
        <f>IF($A107="","",IF($L107&gt;0,"Live","Exited"))</f>
        <v/>
      </c>
      <c r="V107" s="40">
        <f>IF($A107="","",IF($A107='Client Report'!$C$4,COUNTIFS($A$6:$A107,'Client Report'!$C$4),""))</f>
        <v/>
      </c>
    </row>
    <row r="108">
      <c r="A108" s="11" t="n"/>
      <c r="B108" s="11" t="n"/>
      <c r="C108" s="11" t="n"/>
      <c r="D108" s="11" t="n"/>
      <c r="E108" s="12" t="n"/>
      <c r="F108" s="34" t="n"/>
      <c r="G108" s="34" t="n"/>
      <c r="H108" s="34" t="n"/>
      <c r="I108" s="34" t="n"/>
      <c r="J108" s="34" t="n"/>
      <c r="K108" s="34" t="n"/>
      <c r="L108" s="34" t="n"/>
      <c r="M108" s="36" t="n"/>
      <c r="N108" s="36" t="n"/>
      <c r="O108" s="41" t="n"/>
      <c r="P108" s="27">
        <f>IF($B108="","",IFERROR(TRIM(LEFT($B108,FIND(" - ",$B108)-1)),"Others"))</f>
        <v/>
      </c>
      <c r="Q108" s="39">
        <f>IF($A108="","",SUM($F108:$H108))</f>
        <v/>
      </c>
      <c r="R108" s="39">
        <f>IF($A108="","",SUM($I108:$K108))</f>
        <v/>
      </c>
      <c r="S108" s="39">
        <f>IF($A108="","",($L108+$R108)-$Q108)</f>
        <v/>
      </c>
      <c r="T108" s="31">
        <f>IF(OR($A108="",$Q108=0),"",$S108/$Q108)</f>
        <v/>
      </c>
      <c r="U108" s="27">
        <f>IF($A108="","",IF($L108&gt;0,"Live","Exited"))</f>
        <v/>
      </c>
      <c r="V108" s="40">
        <f>IF($A108="","",IF($A108='Client Report'!$C$4,COUNTIFS($A$6:$A108,'Client Report'!$C$4),""))</f>
        <v/>
      </c>
    </row>
    <row r="109">
      <c r="A109" s="11" t="n"/>
      <c r="B109" s="11" t="n"/>
      <c r="C109" s="11" t="n"/>
      <c r="D109" s="11" t="n"/>
      <c r="E109" s="12" t="n"/>
      <c r="F109" s="34" t="n"/>
      <c r="G109" s="34" t="n"/>
      <c r="H109" s="34" t="n"/>
      <c r="I109" s="34" t="n"/>
      <c r="J109" s="34" t="n"/>
      <c r="K109" s="34" t="n"/>
      <c r="L109" s="34" t="n"/>
      <c r="M109" s="36" t="n"/>
      <c r="N109" s="36" t="n"/>
      <c r="O109" s="41" t="n"/>
      <c r="P109" s="27">
        <f>IF($B109="","",IFERROR(TRIM(LEFT($B109,FIND(" - ",$B109)-1)),"Others"))</f>
        <v/>
      </c>
      <c r="Q109" s="39">
        <f>IF($A109="","",SUM($F109:$H109))</f>
        <v/>
      </c>
      <c r="R109" s="39">
        <f>IF($A109="","",SUM($I109:$K109))</f>
        <v/>
      </c>
      <c r="S109" s="39">
        <f>IF($A109="","",($L109+$R109)-$Q109)</f>
        <v/>
      </c>
      <c r="T109" s="31">
        <f>IF(OR($A109="",$Q109=0),"",$S109/$Q109)</f>
        <v/>
      </c>
      <c r="U109" s="27">
        <f>IF($A109="","",IF($L109&gt;0,"Live","Exited"))</f>
        <v/>
      </c>
      <c r="V109" s="40">
        <f>IF($A109="","",IF($A109='Client Report'!$C$4,COUNTIFS($A$6:$A109,'Client Report'!$C$4),""))</f>
        <v/>
      </c>
    </row>
    <row r="110">
      <c r="A110" s="11" t="n"/>
      <c r="B110" s="11" t="n"/>
      <c r="C110" s="11" t="n"/>
      <c r="D110" s="11" t="n"/>
      <c r="E110" s="12" t="n"/>
      <c r="F110" s="34" t="n"/>
      <c r="G110" s="34" t="n"/>
      <c r="H110" s="34" t="n"/>
      <c r="I110" s="34" t="n"/>
      <c r="J110" s="34" t="n"/>
      <c r="K110" s="34" t="n"/>
      <c r="L110" s="34" t="n"/>
      <c r="M110" s="36" t="n"/>
      <c r="N110" s="36" t="n"/>
      <c r="O110" s="41" t="n"/>
      <c r="P110" s="27">
        <f>IF($B110="","",IFERROR(TRIM(LEFT($B110,FIND(" - ",$B110)-1)),"Others"))</f>
        <v/>
      </c>
      <c r="Q110" s="39">
        <f>IF($A110="","",SUM($F110:$H110))</f>
        <v/>
      </c>
      <c r="R110" s="39">
        <f>IF($A110="","",SUM($I110:$K110))</f>
        <v/>
      </c>
      <c r="S110" s="39">
        <f>IF($A110="","",($L110+$R110)-$Q110)</f>
        <v/>
      </c>
      <c r="T110" s="31">
        <f>IF(OR($A110="",$Q110=0),"",$S110/$Q110)</f>
        <v/>
      </c>
      <c r="U110" s="27">
        <f>IF($A110="","",IF($L110&gt;0,"Live","Exited"))</f>
        <v/>
      </c>
      <c r="V110" s="40">
        <f>IF($A110="","",IF($A110='Client Report'!$C$4,COUNTIFS($A$6:$A110,'Client Report'!$C$4),""))</f>
        <v/>
      </c>
    </row>
    <row r="111">
      <c r="A111" s="11" t="n"/>
      <c r="B111" s="11" t="n"/>
      <c r="C111" s="11" t="n"/>
      <c r="D111" s="11" t="n"/>
      <c r="E111" s="12" t="n"/>
      <c r="F111" s="34" t="n"/>
      <c r="G111" s="34" t="n"/>
      <c r="H111" s="34" t="n"/>
      <c r="I111" s="34" t="n"/>
      <c r="J111" s="34" t="n"/>
      <c r="K111" s="34" t="n"/>
      <c r="L111" s="34" t="n"/>
      <c r="M111" s="36" t="n"/>
      <c r="N111" s="36" t="n"/>
      <c r="O111" s="41" t="n"/>
      <c r="P111" s="27">
        <f>IF($B111="","",IFERROR(TRIM(LEFT($B111,FIND(" - ",$B111)-1)),"Others"))</f>
        <v/>
      </c>
      <c r="Q111" s="39">
        <f>IF($A111="","",SUM($F111:$H111))</f>
        <v/>
      </c>
      <c r="R111" s="39">
        <f>IF($A111="","",SUM($I111:$K111))</f>
        <v/>
      </c>
      <c r="S111" s="39">
        <f>IF($A111="","",($L111+$R111)-$Q111)</f>
        <v/>
      </c>
      <c r="T111" s="31">
        <f>IF(OR($A111="",$Q111=0),"",$S111/$Q111)</f>
        <v/>
      </c>
      <c r="U111" s="27">
        <f>IF($A111="","",IF($L111&gt;0,"Live","Exited"))</f>
        <v/>
      </c>
      <c r="V111" s="40">
        <f>IF($A111="","",IF($A111='Client Report'!$C$4,COUNTIFS($A$6:$A111,'Client Report'!$C$4),""))</f>
        <v/>
      </c>
    </row>
    <row r="112">
      <c r="A112" s="11" t="n"/>
      <c r="B112" s="11" t="n"/>
      <c r="C112" s="11" t="n"/>
      <c r="D112" s="11" t="n"/>
      <c r="E112" s="12" t="n"/>
      <c r="F112" s="34" t="n"/>
      <c r="G112" s="34" t="n"/>
      <c r="H112" s="34" t="n"/>
      <c r="I112" s="34" t="n"/>
      <c r="J112" s="34" t="n"/>
      <c r="K112" s="34" t="n"/>
      <c r="L112" s="34" t="n"/>
      <c r="M112" s="36" t="n"/>
      <c r="N112" s="36" t="n"/>
      <c r="O112" s="41" t="n"/>
      <c r="P112" s="27">
        <f>IF($B112="","",IFERROR(TRIM(LEFT($B112,FIND(" - ",$B112)-1)),"Others"))</f>
        <v/>
      </c>
      <c r="Q112" s="39">
        <f>IF($A112="","",SUM($F112:$H112))</f>
        <v/>
      </c>
      <c r="R112" s="39">
        <f>IF($A112="","",SUM($I112:$K112))</f>
        <v/>
      </c>
      <c r="S112" s="39">
        <f>IF($A112="","",($L112+$R112)-$Q112)</f>
        <v/>
      </c>
      <c r="T112" s="31">
        <f>IF(OR($A112="",$Q112=0),"",$S112/$Q112)</f>
        <v/>
      </c>
      <c r="U112" s="27">
        <f>IF($A112="","",IF($L112&gt;0,"Live","Exited"))</f>
        <v/>
      </c>
      <c r="V112" s="40">
        <f>IF($A112="","",IF($A112='Client Report'!$C$4,COUNTIFS($A$6:$A112,'Client Report'!$C$4),""))</f>
        <v/>
      </c>
    </row>
    <row r="113">
      <c r="A113" s="11" t="n"/>
      <c r="B113" s="11" t="n"/>
      <c r="C113" s="11" t="n"/>
      <c r="D113" s="11" t="n"/>
      <c r="E113" s="12" t="n"/>
      <c r="F113" s="34" t="n"/>
      <c r="G113" s="34" t="n"/>
      <c r="H113" s="34" t="n"/>
      <c r="I113" s="34" t="n"/>
      <c r="J113" s="34" t="n"/>
      <c r="K113" s="34" t="n"/>
      <c r="L113" s="34" t="n"/>
      <c r="M113" s="36" t="n"/>
      <c r="N113" s="36" t="n"/>
      <c r="O113" s="41" t="n"/>
      <c r="P113" s="27">
        <f>IF($B113="","",IFERROR(TRIM(LEFT($B113,FIND(" - ",$B113)-1)),"Others"))</f>
        <v/>
      </c>
      <c r="Q113" s="39">
        <f>IF($A113="","",SUM($F113:$H113))</f>
        <v/>
      </c>
      <c r="R113" s="39">
        <f>IF($A113="","",SUM($I113:$K113))</f>
        <v/>
      </c>
      <c r="S113" s="39">
        <f>IF($A113="","",($L113+$R113)-$Q113)</f>
        <v/>
      </c>
      <c r="T113" s="31">
        <f>IF(OR($A113="",$Q113=0),"",$S113/$Q113)</f>
        <v/>
      </c>
      <c r="U113" s="27">
        <f>IF($A113="","",IF($L113&gt;0,"Live","Exited"))</f>
        <v/>
      </c>
      <c r="V113" s="40">
        <f>IF($A113="","",IF($A113='Client Report'!$C$4,COUNTIFS($A$6:$A113,'Client Report'!$C$4),""))</f>
        <v/>
      </c>
    </row>
    <row r="114">
      <c r="A114" s="11" t="n"/>
      <c r="B114" s="11" t="n"/>
      <c r="C114" s="11" t="n"/>
      <c r="D114" s="11" t="n"/>
      <c r="E114" s="12" t="n"/>
      <c r="F114" s="34" t="n"/>
      <c r="G114" s="34" t="n"/>
      <c r="H114" s="34" t="n"/>
      <c r="I114" s="34" t="n"/>
      <c r="J114" s="34" t="n"/>
      <c r="K114" s="34" t="n"/>
      <c r="L114" s="34" t="n"/>
      <c r="M114" s="36" t="n"/>
      <c r="N114" s="36" t="n"/>
      <c r="O114" s="41" t="n"/>
      <c r="P114" s="27">
        <f>IF($B114="","",IFERROR(TRIM(LEFT($B114,FIND(" - ",$B114)-1)),"Others"))</f>
        <v/>
      </c>
      <c r="Q114" s="39">
        <f>IF($A114="","",SUM($F114:$H114))</f>
        <v/>
      </c>
      <c r="R114" s="39">
        <f>IF($A114="","",SUM($I114:$K114))</f>
        <v/>
      </c>
      <c r="S114" s="39">
        <f>IF($A114="","",($L114+$R114)-$Q114)</f>
        <v/>
      </c>
      <c r="T114" s="31">
        <f>IF(OR($A114="",$Q114=0),"",$S114/$Q114)</f>
        <v/>
      </c>
      <c r="U114" s="27">
        <f>IF($A114="","",IF($L114&gt;0,"Live","Exited"))</f>
        <v/>
      </c>
      <c r="V114" s="40">
        <f>IF($A114="","",IF($A114='Client Report'!$C$4,COUNTIFS($A$6:$A114,'Client Report'!$C$4),""))</f>
        <v/>
      </c>
    </row>
    <row r="115">
      <c r="A115" s="11" t="n"/>
      <c r="B115" s="11" t="n"/>
      <c r="C115" s="11" t="n"/>
      <c r="D115" s="11" t="n"/>
      <c r="E115" s="12" t="n"/>
      <c r="F115" s="34" t="n"/>
      <c r="G115" s="34" t="n"/>
      <c r="H115" s="34" t="n"/>
      <c r="I115" s="34" t="n"/>
      <c r="J115" s="34" t="n"/>
      <c r="K115" s="34" t="n"/>
      <c r="L115" s="34" t="n"/>
      <c r="M115" s="36" t="n"/>
      <c r="N115" s="36" t="n"/>
      <c r="O115" s="41" t="n"/>
      <c r="P115" s="27">
        <f>IF($B115="","",IFERROR(TRIM(LEFT($B115,FIND(" - ",$B115)-1)),"Others"))</f>
        <v/>
      </c>
      <c r="Q115" s="39">
        <f>IF($A115="","",SUM($F115:$H115))</f>
        <v/>
      </c>
      <c r="R115" s="39">
        <f>IF($A115="","",SUM($I115:$K115))</f>
        <v/>
      </c>
      <c r="S115" s="39">
        <f>IF($A115="","",($L115+$R115)-$Q115)</f>
        <v/>
      </c>
      <c r="T115" s="31">
        <f>IF(OR($A115="",$Q115=0),"",$S115/$Q115)</f>
        <v/>
      </c>
      <c r="U115" s="27">
        <f>IF($A115="","",IF($L115&gt;0,"Live","Exited"))</f>
        <v/>
      </c>
      <c r="V115" s="40">
        <f>IF($A115="","",IF($A115='Client Report'!$C$4,COUNTIFS($A$6:$A115,'Client Report'!$C$4),""))</f>
        <v/>
      </c>
    </row>
    <row r="116">
      <c r="A116" s="11" t="n"/>
      <c r="B116" s="11" t="n"/>
      <c r="C116" s="11" t="n"/>
      <c r="D116" s="11" t="n"/>
      <c r="E116" s="12" t="n"/>
      <c r="F116" s="34" t="n"/>
      <c r="G116" s="34" t="n"/>
      <c r="H116" s="34" t="n"/>
      <c r="I116" s="34" t="n"/>
      <c r="J116" s="34" t="n"/>
      <c r="K116" s="34" t="n"/>
      <c r="L116" s="34" t="n"/>
      <c r="M116" s="36" t="n"/>
      <c r="N116" s="36" t="n"/>
      <c r="O116" s="41" t="n"/>
      <c r="P116" s="27">
        <f>IF($B116="","",IFERROR(TRIM(LEFT($B116,FIND(" - ",$B116)-1)),"Others"))</f>
        <v/>
      </c>
      <c r="Q116" s="39">
        <f>IF($A116="","",SUM($F116:$H116))</f>
        <v/>
      </c>
      <c r="R116" s="39">
        <f>IF($A116="","",SUM($I116:$K116))</f>
        <v/>
      </c>
      <c r="S116" s="39">
        <f>IF($A116="","",($L116+$R116)-$Q116)</f>
        <v/>
      </c>
      <c r="T116" s="31">
        <f>IF(OR($A116="",$Q116=0),"",$S116/$Q116)</f>
        <v/>
      </c>
      <c r="U116" s="27">
        <f>IF($A116="","",IF($L116&gt;0,"Live","Exited"))</f>
        <v/>
      </c>
      <c r="V116" s="40">
        <f>IF($A116="","",IF($A116='Client Report'!$C$4,COUNTIFS($A$6:$A116,'Client Report'!$C$4),""))</f>
        <v/>
      </c>
    </row>
    <row r="117">
      <c r="A117" s="11" t="n"/>
      <c r="B117" s="11" t="n"/>
      <c r="C117" s="11" t="n"/>
      <c r="D117" s="11" t="n"/>
      <c r="E117" s="12" t="n"/>
      <c r="F117" s="34" t="n"/>
      <c r="G117" s="34" t="n"/>
      <c r="H117" s="34" t="n"/>
      <c r="I117" s="34" t="n"/>
      <c r="J117" s="34" t="n"/>
      <c r="K117" s="34" t="n"/>
      <c r="L117" s="34" t="n"/>
      <c r="M117" s="36" t="n"/>
      <c r="N117" s="36" t="n"/>
      <c r="O117" s="41" t="n"/>
      <c r="P117" s="27">
        <f>IF($B117="","",IFERROR(TRIM(LEFT($B117,FIND(" - ",$B117)-1)),"Others"))</f>
        <v/>
      </c>
      <c r="Q117" s="39">
        <f>IF($A117="","",SUM($F117:$H117))</f>
        <v/>
      </c>
      <c r="R117" s="39">
        <f>IF($A117="","",SUM($I117:$K117))</f>
        <v/>
      </c>
      <c r="S117" s="39">
        <f>IF($A117="","",($L117+$R117)-$Q117)</f>
        <v/>
      </c>
      <c r="T117" s="31">
        <f>IF(OR($A117="",$Q117=0),"",$S117/$Q117)</f>
        <v/>
      </c>
      <c r="U117" s="27">
        <f>IF($A117="","",IF($L117&gt;0,"Live","Exited"))</f>
        <v/>
      </c>
      <c r="V117" s="40">
        <f>IF($A117="","",IF($A117='Client Report'!$C$4,COUNTIFS($A$6:$A117,'Client Report'!$C$4),""))</f>
        <v/>
      </c>
    </row>
    <row r="118">
      <c r="A118" s="11" t="n"/>
      <c r="B118" s="11" t="n"/>
      <c r="C118" s="11" t="n"/>
      <c r="D118" s="11" t="n"/>
      <c r="E118" s="12" t="n"/>
      <c r="F118" s="34" t="n"/>
      <c r="G118" s="34" t="n"/>
      <c r="H118" s="34" t="n"/>
      <c r="I118" s="34" t="n"/>
      <c r="J118" s="34" t="n"/>
      <c r="K118" s="34" t="n"/>
      <c r="L118" s="34" t="n"/>
      <c r="M118" s="36" t="n"/>
      <c r="N118" s="36" t="n"/>
      <c r="O118" s="41" t="n"/>
      <c r="P118" s="27">
        <f>IF($B118="","",IFERROR(TRIM(LEFT($B118,FIND(" - ",$B118)-1)),"Others"))</f>
        <v/>
      </c>
      <c r="Q118" s="39">
        <f>IF($A118="","",SUM($F118:$H118))</f>
        <v/>
      </c>
      <c r="R118" s="39">
        <f>IF($A118="","",SUM($I118:$K118))</f>
        <v/>
      </c>
      <c r="S118" s="39">
        <f>IF($A118="","",($L118+$R118)-$Q118)</f>
        <v/>
      </c>
      <c r="T118" s="31">
        <f>IF(OR($A118="",$Q118=0),"",$S118/$Q118)</f>
        <v/>
      </c>
      <c r="U118" s="27">
        <f>IF($A118="","",IF($L118&gt;0,"Live","Exited"))</f>
        <v/>
      </c>
      <c r="V118" s="40">
        <f>IF($A118="","",IF($A118='Client Report'!$C$4,COUNTIFS($A$6:$A118,'Client Report'!$C$4),""))</f>
        <v/>
      </c>
    </row>
    <row r="119">
      <c r="A119" s="11" t="n"/>
      <c r="B119" s="11" t="n"/>
      <c r="C119" s="11" t="n"/>
      <c r="D119" s="11" t="n"/>
      <c r="E119" s="12" t="n"/>
      <c r="F119" s="34" t="n"/>
      <c r="G119" s="34" t="n"/>
      <c r="H119" s="34" t="n"/>
      <c r="I119" s="34" t="n"/>
      <c r="J119" s="34" t="n"/>
      <c r="K119" s="34" t="n"/>
      <c r="L119" s="34" t="n"/>
      <c r="M119" s="36" t="n"/>
      <c r="N119" s="36" t="n"/>
      <c r="O119" s="41" t="n"/>
      <c r="P119" s="27">
        <f>IF($B119="","",IFERROR(TRIM(LEFT($B119,FIND(" - ",$B119)-1)),"Others"))</f>
        <v/>
      </c>
      <c r="Q119" s="39">
        <f>IF($A119="","",SUM($F119:$H119))</f>
        <v/>
      </c>
      <c r="R119" s="39">
        <f>IF($A119="","",SUM($I119:$K119))</f>
        <v/>
      </c>
      <c r="S119" s="39">
        <f>IF($A119="","",($L119+$R119)-$Q119)</f>
        <v/>
      </c>
      <c r="T119" s="31">
        <f>IF(OR($A119="",$Q119=0),"",$S119/$Q119)</f>
        <v/>
      </c>
      <c r="U119" s="27">
        <f>IF($A119="","",IF($L119&gt;0,"Live","Exited"))</f>
        <v/>
      </c>
      <c r="V119" s="40">
        <f>IF($A119="","",IF($A119='Client Report'!$C$4,COUNTIFS($A$6:$A119,'Client Report'!$C$4),""))</f>
        <v/>
      </c>
    </row>
    <row r="120">
      <c r="A120" s="11" t="n"/>
      <c r="B120" s="11" t="n"/>
      <c r="C120" s="11" t="n"/>
      <c r="D120" s="11" t="n"/>
      <c r="E120" s="12" t="n"/>
      <c r="F120" s="34" t="n"/>
      <c r="G120" s="34" t="n"/>
      <c r="H120" s="34" t="n"/>
      <c r="I120" s="34" t="n"/>
      <c r="J120" s="34" t="n"/>
      <c r="K120" s="34" t="n"/>
      <c r="L120" s="34" t="n"/>
      <c r="M120" s="36" t="n"/>
      <c r="N120" s="36" t="n"/>
      <c r="O120" s="41" t="n"/>
      <c r="P120" s="27">
        <f>IF($B120="","",IFERROR(TRIM(LEFT($B120,FIND(" - ",$B120)-1)),"Others"))</f>
        <v/>
      </c>
      <c r="Q120" s="39">
        <f>IF($A120="","",SUM($F120:$H120))</f>
        <v/>
      </c>
      <c r="R120" s="39">
        <f>IF($A120="","",SUM($I120:$K120))</f>
        <v/>
      </c>
      <c r="S120" s="39">
        <f>IF($A120="","",($L120+$R120)-$Q120)</f>
        <v/>
      </c>
      <c r="T120" s="31">
        <f>IF(OR($A120="",$Q120=0),"",$S120/$Q120)</f>
        <v/>
      </c>
      <c r="U120" s="27">
        <f>IF($A120="","",IF($L120&gt;0,"Live","Exited"))</f>
        <v/>
      </c>
      <c r="V120" s="40">
        <f>IF($A120="","",IF($A120='Client Report'!$C$4,COUNTIFS($A$6:$A120,'Client Report'!$C$4),""))</f>
        <v/>
      </c>
    </row>
    <row r="121">
      <c r="A121" s="11" t="n"/>
      <c r="B121" s="11" t="n"/>
      <c r="C121" s="11" t="n"/>
      <c r="D121" s="11" t="n"/>
      <c r="E121" s="12" t="n"/>
      <c r="F121" s="34" t="n"/>
      <c r="G121" s="34" t="n"/>
      <c r="H121" s="34" t="n"/>
      <c r="I121" s="34" t="n"/>
      <c r="J121" s="34" t="n"/>
      <c r="K121" s="34" t="n"/>
      <c r="L121" s="34" t="n"/>
      <c r="M121" s="36" t="n"/>
      <c r="N121" s="36" t="n"/>
      <c r="O121" s="41" t="n"/>
      <c r="P121" s="27">
        <f>IF($B121="","",IFERROR(TRIM(LEFT($B121,FIND(" - ",$B121)-1)),"Others"))</f>
        <v/>
      </c>
      <c r="Q121" s="39">
        <f>IF($A121="","",SUM($F121:$H121))</f>
        <v/>
      </c>
      <c r="R121" s="39">
        <f>IF($A121="","",SUM($I121:$K121))</f>
        <v/>
      </c>
      <c r="S121" s="39">
        <f>IF($A121="","",($L121+$R121)-$Q121)</f>
        <v/>
      </c>
      <c r="T121" s="31">
        <f>IF(OR($A121="",$Q121=0),"",$S121/$Q121)</f>
        <v/>
      </c>
      <c r="U121" s="27">
        <f>IF($A121="","",IF($L121&gt;0,"Live","Exited"))</f>
        <v/>
      </c>
      <c r="V121" s="40">
        <f>IF($A121="","",IF($A121='Client Report'!$C$4,COUNTIFS($A$6:$A121,'Client Report'!$C$4),""))</f>
        <v/>
      </c>
    </row>
    <row r="122">
      <c r="A122" s="11" t="n"/>
      <c r="B122" s="11" t="n"/>
      <c r="C122" s="11" t="n"/>
      <c r="D122" s="11" t="n"/>
      <c r="E122" s="12" t="n"/>
      <c r="F122" s="34" t="n"/>
      <c r="G122" s="34" t="n"/>
      <c r="H122" s="34" t="n"/>
      <c r="I122" s="34" t="n"/>
      <c r="J122" s="34" t="n"/>
      <c r="K122" s="34" t="n"/>
      <c r="L122" s="34" t="n"/>
      <c r="M122" s="36" t="n"/>
      <c r="N122" s="36" t="n"/>
      <c r="O122" s="41" t="n"/>
      <c r="P122" s="27">
        <f>IF($B122="","",IFERROR(TRIM(LEFT($B122,FIND(" - ",$B122)-1)),"Others"))</f>
        <v/>
      </c>
      <c r="Q122" s="39">
        <f>IF($A122="","",SUM($F122:$H122))</f>
        <v/>
      </c>
      <c r="R122" s="39">
        <f>IF($A122="","",SUM($I122:$K122))</f>
        <v/>
      </c>
      <c r="S122" s="39">
        <f>IF($A122="","",($L122+$R122)-$Q122)</f>
        <v/>
      </c>
      <c r="T122" s="31">
        <f>IF(OR($A122="",$Q122=0),"",$S122/$Q122)</f>
        <v/>
      </c>
      <c r="U122" s="27">
        <f>IF($A122="","",IF($L122&gt;0,"Live","Exited"))</f>
        <v/>
      </c>
      <c r="V122" s="40">
        <f>IF($A122="","",IF($A122='Client Report'!$C$4,COUNTIFS($A$6:$A122,'Client Report'!$C$4),""))</f>
        <v/>
      </c>
    </row>
    <row r="123">
      <c r="A123" s="11" t="n"/>
      <c r="B123" s="11" t="n"/>
      <c r="C123" s="11" t="n"/>
      <c r="D123" s="11" t="n"/>
      <c r="E123" s="12" t="n"/>
      <c r="F123" s="34" t="n"/>
      <c r="G123" s="34" t="n"/>
      <c r="H123" s="34" t="n"/>
      <c r="I123" s="34" t="n"/>
      <c r="J123" s="34" t="n"/>
      <c r="K123" s="34" t="n"/>
      <c r="L123" s="34" t="n"/>
      <c r="M123" s="36" t="n"/>
      <c r="N123" s="36" t="n"/>
      <c r="O123" s="41" t="n"/>
      <c r="P123" s="27">
        <f>IF($B123="","",IFERROR(TRIM(LEFT($B123,FIND(" - ",$B123)-1)),"Others"))</f>
        <v/>
      </c>
      <c r="Q123" s="39">
        <f>IF($A123="","",SUM($F123:$H123))</f>
        <v/>
      </c>
      <c r="R123" s="39">
        <f>IF($A123="","",SUM($I123:$K123))</f>
        <v/>
      </c>
      <c r="S123" s="39">
        <f>IF($A123="","",($L123+$R123)-$Q123)</f>
        <v/>
      </c>
      <c r="T123" s="31">
        <f>IF(OR($A123="",$Q123=0),"",$S123/$Q123)</f>
        <v/>
      </c>
      <c r="U123" s="27">
        <f>IF($A123="","",IF($L123&gt;0,"Live","Exited"))</f>
        <v/>
      </c>
      <c r="V123" s="40">
        <f>IF($A123="","",IF($A123='Client Report'!$C$4,COUNTIFS($A$6:$A123,'Client Report'!$C$4),""))</f>
        <v/>
      </c>
    </row>
    <row r="124">
      <c r="A124" s="11" t="n"/>
      <c r="B124" s="11" t="n"/>
      <c r="C124" s="11" t="n"/>
      <c r="D124" s="11" t="n"/>
      <c r="E124" s="12" t="n"/>
      <c r="F124" s="34" t="n"/>
      <c r="G124" s="34" t="n"/>
      <c r="H124" s="34" t="n"/>
      <c r="I124" s="34" t="n"/>
      <c r="J124" s="34" t="n"/>
      <c r="K124" s="34" t="n"/>
      <c r="L124" s="34" t="n"/>
      <c r="M124" s="36" t="n"/>
      <c r="N124" s="36" t="n"/>
      <c r="O124" s="41" t="n"/>
      <c r="P124" s="27">
        <f>IF($B124="","",IFERROR(TRIM(LEFT($B124,FIND(" - ",$B124)-1)),"Others"))</f>
        <v/>
      </c>
      <c r="Q124" s="39">
        <f>IF($A124="","",SUM($F124:$H124))</f>
        <v/>
      </c>
      <c r="R124" s="39">
        <f>IF($A124="","",SUM($I124:$K124))</f>
        <v/>
      </c>
      <c r="S124" s="39">
        <f>IF($A124="","",($L124+$R124)-$Q124)</f>
        <v/>
      </c>
      <c r="T124" s="31">
        <f>IF(OR($A124="",$Q124=0),"",$S124/$Q124)</f>
        <v/>
      </c>
      <c r="U124" s="27">
        <f>IF($A124="","",IF($L124&gt;0,"Live","Exited"))</f>
        <v/>
      </c>
      <c r="V124" s="40">
        <f>IF($A124="","",IF($A124='Client Report'!$C$4,COUNTIFS($A$6:$A124,'Client Report'!$C$4),""))</f>
        <v/>
      </c>
    </row>
    <row r="125">
      <c r="A125" s="11" t="n"/>
      <c r="B125" s="11" t="n"/>
      <c r="C125" s="11" t="n"/>
      <c r="D125" s="11" t="n"/>
      <c r="E125" s="12" t="n"/>
      <c r="F125" s="34" t="n"/>
      <c r="G125" s="34" t="n"/>
      <c r="H125" s="34" t="n"/>
      <c r="I125" s="34" t="n"/>
      <c r="J125" s="34" t="n"/>
      <c r="K125" s="34" t="n"/>
      <c r="L125" s="34" t="n"/>
      <c r="M125" s="36" t="n"/>
      <c r="N125" s="36" t="n"/>
      <c r="O125" s="41" t="n"/>
      <c r="P125" s="27">
        <f>IF($B125="","",IFERROR(TRIM(LEFT($B125,FIND(" - ",$B125)-1)),"Others"))</f>
        <v/>
      </c>
      <c r="Q125" s="39">
        <f>IF($A125="","",SUM($F125:$H125))</f>
        <v/>
      </c>
      <c r="R125" s="39">
        <f>IF($A125="","",SUM($I125:$K125))</f>
        <v/>
      </c>
      <c r="S125" s="39">
        <f>IF($A125="","",($L125+$R125)-$Q125)</f>
        <v/>
      </c>
      <c r="T125" s="31">
        <f>IF(OR($A125="",$Q125=0),"",$S125/$Q125)</f>
        <v/>
      </c>
      <c r="U125" s="27">
        <f>IF($A125="","",IF($L125&gt;0,"Live","Exited"))</f>
        <v/>
      </c>
      <c r="V125" s="40">
        <f>IF($A125="","",IF($A125='Client Report'!$C$4,COUNTIFS($A$6:$A125,'Client Report'!$C$4),""))</f>
        <v/>
      </c>
    </row>
    <row r="126">
      <c r="A126" s="11" t="n"/>
      <c r="B126" s="11" t="n"/>
      <c r="C126" s="11" t="n"/>
      <c r="D126" s="11" t="n"/>
      <c r="E126" s="12" t="n"/>
      <c r="F126" s="34" t="n"/>
      <c r="G126" s="34" t="n"/>
      <c r="H126" s="34" t="n"/>
      <c r="I126" s="34" t="n"/>
      <c r="J126" s="34" t="n"/>
      <c r="K126" s="34" t="n"/>
      <c r="L126" s="34" t="n"/>
      <c r="M126" s="36" t="n"/>
      <c r="N126" s="36" t="n"/>
      <c r="O126" s="41" t="n"/>
      <c r="P126" s="27">
        <f>IF($B126="","",IFERROR(TRIM(LEFT($B126,FIND(" - ",$B126)-1)),"Others"))</f>
        <v/>
      </c>
      <c r="Q126" s="39">
        <f>IF($A126="","",SUM($F126:$H126))</f>
        <v/>
      </c>
      <c r="R126" s="39">
        <f>IF($A126="","",SUM($I126:$K126))</f>
        <v/>
      </c>
      <c r="S126" s="39">
        <f>IF($A126="","",($L126+$R126)-$Q126)</f>
        <v/>
      </c>
      <c r="T126" s="31">
        <f>IF(OR($A126="",$Q126=0),"",$S126/$Q126)</f>
        <v/>
      </c>
      <c r="U126" s="27">
        <f>IF($A126="","",IF($L126&gt;0,"Live","Exited"))</f>
        <v/>
      </c>
      <c r="V126" s="40">
        <f>IF($A126="","",IF($A126='Client Report'!$C$4,COUNTIFS($A$6:$A126,'Client Report'!$C$4),""))</f>
        <v/>
      </c>
    </row>
    <row r="127">
      <c r="A127" s="11" t="n"/>
      <c r="B127" s="11" t="n"/>
      <c r="C127" s="11" t="n"/>
      <c r="D127" s="11" t="n"/>
      <c r="E127" s="12" t="n"/>
      <c r="F127" s="34" t="n"/>
      <c r="G127" s="34" t="n"/>
      <c r="H127" s="34" t="n"/>
      <c r="I127" s="34" t="n"/>
      <c r="J127" s="34" t="n"/>
      <c r="K127" s="34" t="n"/>
      <c r="L127" s="34" t="n"/>
      <c r="M127" s="36" t="n"/>
      <c r="N127" s="36" t="n"/>
      <c r="O127" s="41" t="n"/>
      <c r="P127" s="27">
        <f>IF($B127="","",IFERROR(TRIM(LEFT($B127,FIND(" - ",$B127)-1)),"Others"))</f>
        <v/>
      </c>
      <c r="Q127" s="39">
        <f>IF($A127="","",SUM($F127:$H127))</f>
        <v/>
      </c>
      <c r="R127" s="39">
        <f>IF($A127="","",SUM($I127:$K127))</f>
        <v/>
      </c>
      <c r="S127" s="39">
        <f>IF($A127="","",($L127+$R127)-$Q127)</f>
        <v/>
      </c>
      <c r="T127" s="31">
        <f>IF(OR($A127="",$Q127=0),"",$S127/$Q127)</f>
        <v/>
      </c>
      <c r="U127" s="27">
        <f>IF($A127="","",IF($L127&gt;0,"Live","Exited"))</f>
        <v/>
      </c>
      <c r="V127" s="40">
        <f>IF($A127="","",IF($A127='Client Report'!$C$4,COUNTIFS($A$6:$A127,'Client Report'!$C$4),""))</f>
        <v/>
      </c>
    </row>
    <row r="128">
      <c r="A128" s="11" t="n"/>
      <c r="B128" s="11" t="n"/>
      <c r="C128" s="11" t="n"/>
      <c r="D128" s="11" t="n"/>
      <c r="E128" s="12" t="n"/>
      <c r="F128" s="34" t="n"/>
      <c r="G128" s="34" t="n"/>
      <c r="H128" s="34" t="n"/>
      <c r="I128" s="34" t="n"/>
      <c r="J128" s="34" t="n"/>
      <c r="K128" s="34" t="n"/>
      <c r="L128" s="34" t="n"/>
      <c r="M128" s="36" t="n"/>
      <c r="N128" s="36" t="n"/>
      <c r="O128" s="41" t="n"/>
      <c r="P128" s="27">
        <f>IF($B128="","",IFERROR(TRIM(LEFT($B128,FIND(" - ",$B128)-1)),"Others"))</f>
        <v/>
      </c>
      <c r="Q128" s="39">
        <f>IF($A128="","",SUM($F128:$H128))</f>
        <v/>
      </c>
      <c r="R128" s="39">
        <f>IF($A128="","",SUM($I128:$K128))</f>
        <v/>
      </c>
      <c r="S128" s="39">
        <f>IF($A128="","",($L128+$R128)-$Q128)</f>
        <v/>
      </c>
      <c r="T128" s="31">
        <f>IF(OR($A128="",$Q128=0),"",$S128/$Q128)</f>
        <v/>
      </c>
      <c r="U128" s="27">
        <f>IF($A128="","",IF($L128&gt;0,"Live","Exited"))</f>
        <v/>
      </c>
      <c r="V128" s="40">
        <f>IF($A128="","",IF($A128='Client Report'!$C$4,COUNTIFS($A$6:$A128,'Client Report'!$C$4),""))</f>
        <v/>
      </c>
    </row>
    <row r="129">
      <c r="A129" s="11" t="n"/>
      <c r="B129" s="11" t="n"/>
      <c r="C129" s="11" t="n"/>
      <c r="D129" s="11" t="n"/>
      <c r="E129" s="12" t="n"/>
      <c r="F129" s="34" t="n"/>
      <c r="G129" s="34" t="n"/>
      <c r="H129" s="34" t="n"/>
      <c r="I129" s="34" t="n"/>
      <c r="J129" s="34" t="n"/>
      <c r="K129" s="34" t="n"/>
      <c r="L129" s="34" t="n"/>
      <c r="M129" s="36" t="n"/>
      <c r="N129" s="36" t="n"/>
      <c r="O129" s="41" t="n"/>
      <c r="P129" s="27">
        <f>IF($B129="","",IFERROR(TRIM(LEFT($B129,FIND(" - ",$B129)-1)),"Others"))</f>
        <v/>
      </c>
      <c r="Q129" s="39">
        <f>IF($A129="","",SUM($F129:$H129))</f>
        <v/>
      </c>
      <c r="R129" s="39">
        <f>IF($A129="","",SUM($I129:$K129))</f>
        <v/>
      </c>
      <c r="S129" s="39">
        <f>IF($A129="","",($L129+$R129)-$Q129)</f>
        <v/>
      </c>
      <c r="T129" s="31">
        <f>IF(OR($A129="",$Q129=0),"",$S129/$Q129)</f>
        <v/>
      </c>
      <c r="U129" s="27">
        <f>IF($A129="","",IF($L129&gt;0,"Live","Exited"))</f>
        <v/>
      </c>
      <c r="V129" s="40">
        <f>IF($A129="","",IF($A129='Client Report'!$C$4,COUNTIFS($A$6:$A129,'Client Report'!$C$4),""))</f>
        <v/>
      </c>
    </row>
    <row r="130">
      <c r="A130" s="11" t="n"/>
      <c r="B130" s="11" t="n"/>
      <c r="C130" s="11" t="n"/>
      <c r="D130" s="11" t="n"/>
      <c r="E130" s="12" t="n"/>
      <c r="F130" s="34" t="n"/>
      <c r="G130" s="34" t="n"/>
      <c r="H130" s="34" t="n"/>
      <c r="I130" s="34" t="n"/>
      <c r="J130" s="34" t="n"/>
      <c r="K130" s="34" t="n"/>
      <c r="L130" s="34" t="n"/>
      <c r="M130" s="36" t="n"/>
      <c r="N130" s="36" t="n"/>
      <c r="O130" s="41" t="n"/>
      <c r="P130" s="27">
        <f>IF($B130="","",IFERROR(TRIM(LEFT($B130,FIND(" - ",$B130)-1)),"Others"))</f>
        <v/>
      </c>
      <c r="Q130" s="39">
        <f>IF($A130="","",SUM($F130:$H130))</f>
        <v/>
      </c>
      <c r="R130" s="39">
        <f>IF($A130="","",SUM($I130:$K130))</f>
        <v/>
      </c>
      <c r="S130" s="39">
        <f>IF($A130="","",($L130+$R130)-$Q130)</f>
        <v/>
      </c>
      <c r="T130" s="31">
        <f>IF(OR($A130="",$Q130=0),"",$S130/$Q130)</f>
        <v/>
      </c>
      <c r="U130" s="27">
        <f>IF($A130="","",IF($L130&gt;0,"Live","Exited"))</f>
        <v/>
      </c>
      <c r="V130" s="40">
        <f>IF($A130="","",IF($A130='Client Report'!$C$4,COUNTIFS($A$6:$A130,'Client Report'!$C$4),""))</f>
        <v/>
      </c>
    </row>
    <row r="131">
      <c r="A131" s="11" t="n"/>
      <c r="B131" s="11" t="n"/>
      <c r="C131" s="11" t="n"/>
      <c r="D131" s="11" t="n"/>
      <c r="E131" s="12" t="n"/>
      <c r="F131" s="34" t="n"/>
      <c r="G131" s="34" t="n"/>
      <c r="H131" s="34" t="n"/>
      <c r="I131" s="34" t="n"/>
      <c r="J131" s="34" t="n"/>
      <c r="K131" s="34" t="n"/>
      <c r="L131" s="34" t="n"/>
      <c r="M131" s="36" t="n"/>
      <c r="N131" s="36" t="n"/>
      <c r="O131" s="41" t="n"/>
      <c r="P131" s="27">
        <f>IF($B131="","",IFERROR(TRIM(LEFT($B131,FIND(" - ",$B131)-1)),"Others"))</f>
        <v/>
      </c>
      <c r="Q131" s="39">
        <f>IF($A131="","",SUM($F131:$H131))</f>
        <v/>
      </c>
      <c r="R131" s="39">
        <f>IF($A131="","",SUM($I131:$K131))</f>
        <v/>
      </c>
      <c r="S131" s="39">
        <f>IF($A131="","",($L131+$R131)-$Q131)</f>
        <v/>
      </c>
      <c r="T131" s="31">
        <f>IF(OR($A131="",$Q131=0),"",$S131/$Q131)</f>
        <v/>
      </c>
      <c r="U131" s="27">
        <f>IF($A131="","",IF($L131&gt;0,"Live","Exited"))</f>
        <v/>
      </c>
      <c r="V131" s="40">
        <f>IF($A131="","",IF($A131='Client Report'!$C$4,COUNTIFS($A$6:$A131,'Client Report'!$C$4),""))</f>
        <v/>
      </c>
    </row>
    <row r="132">
      <c r="A132" s="11" t="n"/>
      <c r="B132" s="11" t="n"/>
      <c r="C132" s="11" t="n"/>
      <c r="D132" s="11" t="n"/>
      <c r="E132" s="12" t="n"/>
      <c r="F132" s="34" t="n"/>
      <c r="G132" s="34" t="n"/>
      <c r="H132" s="34" t="n"/>
      <c r="I132" s="34" t="n"/>
      <c r="J132" s="34" t="n"/>
      <c r="K132" s="34" t="n"/>
      <c r="L132" s="34" t="n"/>
      <c r="M132" s="36" t="n"/>
      <c r="N132" s="36" t="n"/>
      <c r="O132" s="41" t="n"/>
      <c r="P132" s="27">
        <f>IF($B132="","",IFERROR(TRIM(LEFT($B132,FIND(" - ",$B132)-1)),"Others"))</f>
        <v/>
      </c>
      <c r="Q132" s="39">
        <f>IF($A132="","",SUM($F132:$H132))</f>
        <v/>
      </c>
      <c r="R132" s="39">
        <f>IF($A132="","",SUM($I132:$K132))</f>
        <v/>
      </c>
      <c r="S132" s="39">
        <f>IF($A132="","",($L132+$R132)-$Q132)</f>
        <v/>
      </c>
      <c r="T132" s="31">
        <f>IF(OR($A132="",$Q132=0),"",$S132/$Q132)</f>
        <v/>
      </c>
      <c r="U132" s="27">
        <f>IF($A132="","",IF($L132&gt;0,"Live","Exited"))</f>
        <v/>
      </c>
      <c r="V132" s="40">
        <f>IF($A132="","",IF($A132='Client Report'!$C$4,COUNTIFS($A$6:$A132,'Client Report'!$C$4),""))</f>
        <v/>
      </c>
    </row>
    <row r="133">
      <c r="A133" s="11" t="n"/>
      <c r="B133" s="11" t="n"/>
      <c r="C133" s="11" t="n"/>
      <c r="D133" s="11" t="n"/>
      <c r="E133" s="12" t="n"/>
      <c r="F133" s="34" t="n"/>
      <c r="G133" s="34" t="n"/>
      <c r="H133" s="34" t="n"/>
      <c r="I133" s="34" t="n"/>
      <c r="J133" s="34" t="n"/>
      <c r="K133" s="34" t="n"/>
      <c r="L133" s="34" t="n"/>
      <c r="M133" s="36" t="n"/>
      <c r="N133" s="36" t="n"/>
      <c r="O133" s="41" t="n"/>
      <c r="P133" s="27">
        <f>IF($B133="","",IFERROR(TRIM(LEFT($B133,FIND(" - ",$B133)-1)),"Others"))</f>
        <v/>
      </c>
      <c r="Q133" s="39">
        <f>IF($A133="","",SUM($F133:$H133))</f>
        <v/>
      </c>
      <c r="R133" s="39">
        <f>IF($A133="","",SUM($I133:$K133))</f>
        <v/>
      </c>
      <c r="S133" s="39">
        <f>IF($A133="","",($L133+$R133)-$Q133)</f>
        <v/>
      </c>
      <c r="T133" s="31">
        <f>IF(OR($A133="",$Q133=0),"",$S133/$Q133)</f>
        <v/>
      </c>
      <c r="U133" s="27">
        <f>IF($A133="","",IF($L133&gt;0,"Live","Exited"))</f>
        <v/>
      </c>
      <c r="V133" s="40">
        <f>IF($A133="","",IF($A133='Client Report'!$C$4,COUNTIFS($A$6:$A133,'Client Report'!$C$4),""))</f>
        <v/>
      </c>
    </row>
    <row r="134">
      <c r="A134" s="11" t="n"/>
      <c r="B134" s="11" t="n"/>
      <c r="C134" s="11" t="n"/>
      <c r="D134" s="11" t="n"/>
      <c r="E134" s="12" t="n"/>
      <c r="F134" s="34" t="n"/>
      <c r="G134" s="34" t="n"/>
      <c r="H134" s="34" t="n"/>
      <c r="I134" s="34" t="n"/>
      <c r="J134" s="34" t="n"/>
      <c r="K134" s="34" t="n"/>
      <c r="L134" s="34" t="n"/>
      <c r="M134" s="36" t="n"/>
      <c r="N134" s="36" t="n"/>
      <c r="O134" s="41" t="n"/>
      <c r="P134" s="27">
        <f>IF($B134="","",IFERROR(TRIM(LEFT($B134,FIND(" - ",$B134)-1)),"Others"))</f>
        <v/>
      </c>
      <c r="Q134" s="39">
        <f>IF($A134="","",SUM($F134:$H134))</f>
        <v/>
      </c>
      <c r="R134" s="39">
        <f>IF($A134="","",SUM($I134:$K134))</f>
        <v/>
      </c>
      <c r="S134" s="39">
        <f>IF($A134="","",($L134+$R134)-$Q134)</f>
        <v/>
      </c>
      <c r="T134" s="31">
        <f>IF(OR($A134="",$Q134=0),"",$S134/$Q134)</f>
        <v/>
      </c>
      <c r="U134" s="27">
        <f>IF($A134="","",IF($L134&gt;0,"Live","Exited"))</f>
        <v/>
      </c>
      <c r="V134" s="40">
        <f>IF($A134="","",IF($A134='Client Report'!$C$4,COUNTIFS($A$6:$A134,'Client Report'!$C$4),""))</f>
        <v/>
      </c>
    </row>
    <row r="135">
      <c r="A135" s="11" t="n"/>
      <c r="B135" s="11" t="n"/>
      <c r="C135" s="11" t="n"/>
      <c r="D135" s="11" t="n"/>
      <c r="E135" s="12" t="n"/>
      <c r="F135" s="34" t="n"/>
      <c r="G135" s="34" t="n"/>
      <c r="H135" s="34" t="n"/>
      <c r="I135" s="34" t="n"/>
      <c r="J135" s="34" t="n"/>
      <c r="K135" s="34" t="n"/>
      <c r="L135" s="34" t="n"/>
      <c r="M135" s="36" t="n"/>
      <c r="N135" s="36" t="n"/>
      <c r="O135" s="41" t="n"/>
      <c r="P135" s="27">
        <f>IF($B135="","",IFERROR(TRIM(LEFT($B135,FIND(" - ",$B135)-1)),"Others"))</f>
        <v/>
      </c>
      <c r="Q135" s="39">
        <f>IF($A135="","",SUM($F135:$H135))</f>
        <v/>
      </c>
      <c r="R135" s="39">
        <f>IF($A135="","",SUM($I135:$K135))</f>
        <v/>
      </c>
      <c r="S135" s="39">
        <f>IF($A135="","",($L135+$R135)-$Q135)</f>
        <v/>
      </c>
      <c r="T135" s="31">
        <f>IF(OR($A135="",$Q135=0),"",$S135/$Q135)</f>
        <v/>
      </c>
      <c r="U135" s="27">
        <f>IF($A135="","",IF($L135&gt;0,"Live","Exited"))</f>
        <v/>
      </c>
      <c r="V135" s="40">
        <f>IF($A135="","",IF($A135='Client Report'!$C$4,COUNTIFS($A$6:$A135,'Client Report'!$C$4),""))</f>
        <v/>
      </c>
    </row>
    <row r="136">
      <c r="A136" s="11" t="n"/>
      <c r="B136" s="11" t="n"/>
      <c r="C136" s="11" t="n"/>
      <c r="D136" s="11" t="n"/>
      <c r="E136" s="12" t="n"/>
      <c r="F136" s="34" t="n"/>
      <c r="G136" s="34" t="n"/>
      <c r="H136" s="34" t="n"/>
      <c r="I136" s="34" t="n"/>
      <c r="J136" s="34" t="n"/>
      <c r="K136" s="34" t="n"/>
      <c r="L136" s="34" t="n"/>
      <c r="M136" s="36" t="n"/>
      <c r="N136" s="36" t="n"/>
      <c r="O136" s="41" t="n"/>
      <c r="P136" s="27">
        <f>IF($B136="","",IFERROR(TRIM(LEFT($B136,FIND(" - ",$B136)-1)),"Others"))</f>
        <v/>
      </c>
      <c r="Q136" s="39">
        <f>IF($A136="","",SUM($F136:$H136))</f>
        <v/>
      </c>
      <c r="R136" s="39">
        <f>IF($A136="","",SUM($I136:$K136))</f>
        <v/>
      </c>
      <c r="S136" s="39">
        <f>IF($A136="","",($L136+$R136)-$Q136)</f>
        <v/>
      </c>
      <c r="T136" s="31">
        <f>IF(OR($A136="",$Q136=0),"",$S136/$Q136)</f>
        <v/>
      </c>
      <c r="U136" s="27">
        <f>IF($A136="","",IF($L136&gt;0,"Live","Exited"))</f>
        <v/>
      </c>
      <c r="V136" s="40">
        <f>IF($A136="","",IF($A136='Client Report'!$C$4,COUNTIFS($A$6:$A136,'Client Report'!$C$4),""))</f>
        <v/>
      </c>
    </row>
    <row r="137">
      <c r="A137" s="11" t="n"/>
      <c r="B137" s="11" t="n"/>
      <c r="C137" s="11" t="n"/>
      <c r="D137" s="11" t="n"/>
      <c r="E137" s="12" t="n"/>
      <c r="F137" s="34" t="n"/>
      <c r="G137" s="34" t="n"/>
      <c r="H137" s="34" t="n"/>
      <c r="I137" s="34" t="n"/>
      <c r="J137" s="34" t="n"/>
      <c r="K137" s="34" t="n"/>
      <c r="L137" s="34" t="n"/>
      <c r="M137" s="36" t="n"/>
      <c r="N137" s="36" t="n"/>
      <c r="O137" s="41" t="n"/>
      <c r="P137" s="27">
        <f>IF($B137="","",IFERROR(TRIM(LEFT($B137,FIND(" - ",$B137)-1)),"Others"))</f>
        <v/>
      </c>
      <c r="Q137" s="39">
        <f>IF($A137="","",SUM($F137:$H137))</f>
        <v/>
      </c>
      <c r="R137" s="39">
        <f>IF($A137="","",SUM($I137:$K137))</f>
        <v/>
      </c>
      <c r="S137" s="39">
        <f>IF($A137="","",($L137+$R137)-$Q137)</f>
        <v/>
      </c>
      <c r="T137" s="31">
        <f>IF(OR($A137="",$Q137=0),"",$S137/$Q137)</f>
        <v/>
      </c>
      <c r="U137" s="27">
        <f>IF($A137="","",IF($L137&gt;0,"Live","Exited"))</f>
        <v/>
      </c>
      <c r="V137" s="40">
        <f>IF($A137="","",IF($A137='Client Report'!$C$4,COUNTIFS($A$6:$A137,'Client Report'!$C$4),""))</f>
        <v/>
      </c>
    </row>
    <row r="138">
      <c r="A138" s="11" t="n"/>
      <c r="B138" s="11" t="n"/>
      <c r="C138" s="11" t="n"/>
      <c r="D138" s="11" t="n"/>
      <c r="E138" s="12" t="n"/>
      <c r="F138" s="34" t="n"/>
      <c r="G138" s="34" t="n"/>
      <c r="H138" s="34" t="n"/>
      <c r="I138" s="34" t="n"/>
      <c r="J138" s="34" t="n"/>
      <c r="K138" s="34" t="n"/>
      <c r="L138" s="34" t="n"/>
      <c r="M138" s="36" t="n"/>
      <c r="N138" s="36" t="n"/>
      <c r="O138" s="41" t="n"/>
      <c r="P138" s="27">
        <f>IF($B138="","",IFERROR(TRIM(LEFT($B138,FIND(" - ",$B138)-1)),"Others"))</f>
        <v/>
      </c>
      <c r="Q138" s="39">
        <f>IF($A138="","",SUM($F138:$H138))</f>
        <v/>
      </c>
      <c r="R138" s="39">
        <f>IF($A138="","",SUM($I138:$K138))</f>
        <v/>
      </c>
      <c r="S138" s="39">
        <f>IF($A138="","",($L138+$R138)-$Q138)</f>
        <v/>
      </c>
      <c r="T138" s="31">
        <f>IF(OR($A138="",$Q138=0),"",$S138/$Q138)</f>
        <v/>
      </c>
      <c r="U138" s="27">
        <f>IF($A138="","",IF($L138&gt;0,"Live","Exited"))</f>
        <v/>
      </c>
      <c r="V138" s="40">
        <f>IF($A138="","",IF($A138='Client Report'!$C$4,COUNTIFS($A$6:$A138,'Client Report'!$C$4),""))</f>
        <v/>
      </c>
    </row>
    <row r="139">
      <c r="A139" s="11" t="n"/>
      <c r="B139" s="11" t="n"/>
      <c r="C139" s="11" t="n"/>
      <c r="D139" s="11" t="n"/>
      <c r="E139" s="12" t="n"/>
      <c r="F139" s="34" t="n"/>
      <c r="G139" s="34" t="n"/>
      <c r="H139" s="34" t="n"/>
      <c r="I139" s="34" t="n"/>
      <c r="J139" s="34" t="n"/>
      <c r="K139" s="34" t="n"/>
      <c r="L139" s="34" t="n"/>
      <c r="M139" s="36" t="n"/>
      <c r="N139" s="36" t="n"/>
      <c r="O139" s="41" t="n"/>
      <c r="P139" s="27">
        <f>IF($B139="","",IFERROR(TRIM(LEFT($B139,FIND(" - ",$B139)-1)),"Others"))</f>
        <v/>
      </c>
      <c r="Q139" s="39">
        <f>IF($A139="","",SUM($F139:$H139))</f>
        <v/>
      </c>
      <c r="R139" s="39">
        <f>IF($A139="","",SUM($I139:$K139))</f>
        <v/>
      </c>
      <c r="S139" s="39">
        <f>IF($A139="","",($L139+$R139)-$Q139)</f>
        <v/>
      </c>
      <c r="T139" s="31">
        <f>IF(OR($A139="",$Q139=0),"",$S139/$Q139)</f>
        <v/>
      </c>
      <c r="U139" s="27">
        <f>IF($A139="","",IF($L139&gt;0,"Live","Exited"))</f>
        <v/>
      </c>
      <c r="V139" s="40">
        <f>IF($A139="","",IF($A139='Client Report'!$C$4,COUNTIFS($A$6:$A139,'Client Report'!$C$4),""))</f>
        <v/>
      </c>
    </row>
    <row r="140">
      <c r="A140" s="11" t="n"/>
      <c r="B140" s="11" t="n"/>
      <c r="C140" s="11" t="n"/>
      <c r="D140" s="11" t="n"/>
      <c r="E140" s="12" t="n"/>
      <c r="F140" s="34" t="n"/>
      <c r="G140" s="34" t="n"/>
      <c r="H140" s="34" t="n"/>
      <c r="I140" s="34" t="n"/>
      <c r="J140" s="34" t="n"/>
      <c r="K140" s="34" t="n"/>
      <c r="L140" s="34" t="n"/>
      <c r="M140" s="36" t="n"/>
      <c r="N140" s="36" t="n"/>
      <c r="O140" s="41" t="n"/>
      <c r="P140" s="27">
        <f>IF($B140="","",IFERROR(TRIM(LEFT($B140,FIND(" - ",$B140)-1)),"Others"))</f>
        <v/>
      </c>
      <c r="Q140" s="39">
        <f>IF($A140="","",SUM($F140:$H140))</f>
        <v/>
      </c>
      <c r="R140" s="39">
        <f>IF($A140="","",SUM($I140:$K140))</f>
        <v/>
      </c>
      <c r="S140" s="39">
        <f>IF($A140="","",($L140+$R140)-$Q140)</f>
        <v/>
      </c>
      <c r="T140" s="31">
        <f>IF(OR($A140="",$Q140=0),"",$S140/$Q140)</f>
        <v/>
      </c>
      <c r="U140" s="27">
        <f>IF($A140="","",IF($L140&gt;0,"Live","Exited"))</f>
        <v/>
      </c>
      <c r="V140" s="40">
        <f>IF($A140="","",IF($A140='Client Report'!$C$4,COUNTIFS($A$6:$A140,'Client Report'!$C$4),""))</f>
        <v/>
      </c>
    </row>
    <row r="141">
      <c r="A141" s="11" t="n"/>
      <c r="B141" s="11" t="n"/>
      <c r="C141" s="11" t="n"/>
      <c r="D141" s="11" t="n"/>
      <c r="E141" s="12" t="n"/>
      <c r="F141" s="34" t="n"/>
      <c r="G141" s="34" t="n"/>
      <c r="H141" s="34" t="n"/>
      <c r="I141" s="34" t="n"/>
      <c r="J141" s="34" t="n"/>
      <c r="K141" s="34" t="n"/>
      <c r="L141" s="34" t="n"/>
      <c r="M141" s="36" t="n"/>
      <c r="N141" s="36" t="n"/>
      <c r="O141" s="41" t="n"/>
      <c r="P141" s="27">
        <f>IF($B141="","",IFERROR(TRIM(LEFT($B141,FIND(" - ",$B141)-1)),"Others"))</f>
        <v/>
      </c>
      <c r="Q141" s="39">
        <f>IF($A141="","",SUM($F141:$H141))</f>
        <v/>
      </c>
      <c r="R141" s="39">
        <f>IF($A141="","",SUM($I141:$K141))</f>
        <v/>
      </c>
      <c r="S141" s="39">
        <f>IF($A141="","",($L141+$R141)-$Q141)</f>
        <v/>
      </c>
      <c r="T141" s="31">
        <f>IF(OR($A141="",$Q141=0),"",$S141/$Q141)</f>
        <v/>
      </c>
      <c r="U141" s="27">
        <f>IF($A141="","",IF($L141&gt;0,"Live","Exited"))</f>
        <v/>
      </c>
      <c r="V141" s="40">
        <f>IF($A141="","",IF($A141='Client Report'!$C$4,COUNTIFS($A$6:$A141,'Client Report'!$C$4),""))</f>
        <v/>
      </c>
    </row>
    <row r="142">
      <c r="A142" s="11" t="n"/>
      <c r="B142" s="11" t="n"/>
      <c r="C142" s="11" t="n"/>
      <c r="D142" s="11" t="n"/>
      <c r="E142" s="12" t="n"/>
      <c r="F142" s="34" t="n"/>
      <c r="G142" s="34" t="n"/>
      <c r="H142" s="34" t="n"/>
      <c r="I142" s="34" t="n"/>
      <c r="J142" s="34" t="n"/>
      <c r="K142" s="34" t="n"/>
      <c r="L142" s="34" t="n"/>
      <c r="M142" s="36" t="n"/>
      <c r="N142" s="36" t="n"/>
      <c r="O142" s="41" t="n"/>
      <c r="P142" s="27">
        <f>IF($B142="","",IFERROR(TRIM(LEFT($B142,FIND(" - ",$B142)-1)),"Others"))</f>
        <v/>
      </c>
      <c r="Q142" s="39">
        <f>IF($A142="","",SUM($F142:$H142))</f>
        <v/>
      </c>
      <c r="R142" s="39">
        <f>IF($A142="","",SUM($I142:$K142))</f>
        <v/>
      </c>
      <c r="S142" s="39">
        <f>IF($A142="","",($L142+$R142)-$Q142)</f>
        <v/>
      </c>
      <c r="T142" s="31">
        <f>IF(OR($A142="",$Q142=0),"",$S142/$Q142)</f>
        <v/>
      </c>
      <c r="U142" s="27">
        <f>IF($A142="","",IF($L142&gt;0,"Live","Exited"))</f>
        <v/>
      </c>
      <c r="V142" s="40">
        <f>IF($A142="","",IF($A142='Client Report'!$C$4,COUNTIFS($A$6:$A142,'Client Report'!$C$4),""))</f>
        <v/>
      </c>
    </row>
    <row r="143">
      <c r="A143" s="11" t="n"/>
      <c r="B143" s="11" t="n"/>
      <c r="C143" s="11" t="n"/>
      <c r="D143" s="11" t="n"/>
      <c r="E143" s="12" t="n"/>
      <c r="F143" s="34" t="n"/>
      <c r="G143" s="34" t="n"/>
      <c r="H143" s="34" t="n"/>
      <c r="I143" s="34" t="n"/>
      <c r="J143" s="34" t="n"/>
      <c r="K143" s="34" t="n"/>
      <c r="L143" s="34" t="n"/>
      <c r="M143" s="36" t="n"/>
      <c r="N143" s="36" t="n"/>
      <c r="O143" s="41" t="n"/>
      <c r="P143" s="27">
        <f>IF($B143="","",IFERROR(TRIM(LEFT($B143,FIND(" - ",$B143)-1)),"Others"))</f>
        <v/>
      </c>
      <c r="Q143" s="39">
        <f>IF($A143="","",SUM($F143:$H143))</f>
        <v/>
      </c>
      <c r="R143" s="39">
        <f>IF($A143="","",SUM($I143:$K143))</f>
        <v/>
      </c>
      <c r="S143" s="39">
        <f>IF($A143="","",($L143+$R143)-$Q143)</f>
        <v/>
      </c>
      <c r="T143" s="31">
        <f>IF(OR($A143="",$Q143=0),"",$S143/$Q143)</f>
        <v/>
      </c>
      <c r="U143" s="27">
        <f>IF($A143="","",IF($L143&gt;0,"Live","Exited"))</f>
        <v/>
      </c>
      <c r="V143" s="40">
        <f>IF($A143="","",IF($A143='Client Report'!$C$4,COUNTIFS($A$6:$A143,'Client Report'!$C$4),""))</f>
        <v/>
      </c>
    </row>
    <row r="144">
      <c r="A144" s="11" t="n"/>
      <c r="B144" s="11" t="n"/>
      <c r="C144" s="11" t="n"/>
      <c r="D144" s="11" t="n"/>
      <c r="E144" s="12" t="n"/>
      <c r="F144" s="34" t="n"/>
      <c r="G144" s="34" t="n"/>
      <c r="H144" s="34" t="n"/>
      <c r="I144" s="34" t="n"/>
      <c r="J144" s="34" t="n"/>
      <c r="K144" s="34" t="n"/>
      <c r="L144" s="34" t="n"/>
      <c r="M144" s="36" t="n"/>
      <c r="N144" s="36" t="n"/>
      <c r="O144" s="41" t="n"/>
      <c r="P144" s="27">
        <f>IF($B144="","",IFERROR(TRIM(LEFT($B144,FIND(" - ",$B144)-1)),"Others"))</f>
        <v/>
      </c>
      <c r="Q144" s="39">
        <f>IF($A144="","",SUM($F144:$H144))</f>
        <v/>
      </c>
      <c r="R144" s="39">
        <f>IF($A144="","",SUM($I144:$K144))</f>
        <v/>
      </c>
      <c r="S144" s="39">
        <f>IF($A144="","",($L144+$R144)-$Q144)</f>
        <v/>
      </c>
      <c r="T144" s="31">
        <f>IF(OR($A144="",$Q144=0),"",$S144/$Q144)</f>
        <v/>
      </c>
      <c r="U144" s="27">
        <f>IF($A144="","",IF($L144&gt;0,"Live","Exited"))</f>
        <v/>
      </c>
      <c r="V144" s="40">
        <f>IF($A144="","",IF($A144='Client Report'!$C$4,COUNTIFS($A$6:$A144,'Client Report'!$C$4),""))</f>
        <v/>
      </c>
    </row>
    <row r="145">
      <c r="A145" s="11" t="n"/>
      <c r="B145" s="11" t="n"/>
      <c r="C145" s="11" t="n"/>
      <c r="D145" s="11" t="n"/>
      <c r="E145" s="12" t="n"/>
      <c r="F145" s="34" t="n"/>
      <c r="G145" s="34" t="n"/>
      <c r="H145" s="34" t="n"/>
      <c r="I145" s="34" t="n"/>
      <c r="J145" s="34" t="n"/>
      <c r="K145" s="34" t="n"/>
      <c r="L145" s="34" t="n"/>
      <c r="M145" s="36" t="n"/>
      <c r="N145" s="36" t="n"/>
      <c r="O145" s="41" t="n"/>
      <c r="P145" s="27">
        <f>IF($B145="","",IFERROR(TRIM(LEFT($B145,FIND(" - ",$B145)-1)),"Others"))</f>
        <v/>
      </c>
      <c r="Q145" s="39">
        <f>IF($A145="","",SUM($F145:$H145))</f>
        <v/>
      </c>
      <c r="R145" s="39">
        <f>IF($A145="","",SUM($I145:$K145))</f>
        <v/>
      </c>
      <c r="S145" s="39">
        <f>IF($A145="","",($L145+$R145)-$Q145)</f>
        <v/>
      </c>
      <c r="T145" s="31">
        <f>IF(OR($A145="",$Q145=0),"",$S145/$Q145)</f>
        <v/>
      </c>
      <c r="U145" s="27">
        <f>IF($A145="","",IF($L145&gt;0,"Live","Exited"))</f>
        <v/>
      </c>
      <c r="V145" s="40">
        <f>IF($A145="","",IF($A145='Client Report'!$C$4,COUNTIFS($A$6:$A145,'Client Report'!$C$4),""))</f>
        <v/>
      </c>
    </row>
    <row r="146">
      <c r="A146" s="11" t="n"/>
      <c r="B146" s="11" t="n"/>
      <c r="C146" s="11" t="n"/>
      <c r="D146" s="11" t="n"/>
      <c r="E146" s="12" t="n"/>
      <c r="F146" s="34" t="n"/>
      <c r="G146" s="34" t="n"/>
      <c r="H146" s="34" t="n"/>
      <c r="I146" s="34" t="n"/>
      <c r="J146" s="34" t="n"/>
      <c r="K146" s="34" t="n"/>
      <c r="L146" s="34" t="n"/>
      <c r="M146" s="36" t="n"/>
      <c r="N146" s="36" t="n"/>
      <c r="O146" s="41" t="n"/>
      <c r="P146" s="27">
        <f>IF($B146="","",IFERROR(TRIM(LEFT($B146,FIND(" - ",$B146)-1)),"Others"))</f>
        <v/>
      </c>
      <c r="Q146" s="39">
        <f>IF($A146="","",SUM($F146:$H146))</f>
        <v/>
      </c>
      <c r="R146" s="39">
        <f>IF($A146="","",SUM($I146:$K146))</f>
        <v/>
      </c>
      <c r="S146" s="39">
        <f>IF($A146="","",($L146+$R146)-$Q146)</f>
        <v/>
      </c>
      <c r="T146" s="31">
        <f>IF(OR($A146="",$Q146=0),"",$S146/$Q146)</f>
        <v/>
      </c>
      <c r="U146" s="27">
        <f>IF($A146="","",IF($L146&gt;0,"Live","Exited"))</f>
        <v/>
      </c>
      <c r="V146" s="40">
        <f>IF($A146="","",IF($A146='Client Report'!$C$4,COUNTIFS($A$6:$A146,'Client Report'!$C$4),""))</f>
        <v/>
      </c>
    </row>
    <row r="147">
      <c r="A147" s="11" t="n"/>
      <c r="B147" s="11" t="n"/>
      <c r="C147" s="11" t="n"/>
      <c r="D147" s="11" t="n"/>
      <c r="E147" s="12" t="n"/>
      <c r="F147" s="34" t="n"/>
      <c r="G147" s="34" t="n"/>
      <c r="H147" s="34" t="n"/>
      <c r="I147" s="34" t="n"/>
      <c r="J147" s="34" t="n"/>
      <c r="K147" s="34" t="n"/>
      <c r="L147" s="34" t="n"/>
      <c r="M147" s="36" t="n"/>
      <c r="N147" s="36" t="n"/>
      <c r="O147" s="41" t="n"/>
      <c r="P147" s="27">
        <f>IF($B147="","",IFERROR(TRIM(LEFT($B147,FIND(" - ",$B147)-1)),"Others"))</f>
        <v/>
      </c>
      <c r="Q147" s="39">
        <f>IF($A147="","",SUM($F147:$H147))</f>
        <v/>
      </c>
      <c r="R147" s="39">
        <f>IF($A147="","",SUM($I147:$K147))</f>
        <v/>
      </c>
      <c r="S147" s="39">
        <f>IF($A147="","",($L147+$R147)-$Q147)</f>
        <v/>
      </c>
      <c r="T147" s="31">
        <f>IF(OR($A147="",$Q147=0),"",$S147/$Q147)</f>
        <v/>
      </c>
      <c r="U147" s="27">
        <f>IF($A147="","",IF($L147&gt;0,"Live","Exited"))</f>
        <v/>
      </c>
      <c r="V147" s="40">
        <f>IF($A147="","",IF($A147='Client Report'!$C$4,COUNTIFS($A$6:$A147,'Client Report'!$C$4),""))</f>
        <v/>
      </c>
    </row>
    <row r="148">
      <c r="A148" s="11" t="n"/>
      <c r="B148" s="11" t="n"/>
      <c r="C148" s="11" t="n"/>
      <c r="D148" s="11" t="n"/>
      <c r="E148" s="12" t="n"/>
      <c r="F148" s="34" t="n"/>
      <c r="G148" s="34" t="n"/>
      <c r="H148" s="34" t="n"/>
      <c r="I148" s="34" t="n"/>
      <c r="J148" s="34" t="n"/>
      <c r="K148" s="34" t="n"/>
      <c r="L148" s="34" t="n"/>
      <c r="M148" s="36" t="n"/>
      <c r="N148" s="36" t="n"/>
      <c r="O148" s="41" t="n"/>
      <c r="P148" s="27">
        <f>IF($B148="","",IFERROR(TRIM(LEFT($B148,FIND(" - ",$B148)-1)),"Others"))</f>
        <v/>
      </c>
      <c r="Q148" s="39">
        <f>IF($A148="","",SUM($F148:$H148))</f>
        <v/>
      </c>
      <c r="R148" s="39">
        <f>IF($A148="","",SUM($I148:$K148))</f>
        <v/>
      </c>
      <c r="S148" s="39">
        <f>IF($A148="","",($L148+$R148)-$Q148)</f>
        <v/>
      </c>
      <c r="T148" s="31">
        <f>IF(OR($A148="",$Q148=0),"",$S148/$Q148)</f>
        <v/>
      </c>
      <c r="U148" s="27">
        <f>IF($A148="","",IF($L148&gt;0,"Live","Exited"))</f>
        <v/>
      </c>
      <c r="V148" s="40">
        <f>IF($A148="","",IF($A148='Client Report'!$C$4,COUNTIFS($A$6:$A148,'Client Report'!$C$4),""))</f>
        <v/>
      </c>
    </row>
    <row r="149">
      <c r="A149" s="11" t="n"/>
      <c r="B149" s="11" t="n"/>
      <c r="C149" s="11" t="n"/>
      <c r="D149" s="11" t="n"/>
      <c r="E149" s="12" t="n"/>
      <c r="F149" s="34" t="n"/>
      <c r="G149" s="34" t="n"/>
      <c r="H149" s="34" t="n"/>
      <c r="I149" s="34" t="n"/>
      <c r="J149" s="34" t="n"/>
      <c r="K149" s="34" t="n"/>
      <c r="L149" s="34" t="n"/>
      <c r="M149" s="36" t="n"/>
      <c r="N149" s="36" t="n"/>
      <c r="O149" s="41" t="n"/>
      <c r="P149" s="27">
        <f>IF($B149="","",IFERROR(TRIM(LEFT($B149,FIND(" - ",$B149)-1)),"Others"))</f>
        <v/>
      </c>
      <c r="Q149" s="39">
        <f>IF($A149="","",SUM($F149:$H149))</f>
        <v/>
      </c>
      <c r="R149" s="39">
        <f>IF($A149="","",SUM($I149:$K149))</f>
        <v/>
      </c>
      <c r="S149" s="39">
        <f>IF($A149="","",($L149+$R149)-$Q149)</f>
        <v/>
      </c>
      <c r="T149" s="31">
        <f>IF(OR($A149="",$Q149=0),"",$S149/$Q149)</f>
        <v/>
      </c>
      <c r="U149" s="27">
        <f>IF($A149="","",IF($L149&gt;0,"Live","Exited"))</f>
        <v/>
      </c>
      <c r="V149" s="40">
        <f>IF($A149="","",IF($A149='Client Report'!$C$4,COUNTIFS($A$6:$A149,'Client Report'!$C$4),""))</f>
        <v/>
      </c>
    </row>
    <row r="150">
      <c r="A150" s="11" t="n"/>
      <c r="B150" s="11" t="n"/>
      <c r="C150" s="11" t="n"/>
      <c r="D150" s="11" t="n"/>
      <c r="E150" s="12" t="n"/>
      <c r="F150" s="34" t="n"/>
      <c r="G150" s="34" t="n"/>
      <c r="H150" s="34" t="n"/>
      <c r="I150" s="34" t="n"/>
      <c r="J150" s="34" t="n"/>
      <c r="K150" s="34" t="n"/>
      <c r="L150" s="34" t="n"/>
      <c r="M150" s="36" t="n"/>
      <c r="N150" s="36" t="n"/>
      <c r="O150" s="41" t="n"/>
      <c r="P150" s="27">
        <f>IF($B150="","",IFERROR(TRIM(LEFT($B150,FIND(" - ",$B150)-1)),"Others"))</f>
        <v/>
      </c>
      <c r="Q150" s="39">
        <f>IF($A150="","",SUM($F150:$H150))</f>
        <v/>
      </c>
      <c r="R150" s="39">
        <f>IF($A150="","",SUM($I150:$K150))</f>
        <v/>
      </c>
      <c r="S150" s="39">
        <f>IF($A150="","",($L150+$R150)-$Q150)</f>
        <v/>
      </c>
      <c r="T150" s="31">
        <f>IF(OR($A150="",$Q150=0),"",$S150/$Q150)</f>
        <v/>
      </c>
      <c r="U150" s="27">
        <f>IF($A150="","",IF($L150&gt;0,"Live","Exited"))</f>
        <v/>
      </c>
      <c r="V150" s="40">
        <f>IF($A150="","",IF($A150='Client Report'!$C$4,COUNTIFS($A$6:$A150,'Client Report'!$C$4),""))</f>
        <v/>
      </c>
    </row>
    <row r="151">
      <c r="A151" s="11" t="n"/>
      <c r="B151" s="11" t="n"/>
      <c r="C151" s="11" t="n"/>
      <c r="D151" s="11" t="n"/>
      <c r="E151" s="12" t="n"/>
      <c r="F151" s="34" t="n"/>
      <c r="G151" s="34" t="n"/>
      <c r="H151" s="34" t="n"/>
      <c r="I151" s="34" t="n"/>
      <c r="J151" s="34" t="n"/>
      <c r="K151" s="34" t="n"/>
      <c r="L151" s="34" t="n"/>
      <c r="M151" s="36" t="n"/>
      <c r="N151" s="36" t="n"/>
      <c r="O151" s="41" t="n"/>
      <c r="P151" s="27">
        <f>IF($B151="","",IFERROR(TRIM(LEFT($B151,FIND(" - ",$B151)-1)),"Others"))</f>
        <v/>
      </c>
      <c r="Q151" s="39">
        <f>IF($A151="","",SUM($F151:$H151))</f>
        <v/>
      </c>
      <c r="R151" s="39">
        <f>IF($A151="","",SUM($I151:$K151))</f>
        <v/>
      </c>
      <c r="S151" s="39">
        <f>IF($A151="","",($L151+$R151)-$Q151)</f>
        <v/>
      </c>
      <c r="T151" s="31">
        <f>IF(OR($A151="",$Q151=0),"",$S151/$Q151)</f>
        <v/>
      </c>
      <c r="U151" s="27">
        <f>IF($A151="","",IF($L151&gt;0,"Live","Exited"))</f>
        <v/>
      </c>
      <c r="V151" s="40">
        <f>IF($A151="","",IF($A151='Client Report'!$C$4,COUNTIFS($A$6:$A151,'Client Report'!$C$4),""))</f>
        <v/>
      </c>
    </row>
    <row r="152">
      <c r="A152" s="11" t="n"/>
      <c r="B152" s="11" t="n"/>
      <c r="C152" s="11" t="n"/>
      <c r="D152" s="11" t="n"/>
      <c r="E152" s="12" t="n"/>
      <c r="F152" s="34" t="n"/>
      <c r="G152" s="34" t="n"/>
      <c r="H152" s="34" t="n"/>
      <c r="I152" s="34" t="n"/>
      <c r="J152" s="34" t="n"/>
      <c r="K152" s="34" t="n"/>
      <c r="L152" s="34" t="n"/>
      <c r="M152" s="36" t="n"/>
      <c r="N152" s="36" t="n"/>
      <c r="O152" s="41" t="n"/>
      <c r="P152" s="27">
        <f>IF($B152="","",IFERROR(TRIM(LEFT($B152,FIND(" - ",$B152)-1)),"Others"))</f>
        <v/>
      </c>
      <c r="Q152" s="39">
        <f>IF($A152="","",SUM($F152:$H152))</f>
        <v/>
      </c>
      <c r="R152" s="39">
        <f>IF($A152="","",SUM($I152:$K152))</f>
        <v/>
      </c>
      <c r="S152" s="39">
        <f>IF($A152="","",($L152+$R152)-$Q152)</f>
        <v/>
      </c>
      <c r="T152" s="31">
        <f>IF(OR($A152="",$Q152=0),"",$S152/$Q152)</f>
        <v/>
      </c>
      <c r="U152" s="27">
        <f>IF($A152="","",IF($L152&gt;0,"Live","Exited"))</f>
        <v/>
      </c>
      <c r="V152" s="40">
        <f>IF($A152="","",IF($A152='Client Report'!$C$4,COUNTIFS($A$6:$A152,'Client Report'!$C$4),""))</f>
        <v/>
      </c>
    </row>
    <row r="153">
      <c r="A153" s="11" t="n"/>
      <c r="B153" s="11" t="n"/>
      <c r="C153" s="11" t="n"/>
      <c r="D153" s="11" t="n"/>
      <c r="E153" s="12" t="n"/>
      <c r="F153" s="34" t="n"/>
      <c r="G153" s="34" t="n"/>
      <c r="H153" s="34" t="n"/>
      <c r="I153" s="34" t="n"/>
      <c r="J153" s="34" t="n"/>
      <c r="K153" s="34" t="n"/>
      <c r="L153" s="34" t="n"/>
      <c r="M153" s="36" t="n"/>
      <c r="N153" s="36" t="n"/>
      <c r="O153" s="41" t="n"/>
      <c r="P153" s="27">
        <f>IF($B153="","",IFERROR(TRIM(LEFT($B153,FIND(" - ",$B153)-1)),"Others"))</f>
        <v/>
      </c>
      <c r="Q153" s="39">
        <f>IF($A153="","",SUM($F153:$H153))</f>
        <v/>
      </c>
      <c r="R153" s="39">
        <f>IF($A153="","",SUM($I153:$K153))</f>
        <v/>
      </c>
      <c r="S153" s="39">
        <f>IF($A153="","",($L153+$R153)-$Q153)</f>
        <v/>
      </c>
      <c r="T153" s="31">
        <f>IF(OR($A153="",$Q153=0),"",$S153/$Q153)</f>
        <v/>
      </c>
      <c r="U153" s="27">
        <f>IF($A153="","",IF($L153&gt;0,"Live","Exited"))</f>
        <v/>
      </c>
      <c r="V153" s="40">
        <f>IF($A153="","",IF($A153='Client Report'!$C$4,COUNTIFS($A$6:$A153,'Client Report'!$C$4),""))</f>
        <v/>
      </c>
    </row>
    <row r="154">
      <c r="A154" s="11" t="n"/>
      <c r="B154" s="11" t="n"/>
      <c r="C154" s="11" t="n"/>
      <c r="D154" s="11" t="n"/>
      <c r="E154" s="12" t="n"/>
      <c r="F154" s="34" t="n"/>
      <c r="G154" s="34" t="n"/>
      <c r="H154" s="34" t="n"/>
      <c r="I154" s="34" t="n"/>
      <c r="J154" s="34" t="n"/>
      <c r="K154" s="34" t="n"/>
      <c r="L154" s="34" t="n"/>
      <c r="M154" s="36" t="n"/>
      <c r="N154" s="36" t="n"/>
      <c r="O154" s="41" t="n"/>
      <c r="P154" s="27">
        <f>IF($B154="","",IFERROR(TRIM(LEFT($B154,FIND(" - ",$B154)-1)),"Others"))</f>
        <v/>
      </c>
      <c r="Q154" s="39">
        <f>IF($A154="","",SUM($F154:$H154))</f>
        <v/>
      </c>
      <c r="R154" s="39">
        <f>IF($A154="","",SUM($I154:$K154))</f>
        <v/>
      </c>
      <c r="S154" s="39">
        <f>IF($A154="","",($L154+$R154)-$Q154)</f>
        <v/>
      </c>
      <c r="T154" s="31">
        <f>IF(OR($A154="",$Q154=0),"",$S154/$Q154)</f>
        <v/>
      </c>
      <c r="U154" s="27">
        <f>IF($A154="","",IF($L154&gt;0,"Live","Exited"))</f>
        <v/>
      </c>
      <c r="V154" s="40">
        <f>IF($A154="","",IF($A154='Client Report'!$C$4,COUNTIFS($A$6:$A154,'Client Report'!$C$4),""))</f>
        <v/>
      </c>
    </row>
    <row r="155">
      <c r="A155" s="11" t="n"/>
      <c r="B155" s="11" t="n"/>
      <c r="C155" s="11" t="n"/>
      <c r="D155" s="11" t="n"/>
      <c r="E155" s="12" t="n"/>
      <c r="F155" s="34" t="n"/>
      <c r="G155" s="34" t="n"/>
      <c r="H155" s="34" t="n"/>
      <c r="I155" s="34" t="n"/>
      <c r="J155" s="34" t="n"/>
      <c r="K155" s="34" t="n"/>
      <c r="L155" s="34" t="n"/>
      <c r="M155" s="36" t="n"/>
      <c r="N155" s="36" t="n"/>
      <c r="O155" s="41" t="n"/>
      <c r="P155" s="27">
        <f>IF($B155="","",IFERROR(TRIM(LEFT($B155,FIND(" - ",$B155)-1)),"Others"))</f>
        <v/>
      </c>
      <c r="Q155" s="39">
        <f>IF($A155="","",SUM($F155:$H155))</f>
        <v/>
      </c>
      <c r="R155" s="39">
        <f>IF($A155="","",SUM($I155:$K155))</f>
        <v/>
      </c>
      <c r="S155" s="39">
        <f>IF($A155="","",($L155+$R155)-$Q155)</f>
        <v/>
      </c>
      <c r="T155" s="31">
        <f>IF(OR($A155="",$Q155=0),"",$S155/$Q155)</f>
        <v/>
      </c>
      <c r="U155" s="27">
        <f>IF($A155="","",IF($L155&gt;0,"Live","Exited"))</f>
        <v/>
      </c>
      <c r="V155" s="40">
        <f>IF($A155="","",IF($A155='Client Report'!$C$4,COUNTIFS($A$6:$A155,'Client Report'!$C$4),""))</f>
        <v/>
      </c>
    </row>
    <row r="156">
      <c r="A156" s="11" t="n"/>
      <c r="B156" s="11" t="n"/>
      <c r="C156" s="11" t="n"/>
      <c r="D156" s="11" t="n"/>
      <c r="E156" s="12" t="n"/>
      <c r="F156" s="34" t="n"/>
      <c r="G156" s="34" t="n"/>
      <c r="H156" s="34" t="n"/>
      <c r="I156" s="34" t="n"/>
      <c r="J156" s="34" t="n"/>
      <c r="K156" s="34" t="n"/>
      <c r="L156" s="34" t="n"/>
      <c r="M156" s="36" t="n"/>
      <c r="N156" s="36" t="n"/>
      <c r="O156" s="41" t="n"/>
      <c r="P156" s="27">
        <f>IF($B156="","",IFERROR(TRIM(LEFT($B156,FIND(" - ",$B156)-1)),"Others"))</f>
        <v/>
      </c>
      <c r="Q156" s="39">
        <f>IF($A156="","",SUM($F156:$H156))</f>
        <v/>
      </c>
      <c r="R156" s="39">
        <f>IF($A156="","",SUM($I156:$K156))</f>
        <v/>
      </c>
      <c r="S156" s="39">
        <f>IF($A156="","",($L156+$R156)-$Q156)</f>
        <v/>
      </c>
      <c r="T156" s="31">
        <f>IF(OR($A156="",$Q156=0),"",$S156/$Q156)</f>
        <v/>
      </c>
      <c r="U156" s="27">
        <f>IF($A156="","",IF($L156&gt;0,"Live","Exited"))</f>
        <v/>
      </c>
      <c r="V156" s="40">
        <f>IF($A156="","",IF($A156='Client Report'!$C$4,COUNTIFS($A$6:$A156,'Client Report'!$C$4),""))</f>
        <v/>
      </c>
    </row>
    <row r="157">
      <c r="A157" s="11" t="n"/>
      <c r="B157" s="11" t="n"/>
      <c r="C157" s="11" t="n"/>
      <c r="D157" s="11" t="n"/>
      <c r="E157" s="12" t="n"/>
      <c r="F157" s="34" t="n"/>
      <c r="G157" s="34" t="n"/>
      <c r="H157" s="34" t="n"/>
      <c r="I157" s="34" t="n"/>
      <c r="J157" s="34" t="n"/>
      <c r="K157" s="34" t="n"/>
      <c r="L157" s="34" t="n"/>
      <c r="M157" s="36" t="n"/>
      <c r="N157" s="36" t="n"/>
      <c r="O157" s="41" t="n"/>
      <c r="P157" s="27">
        <f>IF($B157="","",IFERROR(TRIM(LEFT($B157,FIND(" - ",$B157)-1)),"Others"))</f>
        <v/>
      </c>
      <c r="Q157" s="39">
        <f>IF($A157="","",SUM($F157:$H157))</f>
        <v/>
      </c>
      <c r="R157" s="39">
        <f>IF($A157="","",SUM($I157:$K157))</f>
        <v/>
      </c>
      <c r="S157" s="39">
        <f>IF($A157="","",($L157+$R157)-$Q157)</f>
        <v/>
      </c>
      <c r="T157" s="31">
        <f>IF(OR($A157="",$Q157=0),"",$S157/$Q157)</f>
        <v/>
      </c>
      <c r="U157" s="27">
        <f>IF($A157="","",IF($L157&gt;0,"Live","Exited"))</f>
        <v/>
      </c>
      <c r="V157" s="40">
        <f>IF($A157="","",IF($A157='Client Report'!$C$4,COUNTIFS($A$6:$A157,'Client Report'!$C$4),""))</f>
        <v/>
      </c>
    </row>
    <row r="158">
      <c r="A158" s="11" t="n"/>
      <c r="B158" s="11" t="n"/>
      <c r="C158" s="11" t="n"/>
      <c r="D158" s="11" t="n"/>
      <c r="E158" s="12" t="n"/>
      <c r="F158" s="34" t="n"/>
      <c r="G158" s="34" t="n"/>
      <c r="H158" s="34" t="n"/>
      <c r="I158" s="34" t="n"/>
      <c r="J158" s="34" t="n"/>
      <c r="K158" s="34" t="n"/>
      <c r="L158" s="34" t="n"/>
      <c r="M158" s="36" t="n"/>
      <c r="N158" s="36" t="n"/>
      <c r="O158" s="41" t="n"/>
      <c r="P158" s="27">
        <f>IF($B158="","",IFERROR(TRIM(LEFT($B158,FIND(" - ",$B158)-1)),"Others"))</f>
        <v/>
      </c>
      <c r="Q158" s="39">
        <f>IF($A158="","",SUM($F158:$H158))</f>
        <v/>
      </c>
      <c r="R158" s="39">
        <f>IF($A158="","",SUM($I158:$K158))</f>
        <v/>
      </c>
      <c r="S158" s="39">
        <f>IF($A158="","",($L158+$R158)-$Q158)</f>
        <v/>
      </c>
      <c r="T158" s="31">
        <f>IF(OR($A158="",$Q158=0),"",$S158/$Q158)</f>
        <v/>
      </c>
      <c r="U158" s="27">
        <f>IF($A158="","",IF($L158&gt;0,"Live","Exited"))</f>
        <v/>
      </c>
      <c r="V158" s="40">
        <f>IF($A158="","",IF($A158='Client Report'!$C$4,COUNTIFS($A$6:$A158,'Client Report'!$C$4),""))</f>
        <v/>
      </c>
    </row>
    <row r="159">
      <c r="A159" s="11" t="n"/>
      <c r="B159" s="11" t="n"/>
      <c r="C159" s="11" t="n"/>
      <c r="D159" s="11" t="n"/>
      <c r="E159" s="12" t="n"/>
      <c r="F159" s="34" t="n"/>
      <c r="G159" s="34" t="n"/>
      <c r="H159" s="34" t="n"/>
      <c r="I159" s="34" t="n"/>
      <c r="J159" s="34" t="n"/>
      <c r="K159" s="34" t="n"/>
      <c r="L159" s="34" t="n"/>
      <c r="M159" s="36" t="n"/>
      <c r="N159" s="36" t="n"/>
      <c r="O159" s="41" t="n"/>
      <c r="P159" s="27">
        <f>IF($B159="","",IFERROR(TRIM(LEFT($B159,FIND(" - ",$B159)-1)),"Others"))</f>
        <v/>
      </c>
      <c r="Q159" s="39">
        <f>IF($A159="","",SUM($F159:$H159))</f>
        <v/>
      </c>
      <c r="R159" s="39">
        <f>IF($A159="","",SUM($I159:$K159))</f>
        <v/>
      </c>
      <c r="S159" s="39">
        <f>IF($A159="","",($L159+$R159)-$Q159)</f>
        <v/>
      </c>
      <c r="T159" s="31">
        <f>IF(OR($A159="",$Q159=0),"",$S159/$Q159)</f>
        <v/>
      </c>
      <c r="U159" s="27">
        <f>IF($A159="","",IF($L159&gt;0,"Live","Exited"))</f>
        <v/>
      </c>
      <c r="V159" s="40">
        <f>IF($A159="","",IF($A159='Client Report'!$C$4,COUNTIFS($A$6:$A159,'Client Report'!$C$4),""))</f>
        <v/>
      </c>
    </row>
    <row r="160">
      <c r="A160" s="11" t="n"/>
      <c r="B160" s="11" t="n"/>
      <c r="C160" s="11" t="n"/>
      <c r="D160" s="11" t="n"/>
      <c r="E160" s="12" t="n"/>
      <c r="F160" s="34" t="n"/>
      <c r="G160" s="34" t="n"/>
      <c r="H160" s="34" t="n"/>
      <c r="I160" s="34" t="n"/>
      <c r="J160" s="34" t="n"/>
      <c r="K160" s="34" t="n"/>
      <c r="L160" s="34" t="n"/>
      <c r="M160" s="36" t="n"/>
      <c r="N160" s="36" t="n"/>
      <c r="O160" s="41" t="n"/>
      <c r="P160" s="27">
        <f>IF($B160="","",IFERROR(TRIM(LEFT($B160,FIND(" - ",$B160)-1)),"Others"))</f>
        <v/>
      </c>
      <c r="Q160" s="39">
        <f>IF($A160="","",SUM($F160:$H160))</f>
        <v/>
      </c>
      <c r="R160" s="39">
        <f>IF($A160="","",SUM($I160:$K160))</f>
        <v/>
      </c>
      <c r="S160" s="39">
        <f>IF($A160="","",($L160+$R160)-$Q160)</f>
        <v/>
      </c>
      <c r="T160" s="31">
        <f>IF(OR($A160="",$Q160=0),"",$S160/$Q160)</f>
        <v/>
      </c>
      <c r="U160" s="27">
        <f>IF($A160="","",IF($L160&gt;0,"Live","Exited"))</f>
        <v/>
      </c>
      <c r="V160" s="40">
        <f>IF($A160="","",IF($A160='Client Report'!$C$4,COUNTIFS($A$6:$A160,'Client Report'!$C$4),""))</f>
        <v/>
      </c>
    </row>
    <row r="161">
      <c r="A161" s="11" t="n"/>
      <c r="B161" s="11" t="n"/>
      <c r="C161" s="11" t="n"/>
      <c r="D161" s="11" t="n"/>
      <c r="E161" s="12" t="n"/>
      <c r="F161" s="34" t="n"/>
      <c r="G161" s="34" t="n"/>
      <c r="H161" s="34" t="n"/>
      <c r="I161" s="34" t="n"/>
      <c r="J161" s="34" t="n"/>
      <c r="K161" s="34" t="n"/>
      <c r="L161" s="34" t="n"/>
      <c r="M161" s="36" t="n"/>
      <c r="N161" s="36" t="n"/>
      <c r="O161" s="41" t="n"/>
      <c r="P161" s="27">
        <f>IF($B161="","",IFERROR(TRIM(LEFT($B161,FIND(" - ",$B161)-1)),"Others"))</f>
        <v/>
      </c>
      <c r="Q161" s="39">
        <f>IF($A161="","",SUM($F161:$H161))</f>
        <v/>
      </c>
      <c r="R161" s="39">
        <f>IF($A161="","",SUM($I161:$K161))</f>
        <v/>
      </c>
      <c r="S161" s="39">
        <f>IF($A161="","",($L161+$R161)-$Q161)</f>
        <v/>
      </c>
      <c r="T161" s="31">
        <f>IF(OR($A161="",$Q161=0),"",$S161/$Q161)</f>
        <v/>
      </c>
      <c r="U161" s="27">
        <f>IF($A161="","",IF($L161&gt;0,"Live","Exited"))</f>
        <v/>
      </c>
      <c r="V161" s="40">
        <f>IF($A161="","",IF($A161='Client Report'!$C$4,COUNTIFS($A$6:$A161,'Client Report'!$C$4),""))</f>
        <v/>
      </c>
    </row>
    <row r="162">
      <c r="A162" s="11" t="n"/>
      <c r="B162" s="11" t="n"/>
      <c r="C162" s="11" t="n"/>
      <c r="D162" s="11" t="n"/>
      <c r="E162" s="12" t="n"/>
      <c r="F162" s="34" t="n"/>
      <c r="G162" s="34" t="n"/>
      <c r="H162" s="34" t="n"/>
      <c r="I162" s="34" t="n"/>
      <c r="J162" s="34" t="n"/>
      <c r="K162" s="34" t="n"/>
      <c r="L162" s="34" t="n"/>
      <c r="M162" s="36" t="n"/>
      <c r="N162" s="36" t="n"/>
      <c r="O162" s="41" t="n"/>
      <c r="P162" s="27">
        <f>IF($B162="","",IFERROR(TRIM(LEFT($B162,FIND(" - ",$B162)-1)),"Others"))</f>
        <v/>
      </c>
      <c r="Q162" s="39">
        <f>IF($A162="","",SUM($F162:$H162))</f>
        <v/>
      </c>
      <c r="R162" s="39">
        <f>IF($A162="","",SUM($I162:$K162))</f>
        <v/>
      </c>
      <c r="S162" s="39">
        <f>IF($A162="","",($L162+$R162)-$Q162)</f>
        <v/>
      </c>
      <c r="T162" s="31">
        <f>IF(OR($A162="",$Q162=0),"",$S162/$Q162)</f>
        <v/>
      </c>
      <c r="U162" s="27">
        <f>IF($A162="","",IF($L162&gt;0,"Live","Exited"))</f>
        <v/>
      </c>
      <c r="V162" s="40">
        <f>IF($A162="","",IF($A162='Client Report'!$C$4,COUNTIFS($A$6:$A162,'Client Report'!$C$4),""))</f>
        <v/>
      </c>
    </row>
    <row r="163">
      <c r="A163" s="11" t="n"/>
      <c r="B163" s="11" t="n"/>
      <c r="C163" s="11" t="n"/>
      <c r="D163" s="11" t="n"/>
      <c r="E163" s="12" t="n"/>
      <c r="F163" s="34" t="n"/>
      <c r="G163" s="34" t="n"/>
      <c r="H163" s="34" t="n"/>
      <c r="I163" s="34" t="n"/>
      <c r="J163" s="34" t="n"/>
      <c r="K163" s="34" t="n"/>
      <c r="L163" s="34" t="n"/>
      <c r="M163" s="36" t="n"/>
      <c r="N163" s="36" t="n"/>
      <c r="O163" s="41" t="n"/>
      <c r="P163" s="27">
        <f>IF($B163="","",IFERROR(TRIM(LEFT($B163,FIND(" - ",$B163)-1)),"Others"))</f>
        <v/>
      </c>
      <c r="Q163" s="39">
        <f>IF($A163="","",SUM($F163:$H163))</f>
        <v/>
      </c>
      <c r="R163" s="39">
        <f>IF($A163="","",SUM($I163:$K163))</f>
        <v/>
      </c>
      <c r="S163" s="39">
        <f>IF($A163="","",($L163+$R163)-$Q163)</f>
        <v/>
      </c>
      <c r="T163" s="31">
        <f>IF(OR($A163="",$Q163=0),"",$S163/$Q163)</f>
        <v/>
      </c>
      <c r="U163" s="27">
        <f>IF($A163="","",IF($L163&gt;0,"Live","Exited"))</f>
        <v/>
      </c>
      <c r="V163" s="40">
        <f>IF($A163="","",IF($A163='Client Report'!$C$4,COUNTIFS($A$6:$A163,'Client Report'!$C$4),""))</f>
        <v/>
      </c>
    </row>
    <row r="164">
      <c r="A164" s="11" t="n"/>
      <c r="B164" s="11" t="n"/>
      <c r="C164" s="11" t="n"/>
      <c r="D164" s="11" t="n"/>
      <c r="E164" s="12" t="n"/>
      <c r="F164" s="34" t="n"/>
      <c r="G164" s="34" t="n"/>
      <c r="H164" s="34" t="n"/>
      <c r="I164" s="34" t="n"/>
      <c r="J164" s="34" t="n"/>
      <c r="K164" s="34" t="n"/>
      <c r="L164" s="34" t="n"/>
      <c r="M164" s="36" t="n"/>
      <c r="N164" s="36" t="n"/>
      <c r="O164" s="41" t="n"/>
      <c r="P164" s="27">
        <f>IF($B164="","",IFERROR(TRIM(LEFT($B164,FIND(" - ",$B164)-1)),"Others"))</f>
        <v/>
      </c>
      <c r="Q164" s="39">
        <f>IF($A164="","",SUM($F164:$H164))</f>
        <v/>
      </c>
      <c r="R164" s="39">
        <f>IF($A164="","",SUM($I164:$K164))</f>
        <v/>
      </c>
      <c r="S164" s="39">
        <f>IF($A164="","",($L164+$R164)-$Q164)</f>
        <v/>
      </c>
      <c r="T164" s="31">
        <f>IF(OR($A164="",$Q164=0),"",$S164/$Q164)</f>
        <v/>
      </c>
      <c r="U164" s="27">
        <f>IF($A164="","",IF($L164&gt;0,"Live","Exited"))</f>
        <v/>
      </c>
      <c r="V164" s="40">
        <f>IF($A164="","",IF($A164='Client Report'!$C$4,COUNTIFS($A$6:$A164,'Client Report'!$C$4),""))</f>
        <v/>
      </c>
    </row>
    <row r="165">
      <c r="A165" s="11" t="n"/>
      <c r="B165" s="11" t="n"/>
      <c r="C165" s="11" t="n"/>
      <c r="D165" s="11" t="n"/>
      <c r="E165" s="12" t="n"/>
      <c r="F165" s="34" t="n"/>
      <c r="G165" s="34" t="n"/>
      <c r="H165" s="34" t="n"/>
      <c r="I165" s="34" t="n"/>
      <c r="J165" s="34" t="n"/>
      <c r="K165" s="34" t="n"/>
      <c r="L165" s="34" t="n"/>
      <c r="M165" s="36" t="n"/>
      <c r="N165" s="36" t="n"/>
      <c r="O165" s="41" t="n"/>
      <c r="P165" s="27">
        <f>IF($B165="","",IFERROR(TRIM(LEFT($B165,FIND(" - ",$B165)-1)),"Others"))</f>
        <v/>
      </c>
      <c r="Q165" s="39">
        <f>IF($A165="","",SUM($F165:$H165))</f>
        <v/>
      </c>
      <c r="R165" s="39">
        <f>IF($A165="","",SUM($I165:$K165))</f>
        <v/>
      </c>
      <c r="S165" s="39">
        <f>IF($A165="","",($L165+$R165)-$Q165)</f>
        <v/>
      </c>
      <c r="T165" s="31">
        <f>IF(OR($A165="",$Q165=0),"",$S165/$Q165)</f>
        <v/>
      </c>
      <c r="U165" s="27">
        <f>IF($A165="","",IF($L165&gt;0,"Live","Exited"))</f>
        <v/>
      </c>
      <c r="V165" s="40">
        <f>IF($A165="","",IF($A165='Client Report'!$C$4,COUNTIFS($A$6:$A165,'Client Report'!$C$4),""))</f>
        <v/>
      </c>
    </row>
    <row r="166">
      <c r="A166" s="11" t="n"/>
      <c r="B166" s="11" t="n"/>
      <c r="C166" s="11" t="n"/>
      <c r="D166" s="11" t="n"/>
      <c r="E166" s="12" t="n"/>
      <c r="F166" s="34" t="n"/>
      <c r="G166" s="34" t="n"/>
      <c r="H166" s="34" t="n"/>
      <c r="I166" s="34" t="n"/>
      <c r="J166" s="34" t="n"/>
      <c r="K166" s="34" t="n"/>
      <c r="L166" s="34" t="n"/>
      <c r="M166" s="36" t="n"/>
      <c r="N166" s="36" t="n"/>
      <c r="O166" s="41" t="n"/>
      <c r="P166" s="27">
        <f>IF($B166="","",IFERROR(TRIM(LEFT($B166,FIND(" - ",$B166)-1)),"Others"))</f>
        <v/>
      </c>
      <c r="Q166" s="39">
        <f>IF($A166="","",SUM($F166:$H166))</f>
        <v/>
      </c>
      <c r="R166" s="39">
        <f>IF($A166="","",SUM($I166:$K166))</f>
        <v/>
      </c>
      <c r="S166" s="39">
        <f>IF($A166="","",($L166+$R166)-$Q166)</f>
        <v/>
      </c>
      <c r="T166" s="31">
        <f>IF(OR($A166="",$Q166=0),"",$S166/$Q166)</f>
        <v/>
      </c>
      <c r="U166" s="27">
        <f>IF($A166="","",IF($L166&gt;0,"Live","Exited"))</f>
        <v/>
      </c>
      <c r="V166" s="40">
        <f>IF($A166="","",IF($A166='Client Report'!$C$4,COUNTIFS($A$6:$A166,'Client Report'!$C$4),""))</f>
        <v/>
      </c>
    </row>
    <row r="167">
      <c r="A167" s="11" t="n"/>
      <c r="B167" s="11" t="n"/>
      <c r="C167" s="11" t="n"/>
      <c r="D167" s="11" t="n"/>
      <c r="E167" s="12" t="n"/>
      <c r="F167" s="34" t="n"/>
      <c r="G167" s="34" t="n"/>
      <c r="H167" s="34" t="n"/>
      <c r="I167" s="34" t="n"/>
      <c r="J167" s="34" t="n"/>
      <c r="K167" s="34" t="n"/>
      <c r="L167" s="34" t="n"/>
      <c r="M167" s="36" t="n"/>
      <c r="N167" s="36" t="n"/>
      <c r="O167" s="41" t="n"/>
      <c r="P167" s="27">
        <f>IF($B167="","",IFERROR(TRIM(LEFT($B167,FIND(" - ",$B167)-1)),"Others"))</f>
        <v/>
      </c>
      <c r="Q167" s="39">
        <f>IF($A167="","",SUM($F167:$H167))</f>
        <v/>
      </c>
      <c r="R167" s="39">
        <f>IF($A167="","",SUM($I167:$K167))</f>
        <v/>
      </c>
      <c r="S167" s="39">
        <f>IF($A167="","",($L167+$R167)-$Q167)</f>
        <v/>
      </c>
      <c r="T167" s="31">
        <f>IF(OR($A167="",$Q167=0),"",$S167/$Q167)</f>
        <v/>
      </c>
      <c r="U167" s="27">
        <f>IF($A167="","",IF($L167&gt;0,"Live","Exited"))</f>
        <v/>
      </c>
      <c r="V167" s="40">
        <f>IF($A167="","",IF($A167='Client Report'!$C$4,COUNTIFS($A$6:$A167,'Client Report'!$C$4),""))</f>
        <v/>
      </c>
    </row>
    <row r="168">
      <c r="A168" s="11" t="n"/>
      <c r="B168" s="11" t="n"/>
      <c r="C168" s="11" t="n"/>
      <c r="D168" s="11" t="n"/>
      <c r="E168" s="12" t="n"/>
      <c r="F168" s="34" t="n"/>
      <c r="G168" s="34" t="n"/>
      <c r="H168" s="34" t="n"/>
      <c r="I168" s="34" t="n"/>
      <c r="J168" s="34" t="n"/>
      <c r="K168" s="34" t="n"/>
      <c r="L168" s="34" t="n"/>
      <c r="M168" s="36" t="n"/>
      <c r="N168" s="36" t="n"/>
      <c r="O168" s="41" t="n"/>
      <c r="P168" s="27">
        <f>IF($B168="","",IFERROR(TRIM(LEFT($B168,FIND(" - ",$B168)-1)),"Others"))</f>
        <v/>
      </c>
      <c r="Q168" s="39">
        <f>IF($A168="","",SUM($F168:$H168))</f>
        <v/>
      </c>
      <c r="R168" s="39">
        <f>IF($A168="","",SUM($I168:$K168))</f>
        <v/>
      </c>
      <c r="S168" s="39">
        <f>IF($A168="","",($L168+$R168)-$Q168)</f>
        <v/>
      </c>
      <c r="T168" s="31">
        <f>IF(OR($A168="",$Q168=0),"",$S168/$Q168)</f>
        <v/>
      </c>
      <c r="U168" s="27">
        <f>IF($A168="","",IF($L168&gt;0,"Live","Exited"))</f>
        <v/>
      </c>
      <c r="V168" s="40">
        <f>IF($A168="","",IF($A168='Client Report'!$C$4,COUNTIFS($A$6:$A168,'Client Report'!$C$4),""))</f>
        <v/>
      </c>
    </row>
    <row r="169">
      <c r="A169" s="11" t="n"/>
      <c r="B169" s="11" t="n"/>
      <c r="C169" s="11" t="n"/>
      <c r="D169" s="11" t="n"/>
      <c r="E169" s="12" t="n"/>
      <c r="F169" s="34" t="n"/>
      <c r="G169" s="34" t="n"/>
      <c r="H169" s="34" t="n"/>
      <c r="I169" s="34" t="n"/>
      <c r="J169" s="34" t="n"/>
      <c r="K169" s="34" t="n"/>
      <c r="L169" s="34" t="n"/>
      <c r="M169" s="36" t="n"/>
      <c r="N169" s="36" t="n"/>
      <c r="O169" s="41" t="n"/>
      <c r="P169" s="27">
        <f>IF($B169="","",IFERROR(TRIM(LEFT($B169,FIND(" - ",$B169)-1)),"Others"))</f>
        <v/>
      </c>
      <c r="Q169" s="39">
        <f>IF($A169="","",SUM($F169:$H169))</f>
        <v/>
      </c>
      <c r="R169" s="39">
        <f>IF($A169="","",SUM($I169:$K169))</f>
        <v/>
      </c>
      <c r="S169" s="39">
        <f>IF($A169="","",($L169+$R169)-$Q169)</f>
        <v/>
      </c>
      <c r="T169" s="31">
        <f>IF(OR($A169="",$Q169=0),"",$S169/$Q169)</f>
        <v/>
      </c>
      <c r="U169" s="27">
        <f>IF($A169="","",IF($L169&gt;0,"Live","Exited"))</f>
        <v/>
      </c>
      <c r="V169" s="40">
        <f>IF($A169="","",IF($A169='Client Report'!$C$4,COUNTIFS($A$6:$A169,'Client Report'!$C$4),""))</f>
        <v/>
      </c>
    </row>
    <row r="170">
      <c r="A170" s="11" t="n"/>
      <c r="B170" s="11" t="n"/>
      <c r="C170" s="11" t="n"/>
      <c r="D170" s="11" t="n"/>
      <c r="E170" s="12" t="n"/>
      <c r="F170" s="34" t="n"/>
      <c r="G170" s="34" t="n"/>
      <c r="H170" s="34" t="n"/>
      <c r="I170" s="34" t="n"/>
      <c r="J170" s="34" t="n"/>
      <c r="K170" s="34" t="n"/>
      <c r="L170" s="34" t="n"/>
      <c r="M170" s="36" t="n"/>
      <c r="N170" s="36" t="n"/>
      <c r="O170" s="41" t="n"/>
      <c r="P170" s="27">
        <f>IF($B170="","",IFERROR(TRIM(LEFT($B170,FIND(" - ",$B170)-1)),"Others"))</f>
        <v/>
      </c>
      <c r="Q170" s="39">
        <f>IF($A170="","",SUM($F170:$H170))</f>
        <v/>
      </c>
      <c r="R170" s="39">
        <f>IF($A170="","",SUM($I170:$K170))</f>
        <v/>
      </c>
      <c r="S170" s="39">
        <f>IF($A170="","",($L170+$R170)-$Q170)</f>
        <v/>
      </c>
      <c r="T170" s="31">
        <f>IF(OR($A170="",$Q170=0),"",$S170/$Q170)</f>
        <v/>
      </c>
      <c r="U170" s="27">
        <f>IF($A170="","",IF($L170&gt;0,"Live","Exited"))</f>
        <v/>
      </c>
      <c r="V170" s="40">
        <f>IF($A170="","",IF($A170='Client Report'!$C$4,COUNTIFS($A$6:$A170,'Client Report'!$C$4),""))</f>
        <v/>
      </c>
    </row>
    <row r="171">
      <c r="A171" s="11" t="n"/>
      <c r="B171" s="11" t="n"/>
      <c r="C171" s="11" t="n"/>
      <c r="D171" s="11" t="n"/>
      <c r="E171" s="12" t="n"/>
      <c r="F171" s="34" t="n"/>
      <c r="G171" s="34" t="n"/>
      <c r="H171" s="34" t="n"/>
      <c r="I171" s="34" t="n"/>
      <c r="J171" s="34" t="n"/>
      <c r="K171" s="34" t="n"/>
      <c r="L171" s="34" t="n"/>
      <c r="M171" s="36" t="n"/>
      <c r="N171" s="36" t="n"/>
      <c r="O171" s="41" t="n"/>
      <c r="P171" s="27">
        <f>IF($B171="","",IFERROR(TRIM(LEFT($B171,FIND(" - ",$B171)-1)),"Others"))</f>
        <v/>
      </c>
      <c r="Q171" s="39">
        <f>IF($A171="","",SUM($F171:$H171))</f>
        <v/>
      </c>
      <c r="R171" s="39">
        <f>IF($A171="","",SUM($I171:$K171))</f>
        <v/>
      </c>
      <c r="S171" s="39">
        <f>IF($A171="","",($L171+$R171)-$Q171)</f>
        <v/>
      </c>
      <c r="T171" s="31">
        <f>IF(OR($A171="",$Q171=0),"",$S171/$Q171)</f>
        <v/>
      </c>
      <c r="U171" s="27">
        <f>IF($A171="","",IF($L171&gt;0,"Live","Exited"))</f>
        <v/>
      </c>
      <c r="V171" s="40">
        <f>IF($A171="","",IF($A171='Client Report'!$C$4,COUNTIFS($A$6:$A171,'Client Report'!$C$4),""))</f>
        <v/>
      </c>
    </row>
    <row r="172">
      <c r="A172" s="11" t="n"/>
      <c r="B172" s="11" t="n"/>
      <c r="C172" s="11" t="n"/>
      <c r="D172" s="11" t="n"/>
      <c r="E172" s="12" t="n"/>
      <c r="F172" s="34" t="n"/>
      <c r="G172" s="34" t="n"/>
      <c r="H172" s="34" t="n"/>
      <c r="I172" s="34" t="n"/>
      <c r="J172" s="34" t="n"/>
      <c r="K172" s="34" t="n"/>
      <c r="L172" s="34" t="n"/>
      <c r="M172" s="36" t="n"/>
      <c r="N172" s="36" t="n"/>
      <c r="O172" s="41" t="n"/>
      <c r="P172" s="27">
        <f>IF($B172="","",IFERROR(TRIM(LEFT($B172,FIND(" - ",$B172)-1)),"Others"))</f>
        <v/>
      </c>
      <c r="Q172" s="39">
        <f>IF($A172="","",SUM($F172:$H172))</f>
        <v/>
      </c>
      <c r="R172" s="39">
        <f>IF($A172="","",SUM($I172:$K172))</f>
        <v/>
      </c>
      <c r="S172" s="39">
        <f>IF($A172="","",($L172+$R172)-$Q172)</f>
        <v/>
      </c>
      <c r="T172" s="31">
        <f>IF(OR($A172="",$Q172=0),"",$S172/$Q172)</f>
        <v/>
      </c>
      <c r="U172" s="27">
        <f>IF($A172="","",IF($L172&gt;0,"Live","Exited"))</f>
        <v/>
      </c>
      <c r="V172" s="40">
        <f>IF($A172="","",IF($A172='Client Report'!$C$4,COUNTIFS($A$6:$A172,'Client Report'!$C$4),""))</f>
        <v/>
      </c>
    </row>
    <row r="173">
      <c r="A173" s="11" t="n"/>
      <c r="B173" s="11" t="n"/>
      <c r="C173" s="11" t="n"/>
      <c r="D173" s="11" t="n"/>
      <c r="E173" s="12" t="n"/>
      <c r="F173" s="34" t="n"/>
      <c r="G173" s="34" t="n"/>
      <c r="H173" s="34" t="n"/>
      <c r="I173" s="34" t="n"/>
      <c r="J173" s="34" t="n"/>
      <c r="K173" s="34" t="n"/>
      <c r="L173" s="34" t="n"/>
      <c r="M173" s="36" t="n"/>
      <c r="N173" s="36" t="n"/>
      <c r="O173" s="41" t="n"/>
      <c r="P173" s="27">
        <f>IF($B173="","",IFERROR(TRIM(LEFT($B173,FIND(" - ",$B173)-1)),"Others"))</f>
        <v/>
      </c>
      <c r="Q173" s="39">
        <f>IF($A173="","",SUM($F173:$H173))</f>
        <v/>
      </c>
      <c r="R173" s="39">
        <f>IF($A173="","",SUM($I173:$K173))</f>
        <v/>
      </c>
      <c r="S173" s="39">
        <f>IF($A173="","",($L173+$R173)-$Q173)</f>
        <v/>
      </c>
      <c r="T173" s="31">
        <f>IF(OR($A173="",$Q173=0),"",$S173/$Q173)</f>
        <v/>
      </c>
      <c r="U173" s="27">
        <f>IF($A173="","",IF($L173&gt;0,"Live","Exited"))</f>
        <v/>
      </c>
      <c r="V173" s="40">
        <f>IF($A173="","",IF($A173='Client Report'!$C$4,COUNTIFS($A$6:$A173,'Client Report'!$C$4),""))</f>
        <v/>
      </c>
    </row>
    <row r="174">
      <c r="A174" s="11" t="n"/>
      <c r="B174" s="11" t="n"/>
      <c r="C174" s="11" t="n"/>
      <c r="D174" s="11" t="n"/>
      <c r="E174" s="12" t="n"/>
      <c r="F174" s="34" t="n"/>
      <c r="G174" s="34" t="n"/>
      <c r="H174" s="34" t="n"/>
      <c r="I174" s="34" t="n"/>
      <c r="J174" s="34" t="n"/>
      <c r="K174" s="34" t="n"/>
      <c r="L174" s="34" t="n"/>
      <c r="M174" s="36" t="n"/>
      <c r="N174" s="36" t="n"/>
      <c r="O174" s="41" t="n"/>
      <c r="P174" s="27">
        <f>IF($B174="","",IFERROR(TRIM(LEFT($B174,FIND(" - ",$B174)-1)),"Others"))</f>
        <v/>
      </c>
      <c r="Q174" s="39">
        <f>IF($A174="","",SUM($F174:$H174))</f>
        <v/>
      </c>
      <c r="R174" s="39">
        <f>IF($A174="","",SUM($I174:$K174))</f>
        <v/>
      </c>
      <c r="S174" s="39">
        <f>IF($A174="","",($L174+$R174)-$Q174)</f>
        <v/>
      </c>
      <c r="T174" s="31">
        <f>IF(OR($A174="",$Q174=0),"",$S174/$Q174)</f>
        <v/>
      </c>
      <c r="U174" s="27">
        <f>IF($A174="","",IF($L174&gt;0,"Live","Exited"))</f>
        <v/>
      </c>
      <c r="V174" s="40">
        <f>IF($A174="","",IF($A174='Client Report'!$C$4,COUNTIFS($A$6:$A174,'Client Report'!$C$4),""))</f>
        <v/>
      </c>
    </row>
    <row r="175">
      <c r="A175" s="11" t="n"/>
      <c r="B175" s="11" t="n"/>
      <c r="C175" s="11" t="n"/>
      <c r="D175" s="11" t="n"/>
      <c r="E175" s="12" t="n"/>
      <c r="F175" s="34" t="n"/>
      <c r="G175" s="34" t="n"/>
      <c r="H175" s="34" t="n"/>
      <c r="I175" s="34" t="n"/>
      <c r="J175" s="34" t="n"/>
      <c r="K175" s="34" t="n"/>
      <c r="L175" s="34" t="n"/>
      <c r="M175" s="36" t="n"/>
      <c r="N175" s="36" t="n"/>
      <c r="O175" s="41" t="n"/>
      <c r="P175" s="27">
        <f>IF($B175="","",IFERROR(TRIM(LEFT($B175,FIND(" - ",$B175)-1)),"Others"))</f>
        <v/>
      </c>
      <c r="Q175" s="39">
        <f>IF($A175="","",SUM($F175:$H175))</f>
        <v/>
      </c>
      <c r="R175" s="39">
        <f>IF($A175="","",SUM($I175:$K175))</f>
        <v/>
      </c>
      <c r="S175" s="39">
        <f>IF($A175="","",($L175+$R175)-$Q175)</f>
        <v/>
      </c>
      <c r="T175" s="31">
        <f>IF(OR($A175="",$Q175=0),"",$S175/$Q175)</f>
        <v/>
      </c>
      <c r="U175" s="27">
        <f>IF($A175="","",IF($L175&gt;0,"Live","Exited"))</f>
        <v/>
      </c>
      <c r="V175" s="40">
        <f>IF($A175="","",IF($A175='Client Report'!$C$4,COUNTIFS($A$6:$A175,'Client Report'!$C$4),""))</f>
        <v/>
      </c>
    </row>
    <row r="176">
      <c r="A176" s="11" t="n"/>
      <c r="B176" s="11" t="n"/>
      <c r="C176" s="11" t="n"/>
      <c r="D176" s="11" t="n"/>
      <c r="E176" s="12" t="n"/>
      <c r="F176" s="34" t="n"/>
      <c r="G176" s="34" t="n"/>
      <c r="H176" s="34" t="n"/>
      <c r="I176" s="34" t="n"/>
      <c r="J176" s="34" t="n"/>
      <c r="K176" s="34" t="n"/>
      <c r="L176" s="34" t="n"/>
      <c r="M176" s="36" t="n"/>
      <c r="N176" s="36" t="n"/>
      <c r="O176" s="41" t="n"/>
      <c r="P176" s="27">
        <f>IF($B176="","",IFERROR(TRIM(LEFT($B176,FIND(" - ",$B176)-1)),"Others"))</f>
        <v/>
      </c>
      <c r="Q176" s="39">
        <f>IF($A176="","",SUM($F176:$H176))</f>
        <v/>
      </c>
      <c r="R176" s="39">
        <f>IF($A176="","",SUM($I176:$K176))</f>
        <v/>
      </c>
      <c r="S176" s="39">
        <f>IF($A176="","",($L176+$R176)-$Q176)</f>
        <v/>
      </c>
      <c r="T176" s="31">
        <f>IF(OR($A176="",$Q176=0),"",$S176/$Q176)</f>
        <v/>
      </c>
      <c r="U176" s="27">
        <f>IF($A176="","",IF($L176&gt;0,"Live","Exited"))</f>
        <v/>
      </c>
      <c r="V176" s="40">
        <f>IF($A176="","",IF($A176='Client Report'!$C$4,COUNTIFS($A$6:$A176,'Client Report'!$C$4),""))</f>
        <v/>
      </c>
    </row>
    <row r="177">
      <c r="A177" s="11" t="n"/>
      <c r="B177" s="11" t="n"/>
      <c r="C177" s="11" t="n"/>
      <c r="D177" s="11" t="n"/>
      <c r="E177" s="12" t="n"/>
      <c r="F177" s="34" t="n"/>
      <c r="G177" s="34" t="n"/>
      <c r="H177" s="34" t="n"/>
      <c r="I177" s="34" t="n"/>
      <c r="J177" s="34" t="n"/>
      <c r="K177" s="34" t="n"/>
      <c r="L177" s="34" t="n"/>
      <c r="M177" s="36" t="n"/>
      <c r="N177" s="36" t="n"/>
      <c r="O177" s="41" t="n"/>
      <c r="P177" s="27">
        <f>IF($B177="","",IFERROR(TRIM(LEFT($B177,FIND(" - ",$B177)-1)),"Others"))</f>
        <v/>
      </c>
      <c r="Q177" s="39">
        <f>IF($A177="","",SUM($F177:$H177))</f>
        <v/>
      </c>
      <c r="R177" s="39">
        <f>IF($A177="","",SUM($I177:$K177))</f>
        <v/>
      </c>
      <c r="S177" s="39">
        <f>IF($A177="","",($L177+$R177)-$Q177)</f>
        <v/>
      </c>
      <c r="T177" s="31">
        <f>IF(OR($A177="",$Q177=0),"",$S177/$Q177)</f>
        <v/>
      </c>
      <c r="U177" s="27">
        <f>IF($A177="","",IF($L177&gt;0,"Live","Exited"))</f>
        <v/>
      </c>
      <c r="V177" s="40">
        <f>IF($A177="","",IF($A177='Client Report'!$C$4,COUNTIFS($A$6:$A177,'Client Report'!$C$4),""))</f>
        <v/>
      </c>
    </row>
    <row r="178">
      <c r="A178" s="11" t="n"/>
      <c r="B178" s="11" t="n"/>
      <c r="C178" s="11" t="n"/>
      <c r="D178" s="11" t="n"/>
      <c r="E178" s="12" t="n"/>
      <c r="F178" s="34" t="n"/>
      <c r="G178" s="34" t="n"/>
      <c r="H178" s="34" t="n"/>
      <c r="I178" s="34" t="n"/>
      <c r="J178" s="34" t="n"/>
      <c r="K178" s="34" t="n"/>
      <c r="L178" s="34" t="n"/>
      <c r="M178" s="36" t="n"/>
      <c r="N178" s="36" t="n"/>
      <c r="O178" s="41" t="n"/>
      <c r="P178" s="27">
        <f>IF($B178="","",IFERROR(TRIM(LEFT($B178,FIND(" - ",$B178)-1)),"Others"))</f>
        <v/>
      </c>
      <c r="Q178" s="39">
        <f>IF($A178="","",SUM($F178:$H178))</f>
        <v/>
      </c>
      <c r="R178" s="39">
        <f>IF($A178="","",SUM($I178:$K178))</f>
        <v/>
      </c>
      <c r="S178" s="39">
        <f>IF($A178="","",($L178+$R178)-$Q178)</f>
        <v/>
      </c>
      <c r="T178" s="31">
        <f>IF(OR($A178="",$Q178=0),"",$S178/$Q178)</f>
        <v/>
      </c>
      <c r="U178" s="27">
        <f>IF($A178="","",IF($L178&gt;0,"Live","Exited"))</f>
        <v/>
      </c>
      <c r="V178" s="40">
        <f>IF($A178="","",IF($A178='Client Report'!$C$4,COUNTIFS($A$6:$A178,'Client Report'!$C$4),""))</f>
        <v/>
      </c>
    </row>
    <row r="179">
      <c r="A179" s="11" t="n"/>
      <c r="B179" s="11" t="n"/>
      <c r="C179" s="11" t="n"/>
      <c r="D179" s="11" t="n"/>
      <c r="E179" s="12" t="n"/>
      <c r="F179" s="34" t="n"/>
      <c r="G179" s="34" t="n"/>
      <c r="H179" s="34" t="n"/>
      <c r="I179" s="34" t="n"/>
      <c r="J179" s="34" t="n"/>
      <c r="K179" s="34" t="n"/>
      <c r="L179" s="34" t="n"/>
      <c r="M179" s="36" t="n"/>
      <c r="N179" s="36" t="n"/>
      <c r="O179" s="41" t="n"/>
      <c r="P179" s="27">
        <f>IF($B179="","",IFERROR(TRIM(LEFT($B179,FIND(" - ",$B179)-1)),"Others"))</f>
        <v/>
      </c>
      <c r="Q179" s="39">
        <f>IF($A179="","",SUM($F179:$H179))</f>
        <v/>
      </c>
      <c r="R179" s="39">
        <f>IF($A179="","",SUM($I179:$K179))</f>
        <v/>
      </c>
      <c r="S179" s="39">
        <f>IF($A179="","",($L179+$R179)-$Q179)</f>
        <v/>
      </c>
      <c r="T179" s="31">
        <f>IF(OR($A179="",$Q179=0),"",$S179/$Q179)</f>
        <v/>
      </c>
      <c r="U179" s="27">
        <f>IF($A179="","",IF($L179&gt;0,"Live","Exited"))</f>
        <v/>
      </c>
      <c r="V179" s="40">
        <f>IF($A179="","",IF($A179='Client Report'!$C$4,COUNTIFS($A$6:$A179,'Client Report'!$C$4),""))</f>
        <v/>
      </c>
    </row>
    <row r="180">
      <c r="A180" s="11" t="n"/>
      <c r="B180" s="11" t="n"/>
      <c r="C180" s="11" t="n"/>
      <c r="D180" s="11" t="n"/>
      <c r="E180" s="12" t="n"/>
      <c r="F180" s="34" t="n"/>
      <c r="G180" s="34" t="n"/>
      <c r="H180" s="34" t="n"/>
      <c r="I180" s="34" t="n"/>
      <c r="J180" s="34" t="n"/>
      <c r="K180" s="34" t="n"/>
      <c r="L180" s="34" t="n"/>
      <c r="M180" s="36" t="n"/>
      <c r="N180" s="36" t="n"/>
      <c r="O180" s="41" t="n"/>
      <c r="P180" s="27">
        <f>IF($B180="","",IFERROR(TRIM(LEFT($B180,FIND(" - ",$B180)-1)),"Others"))</f>
        <v/>
      </c>
      <c r="Q180" s="39">
        <f>IF($A180="","",SUM($F180:$H180))</f>
        <v/>
      </c>
      <c r="R180" s="39">
        <f>IF($A180="","",SUM($I180:$K180))</f>
        <v/>
      </c>
      <c r="S180" s="39">
        <f>IF($A180="","",($L180+$R180)-$Q180)</f>
        <v/>
      </c>
      <c r="T180" s="31">
        <f>IF(OR($A180="",$Q180=0),"",$S180/$Q180)</f>
        <v/>
      </c>
      <c r="U180" s="27">
        <f>IF($A180="","",IF($L180&gt;0,"Live","Exited"))</f>
        <v/>
      </c>
      <c r="V180" s="40">
        <f>IF($A180="","",IF($A180='Client Report'!$C$4,COUNTIFS($A$6:$A180,'Client Report'!$C$4),""))</f>
        <v/>
      </c>
    </row>
    <row r="181">
      <c r="A181" s="11" t="n"/>
      <c r="B181" s="11" t="n"/>
      <c r="C181" s="11" t="n"/>
      <c r="D181" s="11" t="n"/>
      <c r="E181" s="12" t="n"/>
      <c r="F181" s="34" t="n"/>
      <c r="G181" s="34" t="n"/>
      <c r="H181" s="34" t="n"/>
      <c r="I181" s="34" t="n"/>
      <c r="J181" s="34" t="n"/>
      <c r="K181" s="34" t="n"/>
      <c r="L181" s="34" t="n"/>
      <c r="M181" s="36" t="n"/>
      <c r="N181" s="36" t="n"/>
      <c r="O181" s="41" t="n"/>
      <c r="P181" s="27">
        <f>IF($B181="","",IFERROR(TRIM(LEFT($B181,FIND(" - ",$B181)-1)),"Others"))</f>
        <v/>
      </c>
      <c r="Q181" s="39">
        <f>IF($A181="","",SUM($F181:$H181))</f>
        <v/>
      </c>
      <c r="R181" s="39">
        <f>IF($A181="","",SUM($I181:$K181))</f>
        <v/>
      </c>
      <c r="S181" s="39">
        <f>IF($A181="","",($L181+$R181)-$Q181)</f>
        <v/>
      </c>
      <c r="T181" s="31">
        <f>IF(OR($A181="",$Q181=0),"",$S181/$Q181)</f>
        <v/>
      </c>
      <c r="U181" s="27">
        <f>IF($A181="","",IF($L181&gt;0,"Live","Exited"))</f>
        <v/>
      </c>
      <c r="V181" s="40">
        <f>IF($A181="","",IF($A181='Client Report'!$C$4,COUNTIFS($A$6:$A181,'Client Report'!$C$4),""))</f>
        <v/>
      </c>
    </row>
    <row r="182">
      <c r="A182" s="11" t="n"/>
      <c r="B182" s="11" t="n"/>
      <c r="C182" s="11" t="n"/>
      <c r="D182" s="11" t="n"/>
      <c r="E182" s="12" t="n"/>
      <c r="F182" s="34" t="n"/>
      <c r="G182" s="34" t="n"/>
      <c r="H182" s="34" t="n"/>
      <c r="I182" s="34" t="n"/>
      <c r="J182" s="34" t="n"/>
      <c r="K182" s="34" t="n"/>
      <c r="L182" s="34" t="n"/>
      <c r="M182" s="36" t="n"/>
      <c r="N182" s="36" t="n"/>
      <c r="O182" s="41" t="n"/>
      <c r="P182" s="27">
        <f>IF($B182="","",IFERROR(TRIM(LEFT($B182,FIND(" - ",$B182)-1)),"Others"))</f>
        <v/>
      </c>
      <c r="Q182" s="39">
        <f>IF($A182="","",SUM($F182:$H182))</f>
        <v/>
      </c>
      <c r="R182" s="39">
        <f>IF($A182="","",SUM($I182:$K182))</f>
        <v/>
      </c>
      <c r="S182" s="39">
        <f>IF($A182="","",($L182+$R182)-$Q182)</f>
        <v/>
      </c>
      <c r="T182" s="31">
        <f>IF(OR($A182="",$Q182=0),"",$S182/$Q182)</f>
        <v/>
      </c>
      <c r="U182" s="27">
        <f>IF($A182="","",IF($L182&gt;0,"Live","Exited"))</f>
        <v/>
      </c>
      <c r="V182" s="40">
        <f>IF($A182="","",IF($A182='Client Report'!$C$4,COUNTIFS($A$6:$A182,'Client Report'!$C$4),""))</f>
        <v/>
      </c>
    </row>
    <row r="183">
      <c r="A183" s="11" t="n"/>
      <c r="B183" s="11" t="n"/>
      <c r="C183" s="11" t="n"/>
      <c r="D183" s="11" t="n"/>
      <c r="E183" s="12" t="n"/>
      <c r="F183" s="34" t="n"/>
      <c r="G183" s="34" t="n"/>
      <c r="H183" s="34" t="n"/>
      <c r="I183" s="34" t="n"/>
      <c r="J183" s="34" t="n"/>
      <c r="K183" s="34" t="n"/>
      <c r="L183" s="34" t="n"/>
      <c r="M183" s="36" t="n"/>
      <c r="N183" s="36" t="n"/>
      <c r="O183" s="41" t="n"/>
      <c r="P183" s="27">
        <f>IF($B183="","",IFERROR(TRIM(LEFT($B183,FIND(" - ",$B183)-1)),"Others"))</f>
        <v/>
      </c>
      <c r="Q183" s="39">
        <f>IF($A183="","",SUM($F183:$H183))</f>
        <v/>
      </c>
      <c r="R183" s="39">
        <f>IF($A183="","",SUM($I183:$K183))</f>
        <v/>
      </c>
      <c r="S183" s="39">
        <f>IF($A183="","",($L183+$R183)-$Q183)</f>
        <v/>
      </c>
      <c r="T183" s="31">
        <f>IF(OR($A183="",$Q183=0),"",$S183/$Q183)</f>
        <v/>
      </c>
      <c r="U183" s="27">
        <f>IF($A183="","",IF($L183&gt;0,"Live","Exited"))</f>
        <v/>
      </c>
      <c r="V183" s="40">
        <f>IF($A183="","",IF($A183='Client Report'!$C$4,COUNTIFS($A$6:$A183,'Client Report'!$C$4),""))</f>
        <v/>
      </c>
    </row>
    <row r="184">
      <c r="A184" s="11" t="n"/>
      <c r="B184" s="11" t="n"/>
      <c r="C184" s="11" t="n"/>
      <c r="D184" s="11" t="n"/>
      <c r="E184" s="12" t="n"/>
      <c r="F184" s="34" t="n"/>
      <c r="G184" s="34" t="n"/>
      <c r="H184" s="34" t="n"/>
      <c r="I184" s="34" t="n"/>
      <c r="J184" s="34" t="n"/>
      <c r="K184" s="34" t="n"/>
      <c r="L184" s="34" t="n"/>
      <c r="M184" s="36" t="n"/>
      <c r="N184" s="36" t="n"/>
      <c r="O184" s="41" t="n"/>
      <c r="P184" s="27">
        <f>IF($B184="","",IFERROR(TRIM(LEFT($B184,FIND(" - ",$B184)-1)),"Others"))</f>
        <v/>
      </c>
      <c r="Q184" s="39">
        <f>IF($A184="","",SUM($F184:$H184))</f>
        <v/>
      </c>
      <c r="R184" s="39">
        <f>IF($A184="","",SUM($I184:$K184))</f>
        <v/>
      </c>
      <c r="S184" s="39">
        <f>IF($A184="","",($L184+$R184)-$Q184)</f>
        <v/>
      </c>
      <c r="T184" s="31">
        <f>IF(OR($A184="",$Q184=0),"",$S184/$Q184)</f>
        <v/>
      </c>
      <c r="U184" s="27">
        <f>IF($A184="","",IF($L184&gt;0,"Live","Exited"))</f>
        <v/>
      </c>
      <c r="V184" s="40">
        <f>IF($A184="","",IF($A184='Client Report'!$C$4,COUNTIFS($A$6:$A184,'Client Report'!$C$4),""))</f>
        <v/>
      </c>
    </row>
    <row r="185">
      <c r="A185" s="11" t="n"/>
      <c r="B185" s="11" t="n"/>
      <c r="C185" s="11" t="n"/>
      <c r="D185" s="11" t="n"/>
      <c r="E185" s="12" t="n"/>
      <c r="F185" s="34" t="n"/>
      <c r="G185" s="34" t="n"/>
      <c r="H185" s="34" t="n"/>
      <c r="I185" s="34" t="n"/>
      <c r="J185" s="34" t="n"/>
      <c r="K185" s="34" t="n"/>
      <c r="L185" s="34" t="n"/>
      <c r="M185" s="36" t="n"/>
      <c r="N185" s="36" t="n"/>
      <c r="O185" s="41" t="n"/>
      <c r="P185" s="27">
        <f>IF($B185="","",IFERROR(TRIM(LEFT($B185,FIND(" - ",$B185)-1)),"Others"))</f>
        <v/>
      </c>
      <c r="Q185" s="39">
        <f>IF($A185="","",SUM($F185:$H185))</f>
        <v/>
      </c>
      <c r="R185" s="39">
        <f>IF($A185="","",SUM($I185:$K185))</f>
        <v/>
      </c>
      <c r="S185" s="39">
        <f>IF($A185="","",($L185+$R185)-$Q185)</f>
        <v/>
      </c>
      <c r="T185" s="31">
        <f>IF(OR($A185="",$Q185=0),"",$S185/$Q185)</f>
        <v/>
      </c>
      <c r="U185" s="27">
        <f>IF($A185="","",IF($L185&gt;0,"Live","Exited"))</f>
        <v/>
      </c>
      <c r="V185" s="40">
        <f>IF($A185="","",IF($A185='Client Report'!$C$4,COUNTIFS($A$6:$A185,'Client Report'!$C$4),""))</f>
        <v/>
      </c>
    </row>
    <row r="186">
      <c r="A186" s="11" t="n"/>
      <c r="B186" s="11" t="n"/>
      <c r="C186" s="11" t="n"/>
      <c r="D186" s="11" t="n"/>
      <c r="E186" s="12" t="n"/>
      <c r="F186" s="34" t="n"/>
      <c r="G186" s="34" t="n"/>
      <c r="H186" s="34" t="n"/>
      <c r="I186" s="34" t="n"/>
      <c r="J186" s="34" t="n"/>
      <c r="K186" s="34" t="n"/>
      <c r="L186" s="34" t="n"/>
      <c r="M186" s="36" t="n"/>
      <c r="N186" s="36" t="n"/>
      <c r="O186" s="41" t="n"/>
      <c r="P186" s="27">
        <f>IF($B186="","",IFERROR(TRIM(LEFT($B186,FIND(" - ",$B186)-1)),"Others"))</f>
        <v/>
      </c>
      <c r="Q186" s="39">
        <f>IF($A186="","",SUM($F186:$H186))</f>
        <v/>
      </c>
      <c r="R186" s="39">
        <f>IF($A186="","",SUM($I186:$K186))</f>
        <v/>
      </c>
      <c r="S186" s="39">
        <f>IF($A186="","",($L186+$R186)-$Q186)</f>
        <v/>
      </c>
      <c r="T186" s="31">
        <f>IF(OR($A186="",$Q186=0),"",$S186/$Q186)</f>
        <v/>
      </c>
      <c r="U186" s="27">
        <f>IF($A186="","",IF($L186&gt;0,"Live","Exited"))</f>
        <v/>
      </c>
      <c r="V186" s="40">
        <f>IF($A186="","",IF($A186='Client Report'!$C$4,COUNTIFS($A$6:$A186,'Client Report'!$C$4),""))</f>
        <v/>
      </c>
    </row>
    <row r="187">
      <c r="A187" s="11" t="n"/>
      <c r="B187" s="11" t="n"/>
      <c r="C187" s="11" t="n"/>
      <c r="D187" s="11" t="n"/>
      <c r="E187" s="12" t="n"/>
      <c r="F187" s="34" t="n"/>
      <c r="G187" s="34" t="n"/>
      <c r="H187" s="34" t="n"/>
      <c r="I187" s="34" t="n"/>
      <c r="J187" s="34" t="n"/>
      <c r="K187" s="34" t="n"/>
      <c r="L187" s="34" t="n"/>
      <c r="M187" s="36" t="n"/>
      <c r="N187" s="36" t="n"/>
      <c r="O187" s="41" t="n"/>
      <c r="P187" s="27">
        <f>IF($B187="","",IFERROR(TRIM(LEFT($B187,FIND(" - ",$B187)-1)),"Others"))</f>
        <v/>
      </c>
      <c r="Q187" s="39">
        <f>IF($A187="","",SUM($F187:$H187))</f>
        <v/>
      </c>
      <c r="R187" s="39">
        <f>IF($A187="","",SUM($I187:$K187))</f>
        <v/>
      </c>
      <c r="S187" s="39">
        <f>IF($A187="","",($L187+$R187)-$Q187)</f>
        <v/>
      </c>
      <c r="T187" s="31">
        <f>IF(OR($A187="",$Q187=0),"",$S187/$Q187)</f>
        <v/>
      </c>
      <c r="U187" s="27">
        <f>IF($A187="","",IF($L187&gt;0,"Live","Exited"))</f>
        <v/>
      </c>
      <c r="V187" s="40">
        <f>IF($A187="","",IF($A187='Client Report'!$C$4,COUNTIFS($A$6:$A187,'Client Report'!$C$4),""))</f>
        <v/>
      </c>
    </row>
    <row r="188">
      <c r="A188" s="11" t="n"/>
      <c r="B188" s="11" t="n"/>
      <c r="C188" s="11" t="n"/>
      <c r="D188" s="11" t="n"/>
      <c r="E188" s="12" t="n"/>
      <c r="F188" s="34" t="n"/>
      <c r="G188" s="34" t="n"/>
      <c r="H188" s="34" t="n"/>
      <c r="I188" s="34" t="n"/>
      <c r="J188" s="34" t="n"/>
      <c r="K188" s="34" t="n"/>
      <c r="L188" s="34" t="n"/>
      <c r="M188" s="36" t="n"/>
      <c r="N188" s="36" t="n"/>
      <c r="O188" s="41" t="n"/>
      <c r="P188" s="27">
        <f>IF($B188="","",IFERROR(TRIM(LEFT($B188,FIND(" - ",$B188)-1)),"Others"))</f>
        <v/>
      </c>
      <c r="Q188" s="39">
        <f>IF($A188="","",SUM($F188:$H188))</f>
        <v/>
      </c>
      <c r="R188" s="39">
        <f>IF($A188="","",SUM($I188:$K188))</f>
        <v/>
      </c>
      <c r="S188" s="39">
        <f>IF($A188="","",($L188+$R188)-$Q188)</f>
        <v/>
      </c>
      <c r="T188" s="31">
        <f>IF(OR($A188="",$Q188=0),"",$S188/$Q188)</f>
        <v/>
      </c>
      <c r="U188" s="27">
        <f>IF($A188="","",IF($L188&gt;0,"Live","Exited"))</f>
        <v/>
      </c>
      <c r="V188" s="40">
        <f>IF($A188="","",IF($A188='Client Report'!$C$4,COUNTIFS($A$6:$A188,'Client Report'!$C$4),""))</f>
        <v/>
      </c>
    </row>
    <row r="189">
      <c r="A189" s="11" t="n"/>
      <c r="B189" s="11" t="n"/>
      <c r="C189" s="11" t="n"/>
      <c r="D189" s="11" t="n"/>
      <c r="E189" s="12" t="n"/>
      <c r="F189" s="34" t="n"/>
      <c r="G189" s="34" t="n"/>
      <c r="H189" s="34" t="n"/>
      <c r="I189" s="34" t="n"/>
      <c r="J189" s="34" t="n"/>
      <c r="K189" s="34" t="n"/>
      <c r="L189" s="34" t="n"/>
      <c r="M189" s="36" t="n"/>
      <c r="N189" s="36" t="n"/>
      <c r="O189" s="41" t="n"/>
      <c r="P189" s="27">
        <f>IF($B189="","",IFERROR(TRIM(LEFT($B189,FIND(" - ",$B189)-1)),"Others"))</f>
        <v/>
      </c>
      <c r="Q189" s="39">
        <f>IF($A189="","",SUM($F189:$H189))</f>
        <v/>
      </c>
      <c r="R189" s="39">
        <f>IF($A189="","",SUM($I189:$K189))</f>
        <v/>
      </c>
      <c r="S189" s="39">
        <f>IF($A189="","",($L189+$R189)-$Q189)</f>
        <v/>
      </c>
      <c r="T189" s="31">
        <f>IF(OR($A189="",$Q189=0),"",$S189/$Q189)</f>
        <v/>
      </c>
      <c r="U189" s="27">
        <f>IF($A189="","",IF($L189&gt;0,"Live","Exited"))</f>
        <v/>
      </c>
      <c r="V189" s="40">
        <f>IF($A189="","",IF($A189='Client Report'!$C$4,COUNTIFS($A$6:$A189,'Client Report'!$C$4),""))</f>
        <v/>
      </c>
    </row>
    <row r="190">
      <c r="A190" s="11" t="n"/>
      <c r="B190" s="11" t="n"/>
      <c r="C190" s="11" t="n"/>
      <c r="D190" s="11" t="n"/>
      <c r="E190" s="12" t="n"/>
      <c r="F190" s="34" t="n"/>
      <c r="G190" s="34" t="n"/>
      <c r="H190" s="34" t="n"/>
      <c r="I190" s="34" t="n"/>
      <c r="J190" s="34" t="n"/>
      <c r="K190" s="34" t="n"/>
      <c r="L190" s="34" t="n"/>
      <c r="M190" s="36" t="n"/>
      <c r="N190" s="36" t="n"/>
      <c r="O190" s="41" t="n"/>
      <c r="P190" s="27">
        <f>IF($B190="","",IFERROR(TRIM(LEFT($B190,FIND(" - ",$B190)-1)),"Others"))</f>
        <v/>
      </c>
      <c r="Q190" s="39">
        <f>IF($A190="","",SUM($F190:$H190))</f>
        <v/>
      </c>
      <c r="R190" s="39">
        <f>IF($A190="","",SUM($I190:$K190))</f>
        <v/>
      </c>
      <c r="S190" s="39">
        <f>IF($A190="","",($L190+$R190)-$Q190)</f>
        <v/>
      </c>
      <c r="T190" s="31">
        <f>IF(OR($A190="",$Q190=0),"",$S190/$Q190)</f>
        <v/>
      </c>
      <c r="U190" s="27">
        <f>IF($A190="","",IF($L190&gt;0,"Live","Exited"))</f>
        <v/>
      </c>
      <c r="V190" s="40">
        <f>IF($A190="","",IF($A190='Client Report'!$C$4,COUNTIFS($A$6:$A190,'Client Report'!$C$4),""))</f>
        <v/>
      </c>
    </row>
    <row r="191">
      <c r="A191" s="11" t="n"/>
      <c r="B191" s="11" t="n"/>
      <c r="C191" s="11" t="n"/>
      <c r="D191" s="11" t="n"/>
      <c r="E191" s="12" t="n"/>
      <c r="F191" s="34" t="n"/>
      <c r="G191" s="34" t="n"/>
      <c r="H191" s="34" t="n"/>
      <c r="I191" s="34" t="n"/>
      <c r="J191" s="34" t="n"/>
      <c r="K191" s="34" t="n"/>
      <c r="L191" s="34" t="n"/>
      <c r="M191" s="36" t="n"/>
      <c r="N191" s="36" t="n"/>
      <c r="O191" s="41" t="n"/>
      <c r="P191" s="27">
        <f>IF($B191="","",IFERROR(TRIM(LEFT($B191,FIND(" - ",$B191)-1)),"Others"))</f>
        <v/>
      </c>
      <c r="Q191" s="39">
        <f>IF($A191="","",SUM($F191:$H191))</f>
        <v/>
      </c>
      <c r="R191" s="39">
        <f>IF($A191="","",SUM($I191:$K191))</f>
        <v/>
      </c>
      <c r="S191" s="39">
        <f>IF($A191="","",($L191+$R191)-$Q191)</f>
        <v/>
      </c>
      <c r="T191" s="31">
        <f>IF(OR($A191="",$Q191=0),"",$S191/$Q191)</f>
        <v/>
      </c>
      <c r="U191" s="27">
        <f>IF($A191="","",IF($L191&gt;0,"Live","Exited"))</f>
        <v/>
      </c>
      <c r="V191" s="40">
        <f>IF($A191="","",IF($A191='Client Report'!$C$4,COUNTIFS($A$6:$A191,'Client Report'!$C$4),""))</f>
        <v/>
      </c>
    </row>
    <row r="192">
      <c r="A192" s="11" t="n"/>
      <c r="B192" s="11" t="n"/>
      <c r="C192" s="11" t="n"/>
      <c r="D192" s="11" t="n"/>
      <c r="E192" s="12" t="n"/>
      <c r="F192" s="34" t="n"/>
      <c r="G192" s="34" t="n"/>
      <c r="H192" s="34" t="n"/>
      <c r="I192" s="34" t="n"/>
      <c r="J192" s="34" t="n"/>
      <c r="K192" s="34" t="n"/>
      <c r="L192" s="34" t="n"/>
      <c r="M192" s="36" t="n"/>
      <c r="N192" s="36" t="n"/>
      <c r="O192" s="41" t="n"/>
      <c r="P192" s="27">
        <f>IF($B192="","",IFERROR(TRIM(LEFT($B192,FIND(" - ",$B192)-1)),"Others"))</f>
        <v/>
      </c>
      <c r="Q192" s="39">
        <f>IF($A192="","",SUM($F192:$H192))</f>
        <v/>
      </c>
      <c r="R192" s="39">
        <f>IF($A192="","",SUM($I192:$K192))</f>
        <v/>
      </c>
      <c r="S192" s="39">
        <f>IF($A192="","",($L192+$R192)-$Q192)</f>
        <v/>
      </c>
      <c r="T192" s="31">
        <f>IF(OR($A192="",$Q192=0),"",$S192/$Q192)</f>
        <v/>
      </c>
      <c r="U192" s="27">
        <f>IF($A192="","",IF($L192&gt;0,"Live","Exited"))</f>
        <v/>
      </c>
      <c r="V192" s="40">
        <f>IF($A192="","",IF($A192='Client Report'!$C$4,COUNTIFS($A$6:$A192,'Client Report'!$C$4),""))</f>
        <v/>
      </c>
    </row>
    <row r="193">
      <c r="A193" s="11" t="n"/>
      <c r="B193" s="11" t="n"/>
      <c r="C193" s="11" t="n"/>
      <c r="D193" s="11" t="n"/>
      <c r="E193" s="12" t="n"/>
      <c r="F193" s="34" t="n"/>
      <c r="G193" s="34" t="n"/>
      <c r="H193" s="34" t="n"/>
      <c r="I193" s="34" t="n"/>
      <c r="J193" s="34" t="n"/>
      <c r="K193" s="34" t="n"/>
      <c r="L193" s="34" t="n"/>
      <c r="M193" s="36" t="n"/>
      <c r="N193" s="36" t="n"/>
      <c r="O193" s="41" t="n"/>
      <c r="P193" s="27">
        <f>IF($B193="","",IFERROR(TRIM(LEFT($B193,FIND(" - ",$B193)-1)),"Others"))</f>
        <v/>
      </c>
      <c r="Q193" s="39">
        <f>IF($A193="","",SUM($F193:$H193))</f>
        <v/>
      </c>
      <c r="R193" s="39">
        <f>IF($A193="","",SUM($I193:$K193))</f>
        <v/>
      </c>
      <c r="S193" s="39">
        <f>IF($A193="","",($L193+$R193)-$Q193)</f>
        <v/>
      </c>
      <c r="T193" s="31">
        <f>IF(OR($A193="",$Q193=0),"",$S193/$Q193)</f>
        <v/>
      </c>
      <c r="U193" s="27">
        <f>IF($A193="","",IF($L193&gt;0,"Live","Exited"))</f>
        <v/>
      </c>
      <c r="V193" s="40">
        <f>IF($A193="","",IF($A193='Client Report'!$C$4,COUNTIFS($A$6:$A193,'Client Report'!$C$4),""))</f>
        <v/>
      </c>
    </row>
    <row r="194">
      <c r="A194" s="11" t="n"/>
      <c r="B194" s="11" t="n"/>
      <c r="C194" s="11" t="n"/>
      <c r="D194" s="11" t="n"/>
      <c r="E194" s="12" t="n"/>
      <c r="F194" s="34" t="n"/>
      <c r="G194" s="34" t="n"/>
      <c r="H194" s="34" t="n"/>
      <c r="I194" s="34" t="n"/>
      <c r="J194" s="34" t="n"/>
      <c r="K194" s="34" t="n"/>
      <c r="L194" s="34" t="n"/>
      <c r="M194" s="36" t="n"/>
      <c r="N194" s="36" t="n"/>
      <c r="O194" s="41" t="n"/>
      <c r="P194" s="27">
        <f>IF($B194="","",IFERROR(TRIM(LEFT($B194,FIND(" - ",$B194)-1)),"Others"))</f>
        <v/>
      </c>
      <c r="Q194" s="39">
        <f>IF($A194="","",SUM($F194:$H194))</f>
        <v/>
      </c>
      <c r="R194" s="39">
        <f>IF($A194="","",SUM($I194:$K194))</f>
        <v/>
      </c>
      <c r="S194" s="39">
        <f>IF($A194="","",($L194+$R194)-$Q194)</f>
        <v/>
      </c>
      <c r="T194" s="31">
        <f>IF(OR($A194="",$Q194=0),"",$S194/$Q194)</f>
        <v/>
      </c>
      <c r="U194" s="27">
        <f>IF($A194="","",IF($L194&gt;0,"Live","Exited"))</f>
        <v/>
      </c>
      <c r="V194" s="40">
        <f>IF($A194="","",IF($A194='Client Report'!$C$4,COUNTIFS($A$6:$A194,'Client Report'!$C$4),""))</f>
        <v/>
      </c>
    </row>
    <row r="195">
      <c r="A195" s="11" t="n"/>
      <c r="B195" s="11" t="n"/>
      <c r="C195" s="11" t="n"/>
      <c r="D195" s="11" t="n"/>
      <c r="E195" s="12" t="n"/>
      <c r="F195" s="34" t="n"/>
      <c r="G195" s="34" t="n"/>
      <c r="H195" s="34" t="n"/>
      <c r="I195" s="34" t="n"/>
      <c r="J195" s="34" t="n"/>
      <c r="K195" s="34" t="n"/>
      <c r="L195" s="34" t="n"/>
      <c r="M195" s="36" t="n"/>
      <c r="N195" s="36" t="n"/>
      <c r="O195" s="41" t="n"/>
      <c r="P195" s="27">
        <f>IF($B195="","",IFERROR(TRIM(LEFT($B195,FIND(" - ",$B195)-1)),"Others"))</f>
        <v/>
      </c>
      <c r="Q195" s="39">
        <f>IF($A195="","",SUM($F195:$H195))</f>
        <v/>
      </c>
      <c r="R195" s="39">
        <f>IF($A195="","",SUM($I195:$K195))</f>
        <v/>
      </c>
      <c r="S195" s="39">
        <f>IF($A195="","",($L195+$R195)-$Q195)</f>
        <v/>
      </c>
      <c r="T195" s="31">
        <f>IF(OR($A195="",$Q195=0),"",$S195/$Q195)</f>
        <v/>
      </c>
      <c r="U195" s="27">
        <f>IF($A195="","",IF($L195&gt;0,"Live","Exited"))</f>
        <v/>
      </c>
      <c r="V195" s="40">
        <f>IF($A195="","",IF($A195='Client Report'!$C$4,COUNTIFS($A$6:$A195,'Client Report'!$C$4),""))</f>
        <v/>
      </c>
    </row>
    <row r="196">
      <c r="A196" s="11" t="n"/>
      <c r="B196" s="11" t="n"/>
      <c r="C196" s="11" t="n"/>
      <c r="D196" s="11" t="n"/>
      <c r="E196" s="12" t="n"/>
      <c r="F196" s="34" t="n"/>
      <c r="G196" s="34" t="n"/>
      <c r="H196" s="34" t="n"/>
      <c r="I196" s="34" t="n"/>
      <c r="J196" s="34" t="n"/>
      <c r="K196" s="34" t="n"/>
      <c r="L196" s="34" t="n"/>
      <c r="M196" s="36" t="n"/>
      <c r="N196" s="36" t="n"/>
      <c r="O196" s="41" t="n"/>
      <c r="P196" s="27">
        <f>IF($B196="","",IFERROR(TRIM(LEFT($B196,FIND(" - ",$B196)-1)),"Others"))</f>
        <v/>
      </c>
      <c r="Q196" s="39">
        <f>IF($A196="","",SUM($F196:$H196))</f>
        <v/>
      </c>
      <c r="R196" s="39">
        <f>IF($A196="","",SUM($I196:$K196))</f>
        <v/>
      </c>
      <c r="S196" s="39">
        <f>IF($A196="","",($L196+$R196)-$Q196)</f>
        <v/>
      </c>
      <c r="T196" s="31">
        <f>IF(OR($A196="",$Q196=0),"",$S196/$Q196)</f>
        <v/>
      </c>
      <c r="U196" s="27">
        <f>IF($A196="","",IF($L196&gt;0,"Live","Exited"))</f>
        <v/>
      </c>
      <c r="V196" s="40">
        <f>IF($A196="","",IF($A196='Client Report'!$C$4,COUNTIFS($A$6:$A196,'Client Report'!$C$4),""))</f>
        <v/>
      </c>
    </row>
    <row r="197">
      <c r="A197" s="11" t="n"/>
      <c r="B197" s="11" t="n"/>
      <c r="C197" s="11" t="n"/>
      <c r="D197" s="11" t="n"/>
      <c r="E197" s="12" t="n"/>
      <c r="F197" s="34" t="n"/>
      <c r="G197" s="34" t="n"/>
      <c r="H197" s="34" t="n"/>
      <c r="I197" s="34" t="n"/>
      <c r="J197" s="34" t="n"/>
      <c r="K197" s="34" t="n"/>
      <c r="L197" s="34" t="n"/>
      <c r="M197" s="36" t="n"/>
      <c r="N197" s="36" t="n"/>
      <c r="O197" s="41" t="n"/>
      <c r="P197" s="27">
        <f>IF($B197="","",IFERROR(TRIM(LEFT($B197,FIND(" - ",$B197)-1)),"Others"))</f>
        <v/>
      </c>
      <c r="Q197" s="39">
        <f>IF($A197="","",SUM($F197:$H197))</f>
        <v/>
      </c>
      <c r="R197" s="39">
        <f>IF($A197="","",SUM($I197:$K197))</f>
        <v/>
      </c>
      <c r="S197" s="39">
        <f>IF($A197="","",($L197+$R197)-$Q197)</f>
        <v/>
      </c>
      <c r="T197" s="31">
        <f>IF(OR($A197="",$Q197=0),"",$S197/$Q197)</f>
        <v/>
      </c>
      <c r="U197" s="27">
        <f>IF($A197="","",IF($L197&gt;0,"Live","Exited"))</f>
        <v/>
      </c>
      <c r="V197" s="40">
        <f>IF($A197="","",IF($A197='Client Report'!$C$4,COUNTIFS($A$6:$A197,'Client Report'!$C$4),""))</f>
        <v/>
      </c>
    </row>
    <row r="198">
      <c r="A198" s="11" t="n"/>
      <c r="B198" s="11" t="n"/>
      <c r="C198" s="11" t="n"/>
      <c r="D198" s="11" t="n"/>
      <c r="E198" s="12" t="n"/>
      <c r="F198" s="34" t="n"/>
      <c r="G198" s="34" t="n"/>
      <c r="H198" s="34" t="n"/>
      <c r="I198" s="34" t="n"/>
      <c r="J198" s="34" t="n"/>
      <c r="K198" s="34" t="n"/>
      <c r="L198" s="34" t="n"/>
      <c r="M198" s="36" t="n"/>
      <c r="N198" s="36" t="n"/>
      <c r="O198" s="41" t="n"/>
      <c r="P198" s="27">
        <f>IF($B198="","",IFERROR(TRIM(LEFT($B198,FIND(" - ",$B198)-1)),"Others"))</f>
        <v/>
      </c>
      <c r="Q198" s="39">
        <f>IF($A198="","",SUM($F198:$H198))</f>
        <v/>
      </c>
      <c r="R198" s="39">
        <f>IF($A198="","",SUM($I198:$K198))</f>
        <v/>
      </c>
      <c r="S198" s="39">
        <f>IF($A198="","",($L198+$R198)-$Q198)</f>
        <v/>
      </c>
      <c r="T198" s="31">
        <f>IF(OR($A198="",$Q198=0),"",$S198/$Q198)</f>
        <v/>
      </c>
      <c r="U198" s="27">
        <f>IF($A198="","",IF($L198&gt;0,"Live","Exited"))</f>
        <v/>
      </c>
      <c r="V198" s="40">
        <f>IF($A198="","",IF($A198='Client Report'!$C$4,COUNTIFS($A$6:$A198,'Client Report'!$C$4),""))</f>
        <v/>
      </c>
    </row>
    <row r="199">
      <c r="A199" s="11" t="n"/>
      <c r="B199" s="11" t="n"/>
      <c r="C199" s="11" t="n"/>
      <c r="D199" s="11" t="n"/>
      <c r="E199" s="12" t="n"/>
      <c r="F199" s="34" t="n"/>
      <c r="G199" s="34" t="n"/>
      <c r="H199" s="34" t="n"/>
      <c r="I199" s="34" t="n"/>
      <c r="J199" s="34" t="n"/>
      <c r="K199" s="34" t="n"/>
      <c r="L199" s="34" t="n"/>
      <c r="M199" s="36" t="n"/>
      <c r="N199" s="36" t="n"/>
      <c r="O199" s="41" t="n"/>
      <c r="P199" s="27">
        <f>IF($B199="","",IFERROR(TRIM(LEFT($B199,FIND(" - ",$B199)-1)),"Others"))</f>
        <v/>
      </c>
      <c r="Q199" s="39">
        <f>IF($A199="","",SUM($F199:$H199))</f>
        <v/>
      </c>
      <c r="R199" s="39">
        <f>IF($A199="","",SUM($I199:$K199))</f>
        <v/>
      </c>
      <c r="S199" s="39">
        <f>IF($A199="","",($L199+$R199)-$Q199)</f>
        <v/>
      </c>
      <c r="T199" s="31">
        <f>IF(OR($A199="",$Q199=0),"",$S199/$Q199)</f>
        <v/>
      </c>
      <c r="U199" s="27">
        <f>IF($A199="","",IF($L199&gt;0,"Live","Exited"))</f>
        <v/>
      </c>
      <c r="V199" s="40">
        <f>IF($A199="","",IF($A199='Client Report'!$C$4,COUNTIFS($A$6:$A199,'Client Report'!$C$4),""))</f>
        <v/>
      </c>
    </row>
    <row r="200">
      <c r="A200" s="11" t="n"/>
      <c r="B200" s="11" t="n"/>
      <c r="C200" s="11" t="n"/>
      <c r="D200" s="11" t="n"/>
      <c r="E200" s="12" t="n"/>
      <c r="F200" s="34" t="n"/>
      <c r="G200" s="34" t="n"/>
      <c r="H200" s="34" t="n"/>
      <c r="I200" s="34" t="n"/>
      <c r="J200" s="34" t="n"/>
      <c r="K200" s="34" t="n"/>
      <c r="L200" s="34" t="n"/>
      <c r="M200" s="36" t="n"/>
      <c r="N200" s="36" t="n"/>
      <c r="O200" s="41" t="n"/>
      <c r="P200" s="27">
        <f>IF($B200="","",IFERROR(TRIM(LEFT($B200,FIND(" - ",$B200)-1)),"Others"))</f>
        <v/>
      </c>
      <c r="Q200" s="39">
        <f>IF($A200="","",SUM($F200:$H200))</f>
        <v/>
      </c>
      <c r="R200" s="39">
        <f>IF($A200="","",SUM($I200:$K200))</f>
        <v/>
      </c>
      <c r="S200" s="39">
        <f>IF($A200="","",($L200+$R200)-$Q200)</f>
        <v/>
      </c>
      <c r="T200" s="31">
        <f>IF(OR($A200="",$Q200=0),"",$S200/$Q200)</f>
        <v/>
      </c>
      <c r="U200" s="27">
        <f>IF($A200="","",IF($L200&gt;0,"Live","Exited"))</f>
        <v/>
      </c>
      <c r="V200" s="40">
        <f>IF($A200="","",IF($A200='Client Report'!$C$4,COUNTIFS($A$6:$A200,'Client Report'!$C$4),""))</f>
        <v/>
      </c>
    </row>
    <row r="201">
      <c r="A201" s="11" t="n"/>
      <c r="B201" s="11" t="n"/>
      <c r="C201" s="11" t="n"/>
      <c r="D201" s="11" t="n"/>
      <c r="E201" s="12" t="n"/>
      <c r="F201" s="34" t="n"/>
      <c r="G201" s="34" t="n"/>
      <c r="H201" s="34" t="n"/>
      <c r="I201" s="34" t="n"/>
      <c r="J201" s="34" t="n"/>
      <c r="K201" s="34" t="n"/>
      <c r="L201" s="34" t="n"/>
      <c r="M201" s="36" t="n"/>
      <c r="N201" s="36" t="n"/>
      <c r="O201" s="41" t="n"/>
      <c r="P201" s="27">
        <f>IF($B201="","",IFERROR(TRIM(LEFT($B201,FIND(" - ",$B201)-1)),"Others"))</f>
        <v/>
      </c>
      <c r="Q201" s="39">
        <f>IF($A201="","",SUM($F201:$H201))</f>
        <v/>
      </c>
      <c r="R201" s="39">
        <f>IF($A201="","",SUM($I201:$K201))</f>
        <v/>
      </c>
      <c r="S201" s="39">
        <f>IF($A201="","",($L201+$R201)-$Q201)</f>
        <v/>
      </c>
      <c r="T201" s="31">
        <f>IF(OR($A201="",$Q201=0),"",$S201/$Q201)</f>
        <v/>
      </c>
      <c r="U201" s="27">
        <f>IF($A201="","",IF($L201&gt;0,"Live","Exited"))</f>
        <v/>
      </c>
      <c r="V201" s="40">
        <f>IF($A201="","",IF($A201='Client Report'!$C$4,COUNTIFS($A$6:$A201,'Client Report'!$C$4),""))</f>
        <v/>
      </c>
    </row>
    <row r="202">
      <c r="A202" s="11" t="n"/>
      <c r="B202" s="11" t="n"/>
      <c r="C202" s="11" t="n"/>
      <c r="D202" s="11" t="n"/>
      <c r="E202" s="12" t="n"/>
      <c r="F202" s="34" t="n"/>
      <c r="G202" s="34" t="n"/>
      <c r="H202" s="34" t="n"/>
      <c r="I202" s="34" t="n"/>
      <c r="J202" s="34" t="n"/>
      <c r="K202" s="34" t="n"/>
      <c r="L202" s="34" t="n"/>
      <c r="M202" s="36" t="n"/>
      <c r="N202" s="36" t="n"/>
      <c r="O202" s="41" t="n"/>
      <c r="P202" s="27">
        <f>IF($B202="","",IFERROR(TRIM(LEFT($B202,FIND(" - ",$B202)-1)),"Others"))</f>
        <v/>
      </c>
      <c r="Q202" s="39">
        <f>IF($A202="","",SUM($F202:$H202))</f>
        <v/>
      </c>
      <c r="R202" s="39">
        <f>IF($A202="","",SUM($I202:$K202))</f>
        <v/>
      </c>
      <c r="S202" s="39">
        <f>IF($A202="","",($L202+$R202)-$Q202)</f>
        <v/>
      </c>
      <c r="T202" s="31">
        <f>IF(OR($A202="",$Q202=0),"",$S202/$Q202)</f>
        <v/>
      </c>
      <c r="U202" s="27">
        <f>IF($A202="","",IF($L202&gt;0,"Live","Exited"))</f>
        <v/>
      </c>
      <c r="V202" s="40">
        <f>IF($A202="","",IF($A202='Client Report'!$C$4,COUNTIFS($A$6:$A202,'Client Report'!$C$4),""))</f>
        <v/>
      </c>
    </row>
    <row r="203">
      <c r="A203" s="11" t="n"/>
      <c r="B203" s="11" t="n"/>
      <c r="C203" s="11" t="n"/>
      <c r="D203" s="11" t="n"/>
      <c r="E203" s="12" t="n"/>
      <c r="F203" s="34" t="n"/>
      <c r="G203" s="34" t="n"/>
      <c r="H203" s="34" t="n"/>
      <c r="I203" s="34" t="n"/>
      <c r="J203" s="34" t="n"/>
      <c r="K203" s="34" t="n"/>
      <c r="L203" s="34" t="n"/>
      <c r="M203" s="36" t="n"/>
      <c r="N203" s="36" t="n"/>
      <c r="O203" s="41" t="n"/>
      <c r="P203" s="27">
        <f>IF($B203="","",IFERROR(TRIM(LEFT($B203,FIND(" - ",$B203)-1)),"Others"))</f>
        <v/>
      </c>
      <c r="Q203" s="39">
        <f>IF($A203="","",SUM($F203:$H203))</f>
        <v/>
      </c>
      <c r="R203" s="39">
        <f>IF($A203="","",SUM($I203:$K203))</f>
        <v/>
      </c>
      <c r="S203" s="39">
        <f>IF($A203="","",($L203+$R203)-$Q203)</f>
        <v/>
      </c>
      <c r="T203" s="31">
        <f>IF(OR($A203="",$Q203=0),"",$S203/$Q203)</f>
        <v/>
      </c>
      <c r="U203" s="27">
        <f>IF($A203="","",IF($L203&gt;0,"Live","Exited"))</f>
        <v/>
      </c>
      <c r="V203" s="40">
        <f>IF($A203="","",IF($A203='Client Report'!$C$4,COUNTIFS($A$6:$A203,'Client Report'!$C$4),""))</f>
        <v/>
      </c>
    </row>
    <row r="204">
      <c r="A204" s="11" t="n"/>
      <c r="B204" s="11" t="n"/>
      <c r="C204" s="11" t="n"/>
      <c r="D204" s="11" t="n"/>
      <c r="E204" s="12" t="n"/>
      <c r="F204" s="34" t="n"/>
      <c r="G204" s="34" t="n"/>
      <c r="H204" s="34" t="n"/>
      <c r="I204" s="34" t="n"/>
      <c r="J204" s="34" t="n"/>
      <c r="K204" s="34" t="n"/>
      <c r="L204" s="34" t="n"/>
      <c r="M204" s="36" t="n"/>
      <c r="N204" s="36" t="n"/>
      <c r="O204" s="41" t="n"/>
      <c r="P204" s="27">
        <f>IF($B204="","",IFERROR(TRIM(LEFT($B204,FIND(" - ",$B204)-1)),"Others"))</f>
        <v/>
      </c>
      <c r="Q204" s="39">
        <f>IF($A204="","",SUM($F204:$H204))</f>
        <v/>
      </c>
      <c r="R204" s="39">
        <f>IF($A204="","",SUM($I204:$K204))</f>
        <v/>
      </c>
      <c r="S204" s="39">
        <f>IF($A204="","",($L204+$R204)-$Q204)</f>
        <v/>
      </c>
      <c r="T204" s="31">
        <f>IF(OR($A204="",$Q204=0),"",$S204/$Q204)</f>
        <v/>
      </c>
      <c r="U204" s="27">
        <f>IF($A204="","",IF($L204&gt;0,"Live","Exited"))</f>
        <v/>
      </c>
      <c r="V204" s="40">
        <f>IF($A204="","",IF($A204='Client Report'!$C$4,COUNTIFS($A$6:$A204,'Client Report'!$C$4),""))</f>
        <v/>
      </c>
    </row>
    <row r="205">
      <c r="A205" s="11" t="n"/>
      <c r="B205" s="11" t="n"/>
      <c r="C205" s="11" t="n"/>
      <c r="D205" s="11" t="n"/>
      <c r="E205" s="12" t="n"/>
      <c r="F205" s="34" t="n"/>
      <c r="G205" s="34" t="n"/>
      <c r="H205" s="34" t="n"/>
      <c r="I205" s="34" t="n"/>
      <c r="J205" s="34" t="n"/>
      <c r="K205" s="34" t="n"/>
      <c r="L205" s="34" t="n"/>
      <c r="M205" s="36" t="n"/>
      <c r="N205" s="36" t="n"/>
      <c r="O205" s="41" t="n"/>
      <c r="P205" s="27">
        <f>IF($B205="","",IFERROR(TRIM(LEFT($B205,FIND(" - ",$B205)-1)),"Others"))</f>
        <v/>
      </c>
      <c r="Q205" s="39">
        <f>IF($A205="","",SUM($F205:$H205))</f>
        <v/>
      </c>
      <c r="R205" s="39">
        <f>IF($A205="","",SUM($I205:$K205))</f>
        <v/>
      </c>
      <c r="S205" s="39">
        <f>IF($A205="","",($L205+$R205)-$Q205)</f>
        <v/>
      </c>
      <c r="T205" s="31">
        <f>IF(OR($A205="",$Q205=0),"",$S205/$Q205)</f>
        <v/>
      </c>
      <c r="U205" s="27">
        <f>IF($A205="","",IF($L205&gt;0,"Live","Exited"))</f>
        <v/>
      </c>
      <c r="V205" s="40">
        <f>IF($A205="","",IF($A205='Client Report'!$C$4,COUNTIFS($A$6:$A205,'Client Report'!$C$4),""))</f>
        <v/>
      </c>
    </row>
    <row r="206">
      <c r="A206" s="11" t="n"/>
      <c r="B206" s="11" t="n"/>
      <c r="C206" s="11" t="n"/>
      <c r="D206" s="11" t="n"/>
      <c r="E206" s="12" t="n"/>
      <c r="F206" s="34" t="n"/>
      <c r="G206" s="34" t="n"/>
      <c r="H206" s="34" t="n"/>
      <c r="I206" s="34" t="n"/>
      <c r="J206" s="34" t="n"/>
      <c r="K206" s="34" t="n"/>
      <c r="L206" s="34" t="n"/>
      <c r="M206" s="36" t="n"/>
      <c r="N206" s="36" t="n"/>
      <c r="O206" s="41" t="n"/>
      <c r="P206" s="27">
        <f>IF($B206="","",IFERROR(TRIM(LEFT($B206,FIND(" - ",$B206)-1)),"Others"))</f>
        <v/>
      </c>
      <c r="Q206" s="39">
        <f>IF($A206="","",SUM($F206:$H206))</f>
        <v/>
      </c>
      <c r="R206" s="39">
        <f>IF($A206="","",SUM($I206:$K206))</f>
        <v/>
      </c>
      <c r="S206" s="39">
        <f>IF($A206="","",($L206+$R206)-$Q206)</f>
        <v/>
      </c>
      <c r="T206" s="31">
        <f>IF(OR($A206="",$Q206=0),"",$S206/$Q206)</f>
        <v/>
      </c>
      <c r="U206" s="27">
        <f>IF($A206="","",IF($L206&gt;0,"Live","Exited"))</f>
        <v/>
      </c>
      <c r="V206" s="40">
        <f>IF($A206="","",IF($A206='Client Report'!$C$4,COUNTIFS($A$6:$A206,'Client Report'!$C$4),""))</f>
        <v/>
      </c>
    </row>
    <row r="207">
      <c r="A207" s="11" t="n"/>
      <c r="B207" s="11" t="n"/>
      <c r="C207" s="11" t="n"/>
      <c r="D207" s="11" t="n"/>
      <c r="E207" s="12" t="n"/>
      <c r="F207" s="34" t="n"/>
      <c r="G207" s="34" t="n"/>
      <c r="H207" s="34" t="n"/>
      <c r="I207" s="34" t="n"/>
      <c r="J207" s="34" t="n"/>
      <c r="K207" s="34" t="n"/>
      <c r="L207" s="34" t="n"/>
      <c r="M207" s="36" t="n"/>
      <c r="N207" s="36" t="n"/>
      <c r="O207" s="41" t="n"/>
      <c r="P207" s="27">
        <f>IF($B207="","",IFERROR(TRIM(LEFT($B207,FIND(" - ",$B207)-1)),"Others"))</f>
        <v/>
      </c>
      <c r="Q207" s="39">
        <f>IF($A207="","",SUM($F207:$H207))</f>
        <v/>
      </c>
      <c r="R207" s="39">
        <f>IF($A207="","",SUM($I207:$K207))</f>
        <v/>
      </c>
      <c r="S207" s="39">
        <f>IF($A207="","",($L207+$R207)-$Q207)</f>
        <v/>
      </c>
      <c r="T207" s="31">
        <f>IF(OR($A207="",$Q207=0),"",$S207/$Q207)</f>
        <v/>
      </c>
      <c r="U207" s="27">
        <f>IF($A207="","",IF($L207&gt;0,"Live","Exited"))</f>
        <v/>
      </c>
      <c r="V207" s="40">
        <f>IF($A207="","",IF($A207='Client Report'!$C$4,COUNTIFS($A$6:$A207,'Client Report'!$C$4),""))</f>
        <v/>
      </c>
    </row>
    <row r="208">
      <c r="A208" s="11" t="n"/>
      <c r="B208" s="11" t="n"/>
      <c r="C208" s="11" t="n"/>
      <c r="D208" s="11" t="n"/>
      <c r="E208" s="12" t="n"/>
      <c r="F208" s="34" t="n"/>
      <c r="G208" s="34" t="n"/>
      <c r="H208" s="34" t="n"/>
      <c r="I208" s="34" t="n"/>
      <c r="J208" s="34" t="n"/>
      <c r="K208" s="34" t="n"/>
      <c r="L208" s="34" t="n"/>
      <c r="M208" s="36" t="n"/>
      <c r="N208" s="36" t="n"/>
      <c r="O208" s="41" t="n"/>
      <c r="P208" s="27">
        <f>IF($B208="","",IFERROR(TRIM(LEFT($B208,FIND(" - ",$B208)-1)),"Others"))</f>
        <v/>
      </c>
      <c r="Q208" s="39">
        <f>IF($A208="","",SUM($F208:$H208))</f>
        <v/>
      </c>
      <c r="R208" s="39">
        <f>IF($A208="","",SUM($I208:$K208))</f>
        <v/>
      </c>
      <c r="S208" s="39">
        <f>IF($A208="","",($L208+$R208)-$Q208)</f>
        <v/>
      </c>
      <c r="T208" s="31">
        <f>IF(OR($A208="",$Q208=0),"",$S208/$Q208)</f>
        <v/>
      </c>
      <c r="U208" s="27">
        <f>IF($A208="","",IF($L208&gt;0,"Live","Exited"))</f>
        <v/>
      </c>
      <c r="V208" s="40">
        <f>IF($A208="","",IF($A208='Client Report'!$C$4,COUNTIFS($A$6:$A208,'Client Report'!$C$4),""))</f>
        <v/>
      </c>
    </row>
    <row r="209">
      <c r="A209" s="11" t="n"/>
      <c r="B209" s="11" t="n"/>
      <c r="C209" s="11" t="n"/>
      <c r="D209" s="11" t="n"/>
      <c r="E209" s="12" t="n"/>
      <c r="F209" s="34" t="n"/>
      <c r="G209" s="34" t="n"/>
      <c r="H209" s="34" t="n"/>
      <c r="I209" s="34" t="n"/>
      <c r="J209" s="34" t="n"/>
      <c r="K209" s="34" t="n"/>
      <c r="L209" s="34" t="n"/>
      <c r="M209" s="36" t="n"/>
      <c r="N209" s="36" t="n"/>
      <c r="O209" s="41" t="n"/>
      <c r="P209" s="27">
        <f>IF($B209="","",IFERROR(TRIM(LEFT($B209,FIND(" - ",$B209)-1)),"Others"))</f>
        <v/>
      </c>
      <c r="Q209" s="39">
        <f>IF($A209="","",SUM($F209:$H209))</f>
        <v/>
      </c>
      <c r="R209" s="39">
        <f>IF($A209="","",SUM($I209:$K209))</f>
        <v/>
      </c>
      <c r="S209" s="39">
        <f>IF($A209="","",($L209+$R209)-$Q209)</f>
        <v/>
      </c>
      <c r="T209" s="31">
        <f>IF(OR($A209="",$Q209=0),"",$S209/$Q209)</f>
        <v/>
      </c>
      <c r="U209" s="27">
        <f>IF($A209="","",IF($L209&gt;0,"Live","Exited"))</f>
        <v/>
      </c>
      <c r="V209" s="40">
        <f>IF($A209="","",IF($A209='Client Report'!$C$4,COUNTIFS($A$6:$A209,'Client Report'!$C$4),""))</f>
        <v/>
      </c>
    </row>
    <row r="210">
      <c r="A210" s="11" t="n"/>
      <c r="B210" s="11" t="n"/>
      <c r="C210" s="11" t="n"/>
      <c r="D210" s="11" t="n"/>
      <c r="E210" s="12" t="n"/>
      <c r="F210" s="34" t="n"/>
      <c r="G210" s="34" t="n"/>
      <c r="H210" s="34" t="n"/>
      <c r="I210" s="34" t="n"/>
      <c r="J210" s="34" t="n"/>
      <c r="K210" s="34" t="n"/>
      <c r="L210" s="34" t="n"/>
      <c r="M210" s="36" t="n"/>
      <c r="N210" s="36" t="n"/>
      <c r="O210" s="41" t="n"/>
      <c r="P210" s="27">
        <f>IF($B210="","",IFERROR(TRIM(LEFT($B210,FIND(" - ",$B210)-1)),"Others"))</f>
        <v/>
      </c>
      <c r="Q210" s="39">
        <f>IF($A210="","",SUM($F210:$H210))</f>
        <v/>
      </c>
      <c r="R210" s="39">
        <f>IF($A210="","",SUM($I210:$K210))</f>
        <v/>
      </c>
      <c r="S210" s="39">
        <f>IF($A210="","",($L210+$R210)-$Q210)</f>
        <v/>
      </c>
      <c r="T210" s="31">
        <f>IF(OR($A210="",$Q210=0),"",$S210/$Q210)</f>
        <v/>
      </c>
      <c r="U210" s="27">
        <f>IF($A210="","",IF($L210&gt;0,"Live","Exited"))</f>
        <v/>
      </c>
      <c r="V210" s="40">
        <f>IF($A210="","",IF($A210='Client Report'!$C$4,COUNTIFS($A$6:$A210,'Client Report'!$C$4),""))</f>
        <v/>
      </c>
    </row>
    <row r="211">
      <c r="A211" s="11" t="n"/>
      <c r="B211" s="11" t="n"/>
      <c r="C211" s="11" t="n"/>
      <c r="D211" s="11" t="n"/>
      <c r="E211" s="12" t="n"/>
      <c r="F211" s="34" t="n"/>
      <c r="G211" s="34" t="n"/>
      <c r="H211" s="34" t="n"/>
      <c r="I211" s="34" t="n"/>
      <c r="J211" s="34" t="n"/>
      <c r="K211" s="34" t="n"/>
      <c r="L211" s="34" t="n"/>
      <c r="M211" s="36" t="n"/>
      <c r="N211" s="36" t="n"/>
      <c r="O211" s="41" t="n"/>
      <c r="P211" s="27">
        <f>IF($B211="","",IFERROR(TRIM(LEFT($B211,FIND(" - ",$B211)-1)),"Others"))</f>
        <v/>
      </c>
      <c r="Q211" s="39">
        <f>IF($A211="","",SUM($F211:$H211))</f>
        <v/>
      </c>
      <c r="R211" s="39">
        <f>IF($A211="","",SUM($I211:$K211))</f>
        <v/>
      </c>
      <c r="S211" s="39">
        <f>IF($A211="","",($L211+$R211)-$Q211)</f>
        <v/>
      </c>
      <c r="T211" s="31">
        <f>IF(OR($A211="",$Q211=0),"",$S211/$Q211)</f>
        <v/>
      </c>
      <c r="U211" s="27">
        <f>IF($A211="","",IF($L211&gt;0,"Live","Exited"))</f>
        <v/>
      </c>
      <c r="V211" s="40">
        <f>IF($A211="","",IF($A211='Client Report'!$C$4,COUNTIFS($A$6:$A211,'Client Report'!$C$4),""))</f>
        <v/>
      </c>
    </row>
    <row r="212">
      <c r="A212" s="11" t="n"/>
      <c r="B212" s="11" t="n"/>
      <c r="C212" s="11" t="n"/>
      <c r="D212" s="11" t="n"/>
      <c r="E212" s="12" t="n"/>
      <c r="F212" s="34" t="n"/>
      <c r="G212" s="34" t="n"/>
      <c r="H212" s="34" t="n"/>
      <c r="I212" s="34" t="n"/>
      <c r="J212" s="34" t="n"/>
      <c r="K212" s="34" t="n"/>
      <c r="L212" s="34" t="n"/>
      <c r="M212" s="36" t="n"/>
      <c r="N212" s="36" t="n"/>
      <c r="O212" s="41" t="n"/>
      <c r="P212" s="27">
        <f>IF($B212="","",IFERROR(TRIM(LEFT($B212,FIND(" - ",$B212)-1)),"Others"))</f>
        <v/>
      </c>
      <c r="Q212" s="39">
        <f>IF($A212="","",SUM($F212:$H212))</f>
        <v/>
      </c>
      <c r="R212" s="39">
        <f>IF($A212="","",SUM($I212:$K212))</f>
        <v/>
      </c>
      <c r="S212" s="39">
        <f>IF($A212="","",($L212+$R212)-$Q212)</f>
        <v/>
      </c>
      <c r="T212" s="31">
        <f>IF(OR($A212="",$Q212=0),"",$S212/$Q212)</f>
        <v/>
      </c>
      <c r="U212" s="27">
        <f>IF($A212="","",IF($L212&gt;0,"Live","Exited"))</f>
        <v/>
      </c>
      <c r="V212" s="40">
        <f>IF($A212="","",IF($A212='Client Report'!$C$4,COUNTIFS($A$6:$A212,'Client Report'!$C$4),""))</f>
        <v/>
      </c>
    </row>
    <row r="213">
      <c r="A213" s="11" t="n"/>
      <c r="B213" s="11" t="n"/>
      <c r="C213" s="11" t="n"/>
      <c r="D213" s="11" t="n"/>
      <c r="E213" s="12" t="n"/>
      <c r="F213" s="34" t="n"/>
      <c r="G213" s="34" t="n"/>
      <c r="H213" s="34" t="n"/>
      <c r="I213" s="34" t="n"/>
      <c r="J213" s="34" t="n"/>
      <c r="K213" s="34" t="n"/>
      <c r="L213" s="34" t="n"/>
      <c r="M213" s="36" t="n"/>
      <c r="N213" s="36" t="n"/>
      <c r="O213" s="41" t="n"/>
      <c r="P213" s="27">
        <f>IF($B213="","",IFERROR(TRIM(LEFT($B213,FIND(" - ",$B213)-1)),"Others"))</f>
        <v/>
      </c>
      <c r="Q213" s="39">
        <f>IF($A213="","",SUM($F213:$H213))</f>
        <v/>
      </c>
      <c r="R213" s="39">
        <f>IF($A213="","",SUM($I213:$K213))</f>
        <v/>
      </c>
      <c r="S213" s="39">
        <f>IF($A213="","",($L213+$R213)-$Q213)</f>
        <v/>
      </c>
      <c r="T213" s="31">
        <f>IF(OR($A213="",$Q213=0),"",$S213/$Q213)</f>
        <v/>
      </c>
      <c r="U213" s="27">
        <f>IF($A213="","",IF($L213&gt;0,"Live","Exited"))</f>
        <v/>
      </c>
      <c r="V213" s="40">
        <f>IF($A213="","",IF($A213='Client Report'!$C$4,COUNTIFS($A$6:$A213,'Client Report'!$C$4),""))</f>
        <v/>
      </c>
    </row>
    <row r="214">
      <c r="A214" s="11" t="n"/>
      <c r="B214" s="11" t="n"/>
      <c r="C214" s="11" t="n"/>
      <c r="D214" s="11" t="n"/>
      <c r="E214" s="12" t="n"/>
      <c r="F214" s="34" t="n"/>
      <c r="G214" s="34" t="n"/>
      <c r="H214" s="34" t="n"/>
      <c r="I214" s="34" t="n"/>
      <c r="J214" s="34" t="n"/>
      <c r="K214" s="34" t="n"/>
      <c r="L214" s="34" t="n"/>
      <c r="M214" s="36" t="n"/>
      <c r="N214" s="36" t="n"/>
      <c r="O214" s="41" t="n"/>
      <c r="P214" s="27">
        <f>IF($B214="","",IFERROR(TRIM(LEFT($B214,FIND(" - ",$B214)-1)),"Others"))</f>
        <v/>
      </c>
      <c r="Q214" s="39">
        <f>IF($A214="","",SUM($F214:$H214))</f>
        <v/>
      </c>
      <c r="R214" s="39">
        <f>IF($A214="","",SUM($I214:$K214))</f>
        <v/>
      </c>
      <c r="S214" s="39">
        <f>IF($A214="","",($L214+$R214)-$Q214)</f>
        <v/>
      </c>
      <c r="T214" s="31">
        <f>IF(OR($A214="",$Q214=0),"",$S214/$Q214)</f>
        <v/>
      </c>
      <c r="U214" s="27">
        <f>IF($A214="","",IF($L214&gt;0,"Live","Exited"))</f>
        <v/>
      </c>
      <c r="V214" s="40">
        <f>IF($A214="","",IF($A214='Client Report'!$C$4,COUNTIFS($A$6:$A214,'Client Report'!$C$4),""))</f>
        <v/>
      </c>
    </row>
    <row r="215">
      <c r="A215" s="11" t="n"/>
      <c r="B215" s="11" t="n"/>
      <c r="C215" s="11" t="n"/>
      <c r="D215" s="11" t="n"/>
      <c r="E215" s="12" t="n"/>
      <c r="F215" s="34" t="n"/>
      <c r="G215" s="34" t="n"/>
      <c r="H215" s="34" t="n"/>
      <c r="I215" s="34" t="n"/>
      <c r="J215" s="34" t="n"/>
      <c r="K215" s="34" t="n"/>
      <c r="L215" s="34" t="n"/>
      <c r="M215" s="36" t="n"/>
      <c r="N215" s="36" t="n"/>
      <c r="O215" s="41" t="n"/>
      <c r="P215" s="27">
        <f>IF($B215="","",IFERROR(TRIM(LEFT($B215,FIND(" - ",$B215)-1)),"Others"))</f>
        <v/>
      </c>
      <c r="Q215" s="39">
        <f>IF($A215="","",SUM($F215:$H215))</f>
        <v/>
      </c>
      <c r="R215" s="39">
        <f>IF($A215="","",SUM($I215:$K215))</f>
        <v/>
      </c>
      <c r="S215" s="39">
        <f>IF($A215="","",($L215+$R215)-$Q215)</f>
        <v/>
      </c>
      <c r="T215" s="31">
        <f>IF(OR($A215="",$Q215=0),"",$S215/$Q215)</f>
        <v/>
      </c>
      <c r="U215" s="27">
        <f>IF($A215="","",IF($L215&gt;0,"Live","Exited"))</f>
        <v/>
      </c>
      <c r="V215" s="40">
        <f>IF($A215="","",IF($A215='Client Report'!$C$4,COUNTIFS($A$6:$A215,'Client Report'!$C$4),""))</f>
        <v/>
      </c>
    </row>
    <row r="216">
      <c r="A216" s="11" t="n"/>
      <c r="B216" s="11" t="n"/>
      <c r="C216" s="11" t="n"/>
      <c r="D216" s="11" t="n"/>
      <c r="E216" s="12" t="n"/>
      <c r="F216" s="34" t="n"/>
      <c r="G216" s="34" t="n"/>
      <c r="H216" s="34" t="n"/>
      <c r="I216" s="34" t="n"/>
      <c r="J216" s="34" t="n"/>
      <c r="K216" s="34" t="n"/>
      <c r="L216" s="34" t="n"/>
      <c r="M216" s="36" t="n"/>
      <c r="N216" s="36" t="n"/>
      <c r="O216" s="41" t="n"/>
      <c r="P216" s="27">
        <f>IF($B216="","",IFERROR(TRIM(LEFT($B216,FIND(" - ",$B216)-1)),"Others"))</f>
        <v/>
      </c>
      <c r="Q216" s="39">
        <f>IF($A216="","",SUM($F216:$H216))</f>
        <v/>
      </c>
      <c r="R216" s="39">
        <f>IF($A216="","",SUM($I216:$K216))</f>
        <v/>
      </c>
      <c r="S216" s="39">
        <f>IF($A216="","",($L216+$R216)-$Q216)</f>
        <v/>
      </c>
      <c r="T216" s="31">
        <f>IF(OR($A216="",$Q216=0),"",$S216/$Q216)</f>
        <v/>
      </c>
      <c r="U216" s="27">
        <f>IF($A216="","",IF($L216&gt;0,"Live","Exited"))</f>
        <v/>
      </c>
      <c r="V216" s="40">
        <f>IF($A216="","",IF($A216='Client Report'!$C$4,COUNTIFS($A$6:$A216,'Client Report'!$C$4),""))</f>
        <v/>
      </c>
    </row>
    <row r="217">
      <c r="A217" s="11" t="n"/>
      <c r="B217" s="11" t="n"/>
      <c r="C217" s="11" t="n"/>
      <c r="D217" s="11" t="n"/>
      <c r="E217" s="12" t="n"/>
      <c r="F217" s="34" t="n"/>
      <c r="G217" s="34" t="n"/>
      <c r="H217" s="34" t="n"/>
      <c r="I217" s="34" t="n"/>
      <c r="J217" s="34" t="n"/>
      <c r="K217" s="34" t="n"/>
      <c r="L217" s="34" t="n"/>
      <c r="M217" s="36" t="n"/>
      <c r="N217" s="36" t="n"/>
      <c r="O217" s="41" t="n"/>
      <c r="P217" s="27">
        <f>IF($B217="","",IFERROR(TRIM(LEFT($B217,FIND(" - ",$B217)-1)),"Others"))</f>
        <v/>
      </c>
      <c r="Q217" s="39">
        <f>IF($A217="","",SUM($F217:$H217))</f>
        <v/>
      </c>
      <c r="R217" s="39">
        <f>IF($A217="","",SUM($I217:$K217))</f>
        <v/>
      </c>
      <c r="S217" s="39">
        <f>IF($A217="","",($L217+$R217)-$Q217)</f>
        <v/>
      </c>
      <c r="T217" s="31">
        <f>IF(OR($A217="",$Q217=0),"",$S217/$Q217)</f>
        <v/>
      </c>
      <c r="U217" s="27">
        <f>IF($A217="","",IF($L217&gt;0,"Live","Exited"))</f>
        <v/>
      </c>
      <c r="V217" s="40">
        <f>IF($A217="","",IF($A217='Client Report'!$C$4,COUNTIFS($A$6:$A217,'Client Report'!$C$4),""))</f>
        <v/>
      </c>
    </row>
    <row r="218">
      <c r="A218" s="11" t="n"/>
      <c r="B218" s="11" t="n"/>
      <c r="C218" s="11" t="n"/>
      <c r="D218" s="11" t="n"/>
      <c r="E218" s="12" t="n"/>
      <c r="F218" s="34" t="n"/>
      <c r="G218" s="34" t="n"/>
      <c r="H218" s="34" t="n"/>
      <c r="I218" s="34" t="n"/>
      <c r="J218" s="34" t="n"/>
      <c r="K218" s="34" t="n"/>
      <c r="L218" s="34" t="n"/>
      <c r="M218" s="36" t="n"/>
      <c r="N218" s="36" t="n"/>
      <c r="O218" s="41" t="n"/>
      <c r="P218" s="27">
        <f>IF($B218="","",IFERROR(TRIM(LEFT($B218,FIND(" - ",$B218)-1)),"Others"))</f>
        <v/>
      </c>
      <c r="Q218" s="39">
        <f>IF($A218="","",SUM($F218:$H218))</f>
        <v/>
      </c>
      <c r="R218" s="39">
        <f>IF($A218="","",SUM($I218:$K218))</f>
        <v/>
      </c>
      <c r="S218" s="39">
        <f>IF($A218="","",($L218+$R218)-$Q218)</f>
        <v/>
      </c>
      <c r="T218" s="31">
        <f>IF(OR($A218="",$Q218=0),"",$S218/$Q218)</f>
        <v/>
      </c>
      <c r="U218" s="27">
        <f>IF($A218="","",IF($L218&gt;0,"Live","Exited"))</f>
        <v/>
      </c>
      <c r="V218" s="40">
        <f>IF($A218="","",IF($A218='Client Report'!$C$4,COUNTIFS($A$6:$A218,'Client Report'!$C$4),""))</f>
        <v/>
      </c>
    </row>
    <row r="219">
      <c r="A219" s="11" t="n"/>
      <c r="B219" s="11" t="n"/>
      <c r="C219" s="11" t="n"/>
      <c r="D219" s="11" t="n"/>
      <c r="E219" s="12" t="n"/>
      <c r="F219" s="34" t="n"/>
      <c r="G219" s="34" t="n"/>
      <c r="H219" s="34" t="n"/>
      <c r="I219" s="34" t="n"/>
      <c r="J219" s="34" t="n"/>
      <c r="K219" s="34" t="n"/>
      <c r="L219" s="34" t="n"/>
      <c r="M219" s="36" t="n"/>
      <c r="N219" s="36" t="n"/>
      <c r="O219" s="41" t="n"/>
      <c r="P219" s="27">
        <f>IF($B219="","",IFERROR(TRIM(LEFT($B219,FIND(" - ",$B219)-1)),"Others"))</f>
        <v/>
      </c>
      <c r="Q219" s="39">
        <f>IF($A219="","",SUM($F219:$H219))</f>
        <v/>
      </c>
      <c r="R219" s="39">
        <f>IF($A219="","",SUM($I219:$K219))</f>
        <v/>
      </c>
      <c r="S219" s="39">
        <f>IF($A219="","",($L219+$R219)-$Q219)</f>
        <v/>
      </c>
      <c r="T219" s="31">
        <f>IF(OR($A219="",$Q219=0),"",$S219/$Q219)</f>
        <v/>
      </c>
      <c r="U219" s="27">
        <f>IF($A219="","",IF($L219&gt;0,"Live","Exited"))</f>
        <v/>
      </c>
      <c r="V219" s="40">
        <f>IF($A219="","",IF($A219='Client Report'!$C$4,COUNTIFS($A$6:$A219,'Client Report'!$C$4),""))</f>
        <v/>
      </c>
    </row>
    <row r="220">
      <c r="A220" s="11" t="n"/>
      <c r="B220" s="11" t="n"/>
      <c r="C220" s="11" t="n"/>
      <c r="D220" s="11" t="n"/>
      <c r="E220" s="12" t="n"/>
      <c r="F220" s="34" t="n"/>
      <c r="G220" s="34" t="n"/>
      <c r="H220" s="34" t="n"/>
      <c r="I220" s="34" t="n"/>
      <c r="J220" s="34" t="n"/>
      <c r="K220" s="34" t="n"/>
      <c r="L220" s="34" t="n"/>
      <c r="M220" s="36" t="n"/>
      <c r="N220" s="36" t="n"/>
      <c r="O220" s="41" t="n"/>
      <c r="P220" s="27">
        <f>IF($B220="","",IFERROR(TRIM(LEFT($B220,FIND(" - ",$B220)-1)),"Others"))</f>
        <v/>
      </c>
      <c r="Q220" s="39">
        <f>IF($A220="","",SUM($F220:$H220))</f>
        <v/>
      </c>
      <c r="R220" s="39">
        <f>IF($A220="","",SUM($I220:$K220))</f>
        <v/>
      </c>
      <c r="S220" s="39">
        <f>IF($A220="","",($L220+$R220)-$Q220)</f>
        <v/>
      </c>
      <c r="T220" s="31">
        <f>IF(OR($A220="",$Q220=0),"",$S220/$Q220)</f>
        <v/>
      </c>
      <c r="U220" s="27">
        <f>IF($A220="","",IF($L220&gt;0,"Live","Exited"))</f>
        <v/>
      </c>
      <c r="V220" s="40">
        <f>IF($A220="","",IF($A220='Client Report'!$C$4,COUNTIFS($A$6:$A220,'Client Report'!$C$4),""))</f>
        <v/>
      </c>
    </row>
    <row r="221">
      <c r="A221" s="11" t="n"/>
      <c r="B221" s="11" t="n"/>
      <c r="C221" s="11" t="n"/>
      <c r="D221" s="11" t="n"/>
      <c r="E221" s="12" t="n"/>
      <c r="F221" s="34" t="n"/>
      <c r="G221" s="34" t="n"/>
      <c r="H221" s="34" t="n"/>
      <c r="I221" s="34" t="n"/>
      <c r="J221" s="34" t="n"/>
      <c r="K221" s="34" t="n"/>
      <c r="L221" s="34" t="n"/>
      <c r="M221" s="36" t="n"/>
      <c r="N221" s="36" t="n"/>
      <c r="O221" s="41" t="n"/>
      <c r="P221" s="27">
        <f>IF($B221="","",IFERROR(TRIM(LEFT($B221,FIND(" - ",$B221)-1)),"Others"))</f>
        <v/>
      </c>
      <c r="Q221" s="39">
        <f>IF($A221="","",SUM($F221:$H221))</f>
        <v/>
      </c>
      <c r="R221" s="39">
        <f>IF($A221="","",SUM($I221:$K221))</f>
        <v/>
      </c>
      <c r="S221" s="39">
        <f>IF($A221="","",($L221+$R221)-$Q221)</f>
        <v/>
      </c>
      <c r="T221" s="31">
        <f>IF(OR($A221="",$Q221=0),"",$S221/$Q221)</f>
        <v/>
      </c>
      <c r="U221" s="27">
        <f>IF($A221="","",IF($L221&gt;0,"Live","Exited"))</f>
        <v/>
      </c>
      <c r="V221" s="40">
        <f>IF($A221="","",IF($A221='Client Report'!$C$4,COUNTIFS($A$6:$A221,'Client Report'!$C$4),""))</f>
        <v/>
      </c>
    </row>
    <row r="222">
      <c r="A222" s="11" t="n"/>
      <c r="B222" s="11" t="n"/>
      <c r="C222" s="11" t="n"/>
      <c r="D222" s="11" t="n"/>
      <c r="E222" s="12" t="n"/>
      <c r="F222" s="34" t="n"/>
      <c r="G222" s="34" t="n"/>
      <c r="H222" s="34" t="n"/>
      <c r="I222" s="34" t="n"/>
      <c r="J222" s="34" t="n"/>
      <c r="K222" s="34" t="n"/>
      <c r="L222" s="34" t="n"/>
      <c r="M222" s="36" t="n"/>
      <c r="N222" s="36" t="n"/>
      <c r="O222" s="41" t="n"/>
      <c r="P222" s="27">
        <f>IF($B222="","",IFERROR(TRIM(LEFT($B222,FIND(" - ",$B222)-1)),"Others"))</f>
        <v/>
      </c>
      <c r="Q222" s="39">
        <f>IF($A222="","",SUM($F222:$H222))</f>
        <v/>
      </c>
      <c r="R222" s="39">
        <f>IF($A222="","",SUM($I222:$K222))</f>
        <v/>
      </c>
      <c r="S222" s="39">
        <f>IF($A222="","",($L222+$R222)-$Q222)</f>
        <v/>
      </c>
      <c r="T222" s="31">
        <f>IF(OR($A222="",$Q222=0),"",$S222/$Q222)</f>
        <v/>
      </c>
      <c r="U222" s="27">
        <f>IF($A222="","",IF($L222&gt;0,"Live","Exited"))</f>
        <v/>
      </c>
      <c r="V222" s="40">
        <f>IF($A222="","",IF($A222='Client Report'!$C$4,COUNTIFS($A$6:$A222,'Client Report'!$C$4),""))</f>
        <v/>
      </c>
    </row>
    <row r="223">
      <c r="A223" s="11" t="n"/>
      <c r="B223" s="11" t="n"/>
      <c r="C223" s="11" t="n"/>
      <c r="D223" s="11" t="n"/>
      <c r="E223" s="12" t="n"/>
      <c r="F223" s="34" t="n"/>
      <c r="G223" s="34" t="n"/>
      <c r="H223" s="34" t="n"/>
      <c r="I223" s="34" t="n"/>
      <c r="J223" s="34" t="n"/>
      <c r="K223" s="34" t="n"/>
      <c r="L223" s="34" t="n"/>
      <c r="M223" s="36" t="n"/>
      <c r="N223" s="36" t="n"/>
      <c r="O223" s="41" t="n"/>
      <c r="P223" s="27">
        <f>IF($B223="","",IFERROR(TRIM(LEFT($B223,FIND(" - ",$B223)-1)),"Others"))</f>
        <v/>
      </c>
      <c r="Q223" s="39">
        <f>IF($A223="","",SUM($F223:$H223))</f>
        <v/>
      </c>
      <c r="R223" s="39">
        <f>IF($A223="","",SUM($I223:$K223))</f>
        <v/>
      </c>
      <c r="S223" s="39">
        <f>IF($A223="","",($L223+$R223)-$Q223)</f>
        <v/>
      </c>
      <c r="T223" s="31">
        <f>IF(OR($A223="",$Q223=0),"",$S223/$Q223)</f>
        <v/>
      </c>
      <c r="U223" s="27">
        <f>IF($A223="","",IF($L223&gt;0,"Live","Exited"))</f>
        <v/>
      </c>
      <c r="V223" s="40">
        <f>IF($A223="","",IF($A223='Client Report'!$C$4,COUNTIFS($A$6:$A223,'Client Report'!$C$4),""))</f>
        <v/>
      </c>
    </row>
    <row r="224">
      <c r="A224" s="11" t="n"/>
      <c r="B224" s="11" t="n"/>
      <c r="C224" s="11" t="n"/>
      <c r="D224" s="11" t="n"/>
      <c r="E224" s="12" t="n"/>
      <c r="F224" s="34" t="n"/>
      <c r="G224" s="34" t="n"/>
      <c r="H224" s="34" t="n"/>
      <c r="I224" s="34" t="n"/>
      <c r="J224" s="34" t="n"/>
      <c r="K224" s="34" t="n"/>
      <c r="L224" s="34" t="n"/>
      <c r="M224" s="36" t="n"/>
      <c r="N224" s="36" t="n"/>
      <c r="O224" s="41" t="n"/>
      <c r="P224" s="27">
        <f>IF($B224="","",IFERROR(TRIM(LEFT($B224,FIND(" - ",$B224)-1)),"Others"))</f>
        <v/>
      </c>
      <c r="Q224" s="39">
        <f>IF($A224="","",SUM($F224:$H224))</f>
        <v/>
      </c>
      <c r="R224" s="39">
        <f>IF($A224="","",SUM($I224:$K224))</f>
        <v/>
      </c>
      <c r="S224" s="39">
        <f>IF($A224="","",($L224+$R224)-$Q224)</f>
        <v/>
      </c>
      <c r="T224" s="31">
        <f>IF(OR($A224="",$Q224=0),"",$S224/$Q224)</f>
        <v/>
      </c>
      <c r="U224" s="27">
        <f>IF($A224="","",IF($L224&gt;0,"Live","Exited"))</f>
        <v/>
      </c>
      <c r="V224" s="40">
        <f>IF($A224="","",IF($A224='Client Report'!$C$4,COUNTIFS($A$6:$A224,'Client Report'!$C$4),""))</f>
        <v/>
      </c>
    </row>
    <row r="225">
      <c r="A225" s="11" t="n"/>
      <c r="B225" s="11" t="n"/>
      <c r="C225" s="11" t="n"/>
      <c r="D225" s="11" t="n"/>
      <c r="E225" s="12" t="n"/>
      <c r="F225" s="34" t="n"/>
      <c r="G225" s="34" t="n"/>
      <c r="H225" s="34" t="n"/>
      <c r="I225" s="34" t="n"/>
      <c r="J225" s="34" t="n"/>
      <c r="K225" s="34" t="n"/>
      <c r="L225" s="34" t="n"/>
      <c r="M225" s="36" t="n"/>
      <c r="N225" s="36" t="n"/>
      <c r="O225" s="41" t="n"/>
      <c r="P225" s="27">
        <f>IF($B225="","",IFERROR(TRIM(LEFT($B225,FIND(" - ",$B225)-1)),"Others"))</f>
        <v/>
      </c>
      <c r="Q225" s="39">
        <f>IF($A225="","",SUM($F225:$H225))</f>
        <v/>
      </c>
      <c r="R225" s="39">
        <f>IF($A225="","",SUM($I225:$K225))</f>
        <v/>
      </c>
      <c r="S225" s="39">
        <f>IF($A225="","",($L225+$R225)-$Q225)</f>
        <v/>
      </c>
      <c r="T225" s="31">
        <f>IF(OR($A225="",$Q225=0),"",$S225/$Q225)</f>
        <v/>
      </c>
      <c r="U225" s="27">
        <f>IF($A225="","",IF($L225&gt;0,"Live","Exited"))</f>
        <v/>
      </c>
      <c r="V225" s="40">
        <f>IF($A225="","",IF($A225='Client Report'!$C$4,COUNTIFS($A$6:$A225,'Client Report'!$C$4),""))</f>
        <v/>
      </c>
    </row>
    <row r="226">
      <c r="A226" s="11" t="n"/>
      <c r="B226" s="11" t="n"/>
      <c r="C226" s="11" t="n"/>
      <c r="D226" s="11" t="n"/>
      <c r="E226" s="12" t="n"/>
      <c r="F226" s="34" t="n"/>
      <c r="G226" s="34" t="n"/>
      <c r="H226" s="34" t="n"/>
      <c r="I226" s="34" t="n"/>
      <c r="J226" s="34" t="n"/>
      <c r="K226" s="34" t="n"/>
      <c r="L226" s="34" t="n"/>
      <c r="M226" s="36" t="n"/>
      <c r="N226" s="36" t="n"/>
      <c r="O226" s="41" t="n"/>
      <c r="P226" s="27">
        <f>IF($B226="","",IFERROR(TRIM(LEFT($B226,FIND(" - ",$B226)-1)),"Others"))</f>
        <v/>
      </c>
      <c r="Q226" s="39">
        <f>IF($A226="","",SUM($F226:$H226))</f>
        <v/>
      </c>
      <c r="R226" s="39">
        <f>IF($A226="","",SUM($I226:$K226))</f>
        <v/>
      </c>
      <c r="S226" s="39">
        <f>IF($A226="","",($L226+$R226)-$Q226)</f>
        <v/>
      </c>
      <c r="T226" s="31">
        <f>IF(OR($A226="",$Q226=0),"",$S226/$Q226)</f>
        <v/>
      </c>
      <c r="U226" s="27">
        <f>IF($A226="","",IF($L226&gt;0,"Live","Exited"))</f>
        <v/>
      </c>
      <c r="V226" s="40">
        <f>IF($A226="","",IF($A226='Client Report'!$C$4,COUNTIFS($A$6:$A226,'Client Report'!$C$4),""))</f>
        <v/>
      </c>
    </row>
    <row r="227">
      <c r="A227" s="11" t="n"/>
      <c r="B227" s="11" t="n"/>
      <c r="C227" s="11" t="n"/>
      <c r="D227" s="11" t="n"/>
      <c r="E227" s="12" t="n"/>
      <c r="F227" s="34" t="n"/>
      <c r="G227" s="34" t="n"/>
      <c r="H227" s="34" t="n"/>
      <c r="I227" s="34" t="n"/>
      <c r="J227" s="34" t="n"/>
      <c r="K227" s="34" t="n"/>
      <c r="L227" s="34" t="n"/>
      <c r="M227" s="36" t="n"/>
      <c r="N227" s="36" t="n"/>
      <c r="O227" s="41" t="n"/>
      <c r="P227" s="27">
        <f>IF($B227="","",IFERROR(TRIM(LEFT($B227,FIND(" - ",$B227)-1)),"Others"))</f>
        <v/>
      </c>
      <c r="Q227" s="39">
        <f>IF($A227="","",SUM($F227:$H227))</f>
        <v/>
      </c>
      <c r="R227" s="39">
        <f>IF($A227="","",SUM($I227:$K227))</f>
        <v/>
      </c>
      <c r="S227" s="39">
        <f>IF($A227="","",($L227+$R227)-$Q227)</f>
        <v/>
      </c>
      <c r="T227" s="31">
        <f>IF(OR($A227="",$Q227=0),"",$S227/$Q227)</f>
        <v/>
      </c>
      <c r="U227" s="27">
        <f>IF($A227="","",IF($L227&gt;0,"Live","Exited"))</f>
        <v/>
      </c>
      <c r="V227" s="40">
        <f>IF($A227="","",IF($A227='Client Report'!$C$4,COUNTIFS($A$6:$A227,'Client Report'!$C$4),""))</f>
        <v/>
      </c>
    </row>
    <row r="228">
      <c r="A228" s="11" t="n"/>
      <c r="B228" s="11" t="n"/>
      <c r="C228" s="11" t="n"/>
      <c r="D228" s="11" t="n"/>
      <c r="E228" s="12" t="n"/>
      <c r="F228" s="34" t="n"/>
      <c r="G228" s="34" t="n"/>
      <c r="H228" s="34" t="n"/>
      <c r="I228" s="34" t="n"/>
      <c r="J228" s="34" t="n"/>
      <c r="K228" s="34" t="n"/>
      <c r="L228" s="34" t="n"/>
      <c r="M228" s="36" t="n"/>
      <c r="N228" s="36" t="n"/>
      <c r="O228" s="41" t="n"/>
      <c r="P228" s="27">
        <f>IF($B228="","",IFERROR(TRIM(LEFT($B228,FIND(" - ",$B228)-1)),"Others"))</f>
        <v/>
      </c>
      <c r="Q228" s="39">
        <f>IF($A228="","",SUM($F228:$H228))</f>
        <v/>
      </c>
      <c r="R228" s="39">
        <f>IF($A228="","",SUM($I228:$K228))</f>
        <v/>
      </c>
      <c r="S228" s="39">
        <f>IF($A228="","",($L228+$R228)-$Q228)</f>
        <v/>
      </c>
      <c r="T228" s="31">
        <f>IF(OR($A228="",$Q228=0),"",$S228/$Q228)</f>
        <v/>
      </c>
      <c r="U228" s="27">
        <f>IF($A228="","",IF($L228&gt;0,"Live","Exited"))</f>
        <v/>
      </c>
      <c r="V228" s="40">
        <f>IF($A228="","",IF($A228='Client Report'!$C$4,COUNTIFS($A$6:$A228,'Client Report'!$C$4),""))</f>
        <v/>
      </c>
    </row>
    <row r="229">
      <c r="A229" s="11" t="n"/>
      <c r="B229" s="11" t="n"/>
      <c r="C229" s="11" t="n"/>
      <c r="D229" s="11" t="n"/>
      <c r="E229" s="12" t="n"/>
      <c r="F229" s="34" t="n"/>
      <c r="G229" s="34" t="n"/>
      <c r="H229" s="34" t="n"/>
      <c r="I229" s="34" t="n"/>
      <c r="J229" s="34" t="n"/>
      <c r="K229" s="34" t="n"/>
      <c r="L229" s="34" t="n"/>
      <c r="M229" s="36" t="n"/>
      <c r="N229" s="36" t="n"/>
      <c r="O229" s="41" t="n"/>
      <c r="P229" s="27">
        <f>IF($B229="","",IFERROR(TRIM(LEFT($B229,FIND(" - ",$B229)-1)),"Others"))</f>
        <v/>
      </c>
      <c r="Q229" s="39">
        <f>IF($A229="","",SUM($F229:$H229))</f>
        <v/>
      </c>
      <c r="R229" s="39">
        <f>IF($A229="","",SUM($I229:$K229))</f>
        <v/>
      </c>
      <c r="S229" s="39">
        <f>IF($A229="","",($L229+$R229)-$Q229)</f>
        <v/>
      </c>
      <c r="T229" s="31">
        <f>IF(OR($A229="",$Q229=0),"",$S229/$Q229)</f>
        <v/>
      </c>
      <c r="U229" s="27">
        <f>IF($A229="","",IF($L229&gt;0,"Live","Exited"))</f>
        <v/>
      </c>
      <c r="V229" s="40">
        <f>IF($A229="","",IF($A229='Client Report'!$C$4,COUNTIFS($A$6:$A229,'Client Report'!$C$4),""))</f>
        <v/>
      </c>
    </row>
    <row r="230">
      <c r="A230" s="11" t="n"/>
      <c r="B230" s="11" t="n"/>
      <c r="C230" s="11" t="n"/>
      <c r="D230" s="11" t="n"/>
      <c r="E230" s="12" t="n"/>
      <c r="F230" s="34" t="n"/>
      <c r="G230" s="34" t="n"/>
      <c r="H230" s="34" t="n"/>
      <c r="I230" s="34" t="n"/>
      <c r="J230" s="34" t="n"/>
      <c r="K230" s="34" t="n"/>
      <c r="L230" s="34" t="n"/>
      <c r="M230" s="36" t="n"/>
      <c r="N230" s="36" t="n"/>
      <c r="O230" s="41" t="n"/>
      <c r="P230" s="27">
        <f>IF($B230="","",IFERROR(TRIM(LEFT($B230,FIND(" - ",$B230)-1)),"Others"))</f>
        <v/>
      </c>
      <c r="Q230" s="39">
        <f>IF($A230="","",SUM($F230:$H230))</f>
        <v/>
      </c>
      <c r="R230" s="39">
        <f>IF($A230="","",SUM($I230:$K230))</f>
        <v/>
      </c>
      <c r="S230" s="39">
        <f>IF($A230="","",($L230+$R230)-$Q230)</f>
        <v/>
      </c>
      <c r="T230" s="31">
        <f>IF(OR($A230="",$Q230=0),"",$S230/$Q230)</f>
        <v/>
      </c>
      <c r="U230" s="27">
        <f>IF($A230="","",IF($L230&gt;0,"Live","Exited"))</f>
        <v/>
      </c>
      <c r="V230" s="40">
        <f>IF($A230="","",IF($A230='Client Report'!$C$4,COUNTIFS($A$6:$A230,'Client Report'!$C$4),""))</f>
        <v/>
      </c>
    </row>
    <row r="231">
      <c r="A231" s="11" t="n"/>
      <c r="B231" s="11" t="n"/>
      <c r="C231" s="11" t="n"/>
      <c r="D231" s="11" t="n"/>
      <c r="E231" s="12" t="n"/>
      <c r="F231" s="34" t="n"/>
      <c r="G231" s="34" t="n"/>
      <c r="H231" s="34" t="n"/>
      <c r="I231" s="34" t="n"/>
      <c r="J231" s="34" t="n"/>
      <c r="K231" s="34" t="n"/>
      <c r="L231" s="34" t="n"/>
      <c r="M231" s="36" t="n"/>
      <c r="N231" s="36" t="n"/>
      <c r="O231" s="41" t="n"/>
      <c r="P231" s="27">
        <f>IF($B231="","",IFERROR(TRIM(LEFT($B231,FIND(" - ",$B231)-1)),"Others"))</f>
        <v/>
      </c>
      <c r="Q231" s="39">
        <f>IF($A231="","",SUM($F231:$H231))</f>
        <v/>
      </c>
      <c r="R231" s="39">
        <f>IF($A231="","",SUM($I231:$K231))</f>
        <v/>
      </c>
      <c r="S231" s="39">
        <f>IF($A231="","",($L231+$R231)-$Q231)</f>
        <v/>
      </c>
      <c r="T231" s="31">
        <f>IF(OR($A231="",$Q231=0),"",$S231/$Q231)</f>
        <v/>
      </c>
      <c r="U231" s="27">
        <f>IF($A231="","",IF($L231&gt;0,"Live","Exited"))</f>
        <v/>
      </c>
      <c r="V231" s="40">
        <f>IF($A231="","",IF($A231='Client Report'!$C$4,COUNTIFS($A$6:$A231,'Client Report'!$C$4),""))</f>
        <v/>
      </c>
    </row>
    <row r="232">
      <c r="A232" s="11" t="n"/>
      <c r="B232" s="11" t="n"/>
      <c r="C232" s="11" t="n"/>
      <c r="D232" s="11" t="n"/>
      <c r="E232" s="12" t="n"/>
      <c r="F232" s="34" t="n"/>
      <c r="G232" s="34" t="n"/>
      <c r="H232" s="34" t="n"/>
      <c r="I232" s="34" t="n"/>
      <c r="J232" s="34" t="n"/>
      <c r="K232" s="34" t="n"/>
      <c r="L232" s="34" t="n"/>
      <c r="M232" s="36" t="n"/>
      <c r="N232" s="36" t="n"/>
      <c r="O232" s="41" t="n"/>
      <c r="P232" s="27">
        <f>IF($B232="","",IFERROR(TRIM(LEFT($B232,FIND(" - ",$B232)-1)),"Others"))</f>
        <v/>
      </c>
      <c r="Q232" s="39">
        <f>IF($A232="","",SUM($F232:$H232))</f>
        <v/>
      </c>
      <c r="R232" s="39">
        <f>IF($A232="","",SUM($I232:$K232))</f>
        <v/>
      </c>
      <c r="S232" s="39">
        <f>IF($A232="","",($L232+$R232)-$Q232)</f>
        <v/>
      </c>
      <c r="T232" s="31">
        <f>IF(OR($A232="",$Q232=0),"",$S232/$Q232)</f>
        <v/>
      </c>
      <c r="U232" s="27">
        <f>IF($A232="","",IF($L232&gt;0,"Live","Exited"))</f>
        <v/>
      </c>
      <c r="V232" s="40">
        <f>IF($A232="","",IF($A232='Client Report'!$C$4,COUNTIFS($A$6:$A232,'Client Report'!$C$4),""))</f>
        <v/>
      </c>
    </row>
    <row r="233">
      <c r="A233" s="11" t="n"/>
      <c r="B233" s="11" t="n"/>
      <c r="C233" s="11" t="n"/>
      <c r="D233" s="11" t="n"/>
      <c r="E233" s="12" t="n"/>
      <c r="F233" s="34" t="n"/>
      <c r="G233" s="34" t="n"/>
      <c r="H233" s="34" t="n"/>
      <c r="I233" s="34" t="n"/>
      <c r="J233" s="34" t="n"/>
      <c r="K233" s="34" t="n"/>
      <c r="L233" s="34" t="n"/>
      <c r="M233" s="36" t="n"/>
      <c r="N233" s="36" t="n"/>
      <c r="O233" s="41" t="n"/>
      <c r="P233" s="27">
        <f>IF($B233="","",IFERROR(TRIM(LEFT($B233,FIND(" - ",$B233)-1)),"Others"))</f>
        <v/>
      </c>
      <c r="Q233" s="39">
        <f>IF($A233="","",SUM($F233:$H233))</f>
        <v/>
      </c>
      <c r="R233" s="39">
        <f>IF($A233="","",SUM($I233:$K233))</f>
        <v/>
      </c>
      <c r="S233" s="39">
        <f>IF($A233="","",($L233+$R233)-$Q233)</f>
        <v/>
      </c>
      <c r="T233" s="31">
        <f>IF(OR($A233="",$Q233=0),"",$S233/$Q233)</f>
        <v/>
      </c>
      <c r="U233" s="27">
        <f>IF($A233="","",IF($L233&gt;0,"Live","Exited"))</f>
        <v/>
      </c>
      <c r="V233" s="40">
        <f>IF($A233="","",IF($A233='Client Report'!$C$4,COUNTIFS($A$6:$A233,'Client Report'!$C$4),""))</f>
        <v/>
      </c>
    </row>
    <row r="234">
      <c r="A234" s="11" t="n"/>
      <c r="B234" s="11" t="n"/>
      <c r="C234" s="11" t="n"/>
      <c r="D234" s="11" t="n"/>
      <c r="E234" s="12" t="n"/>
      <c r="F234" s="34" t="n"/>
      <c r="G234" s="34" t="n"/>
      <c r="H234" s="34" t="n"/>
      <c r="I234" s="34" t="n"/>
      <c r="J234" s="34" t="n"/>
      <c r="K234" s="34" t="n"/>
      <c r="L234" s="34" t="n"/>
      <c r="M234" s="36" t="n"/>
      <c r="N234" s="36" t="n"/>
      <c r="O234" s="41" t="n"/>
      <c r="P234" s="27">
        <f>IF($B234="","",IFERROR(TRIM(LEFT($B234,FIND(" - ",$B234)-1)),"Others"))</f>
        <v/>
      </c>
      <c r="Q234" s="39">
        <f>IF($A234="","",SUM($F234:$H234))</f>
        <v/>
      </c>
      <c r="R234" s="39">
        <f>IF($A234="","",SUM($I234:$K234))</f>
        <v/>
      </c>
      <c r="S234" s="39">
        <f>IF($A234="","",($L234+$R234)-$Q234)</f>
        <v/>
      </c>
      <c r="T234" s="31">
        <f>IF(OR($A234="",$Q234=0),"",$S234/$Q234)</f>
        <v/>
      </c>
      <c r="U234" s="27">
        <f>IF($A234="","",IF($L234&gt;0,"Live","Exited"))</f>
        <v/>
      </c>
      <c r="V234" s="40">
        <f>IF($A234="","",IF($A234='Client Report'!$C$4,COUNTIFS($A$6:$A234,'Client Report'!$C$4),""))</f>
        <v/>
      </c>
    </row>
    <row r="235">
      <c r="A235" s="11" t="n"/>
      <c r="B235" s="11" t="n"/>
      <c r="C235" s="11" t="n"/>
      <c r="D235" s="11" t="n"/>
      <c r="E235" s="12" t="n"/>
      <c r="F235" s="34" t="n"/>
      <c r="G235" s="34" t="n"/>
      <c r="H235" s="34" t="n"/>
      <c r="I235" s="34" t="n"/>
      <c r="J235" s="34" t="n"/>
      <c r="K235" s="34" t="n"/>
      <c r="L235" s="34" t="n"/>
      <c r="M235" s="36" t="n"/>
      <c r="N235" s="36" t="n"/>
      <c r="O235" s="41" t="n"/>
      <c r="P235" s="27">
        <f>IF($B235="","",IFERROR(TRIM(LEFT($B235,FIND(" - ",$B235)-1)),"Others"))</f>
        <v/>
      </c>
      <c r="Q235" s="39">
        <f>IF($A235="","",SUM($F235:$H235))</f>
        <v/>
      </c>
      <c r="R235" s="39">
        <f>IF($A235="","",SUM($I235:$K235))</f>
        <v/>
      </c>
      <c r="S235" s="39">
        <f>IF($A235="","",($L235+$R235)-$Q235)</f>
        <v/>
      </c>
      <c r="T235" s="31">
        <f>IF(OR($A235="",$Q235=0),"",$S235/$Q235)</f>
        <v/>
      </c>
      <c r="U235" s="27">
        <f>IF($A235="","",IF($L235&gt;0,"Live","Exited"))</f>
        <v/>
      </c>
      <c r="V235" s="40">
        <f>IF($A235="","",IF($A235='Client Report'!$C$4,COUNTIFS($A$6:$A235,'Client Report'!$C$4),""))</f>
        <v/>
      </c>
    </row>
    <row r="236">
      <c r="A236" s="11" t="n"/>
      <c r="B236" s="11" t="n"/>
      <c r="C236" s="11" t="n"/>
      <c r="D236" s="11" t="n"/>
      <c r="E236" s="12" t="n"/>
      <c r="F236" s="34" t="n"/>
      <c r="G236" s="34" t="n"/>
      <c r="H236" s="34" t="n"/>
      <c r="I236" s="34" t="n"/>
      <c r="J236" s="34" t="n"/>
      <c r="K236" s="34" t="n"/>
      <c r="L236" s="34" t="n"/>
      <c r="M236" s="36" t="n"/>
      <c r="N236" s="36" t="n"/>
      <c r="O236" s="41" t="n"/>
      <c r="P236" s="27">
        <f>IF($B236="","",IFERROR(TRIM(LEFT($B236,FIND(" - ",$B236)-1)),"Others"))</f>
        <v/>
      </c>
      <c r="Q236" s="39">
        <f>IF($A236="","",SUM($F236:$H236))</f>
        <v/>
      </c>
      <c r="R236" s="39">
        <f>IF($A236="","",SUM($I236:$K236))</f>
        <v/>
      </c>
      <c r="S236" s="39">
        <f>IF($A236="","",($L236+$R236)-$Q236)</f>
        <v/>
      </c>
      <c r="T236" s="31">
        <f>IF(OR($A236="",$Q236=0),"",$S236/$Q236)</f>
        <v/>
      </c>
      <c r="U236" s="27">
        <f>IF($A236="","",IF($L236&gt;0,"Live","Exited"))</f>
        <v/>
      </c>
      <c r="V236" s="40">
        <f>IF($A236="","",IF($A236='Client Report'!$C$4,COUNTIFS($A$6:$A236,'Client Report'!$C$4),""))</f>
        <v/>
      </c>
    </row>
    <row r="237">
      <c r="A237" s="11" t="n"/>
      <c r="B237" s="11" t="n"/>
      <c r="C237" s="11" t="n"/>
      <c r="D237" s="11" t="n"/>
      <c r="E237" s="12" t="n"/>
      <c r="F237" s="34" t="n"/>
      <c r="G237" s="34" t="n"/>
      <c r="H237" s="34" t="n"/>
      <c r="I237" s="34" t="n"/>
      <c r="J237" s="34" t="n"/>
      <c r="K237" s="34" t="n"/>
      <c r="L237" s="34" t="n"/>
      <c r="M237" s="36" t="n"/>
      <c r="N237" s="36" t="n"/>
      <c r="O237" s="41" t="n"/>
      <c r="P237" s="27">
        <f>IF($B237="","",IFERROR(TRIM(LEFT($B237,FIND(" - ",$B237)-1)),"Others"))</f>
        <v/>
      </c>
      <c r="Q237" s="39">
        <f>IF($A237="","",SUM($F237:$H237))</f>
        <v/>
      </c>
      <c r="R237" s="39">
        <f>IF($A237="","",SUM($I237:$K237))</f>
        <v/>
      </c>
      <c r="S237" s="39">
        <f>IF($A237="","",($L237+$R237)-$Q237)</f>
        <v/>
      </c>
      <c r="T237" s="31">
        <f>IF(OR($A237="",$Q237=0),"",$S237/$Q237)</f>
        <v/>
      </c>
      <c r="U237" s="27">
        <f>IF($A237="","",IF($L237&gt;0,"Live","Exited"))</f>
        <v/>
      </c>
      <c r="V237" s="40">
        <f>IF($A237="","",IF($A237='Client Report'!$C$4,COUNTIFS($A$6:$A237,'Client Report'!$C$4),""))</f>
        <v/>
      </c>
    </row>
    <row r="238">
      <c r="A238" s="11" t="n"/>
      <c r="B238" s="11" t="n"/>
      <c r="C238" s="11" t="n"/>
      <c r="D238" s="11" t="n"/>
      <c r="E238" s="12" t="n"/>
      <c r="F238" s="34" t="n"/>
      <c r="G238" s="34" t="n"/>
      <c r="H238" s="34" t="n"/>
      <c r="I238" s="34" t="n"/>
      <c r="J238" s="34" t="n"/>
      <c r="K238" s="34" t="n"/>
      <c r="L238" s="34" t="n"/>
      <c r="M238" s="36" t="n"/>
      <c r="N238" s="36" t="n"/>
      <c r="O238" s="41" t="n"/>
      <c r="P238" s="27">
        <f>IF($B238="","",IFERROR(TRIM(LEFT($B238,FIND(" - ",$B238)-1)),"Others"))</f>
        <v/>
      </c>
      <c r="Q238" s="39">
        <f>IF($A238="","",SUM($F238:$H238))</f>
        <v/>
      </c>
      <c r="R238" s="39">
        <f>IF($A238="","",SUM($I238:$K238))</f>
        <v/>
      </c>
      <c r="S238" s="39">
        <f>IF($A238="","",($L238+$R238)-$Q238)</f>
        <v/>
      </c>
      <c r="T238" s="31">
        <f>IF(OR($A238="",$Q238=0),"",$S238/$Q238)</f>
        <v/>
      </c>
      <c r="U238" s="27">
        <f>IF($A238="","",IF($L238&gt;0,"Live","Exited"))</f>
        <v/>
      </c>
      <c r="V238" s="40">
        <f>IF($A238="","",IF($A238='Client Report'!$C$4,COUNTIFS($A$6:$A238,'Client Report'!$C$4),""))</f>
        <v/>
      </c>
    </row>
    <row r="239">
      <c r="A239" s="11" t="n"/>
      <c r="B239" s="11" t="n"/>
      <c r="C239" s="11" t="n"/>
      <c r="D239" s="11" t="n"/>
      <c r="E239" s="12" t="n"/>
      <c r="F239" s="34" t="n"/>
      <c r="G239" s="34" t="n"/>
      <c r="H239" s="34" t="n"/>
      <c r="I239" s="34" t="n"/>
      <c r="J239" s="34" t="n"/>
      <c r="K239" s="34" t="n"/>
      <c r="L239" s="34" t="n"/>
      <c r="M239" s="36" t="n"/>
      <c r="N239" s="36" t="n"/>
      <c r="O239" s="41" t="n"/>
      <c r="P239" s="27">
        <f>IF($B239="","",IFERROR(TRIM(LEFT($B239,FIND(" - ",$B239)-1)),"Others"))</f>
        <v/>
      </c>
      <c r="Q239" s="39">
        <f>IF($A239="","",SUM($F239:$H239))</f>
        <v/>
      </c>
      <c r="R239" s="39">
        <f>IF($A239="","",SUM($I239:$K239))</f>
        <v/>
      </c>
      <c r="S239" s="39">
        <f>IF($A239="","",($L239+$R239)-$Q239)</f>
        <v/>
      </c>
      <c r="T239" s="31">
        <f>IF(OR($A239="",$Q239=0),"",$S239/$Q239)</f>
        <v/>
      </c>
      <c r="U239" s="27">
        <f>IF($A239="","",IF($L239&gt;0,"Live","Exited"))</f>
        <v/>
      </c>
      <c r="V239" s="40">
        <f>IF($A239="","",IF($A239='Client Report'!$C$4,COUNTIFS($A$6:$A239,'Client Report'!$C$4),""))</f>
        <v/>
      </c>
    </row>
    <row r="240">
      <c r="A240" s="11" t="n"/>
      <c r="B240" s="11" t="n"/>
      <c r="C240" s="11" t="n"/>
      <c r="D240" s="11" t="n"/>
      <c r="E240" s="12" t="n"/>
      <c r="F240" s="34" t="n"/>
      <c r="G240" s="34" t="n"/>
      <c r="H240" s="34" t="n"/>
      <c r="I240" s="34" t="n"/>
      <c r="J240" s="34" t="n"/>
      <c r="K240" s="34" t="n"/>
      <c r="L240" s="34" t="n"/>
      <c r="M240" s="36" t="n"/>
      <c r="N240" s="36" t="n"/>
      <c r="O240" s="41" t="n"/>
      <c r="P240" s="27">
        <f>IF($B240="","",IFERROR(TRIM(LEFT($B240,FIND(" - ",$B240)-1)),"Others"))</f>
        <v/>
      </c>
      <c r="Q240" s="39">
        <f>IF($A240="","",SUM($F240:$H240))</f>
        <v/>
      </c>
      <c r="R240" s="39">
        <f>IF($A240="","",SUM($I240:$K240))</f>
        <v/>
      </c>
      <c r="S240" s="39">
        <f>IF($A240="","",($L240+$R240)-$Q240)</f>
        <v/>
      </c>
      <c r="T240" s="31">
        <f>IF(OR($A240="",$Q240=0),"",$S240/$Q240)</f>
        <v/>
      </c>
      <c r="U240" s="27">
        <f>IF($A240="","",IF($L240&gt;0,"Live","Exited"))</f>
        <v/>
      </c>
      <c r="V240" s="40">
        <f>IF($A240="","",IF($A240='Client Report'!$C$4,COUNTIFS($A$6:$A240,'Client Report'!$C$4),""))</f>
        <v/>
      </c>
    </row>
    <row r="241">
      <c r="A241" s="11" t="n"/>
      <c r="B241" s="11" t="n"/>
      <c r="C241" s="11" t="n"/>
      <c r="D241" s="11" t="n"/>
      <c r="E241" s="12" t="n"/>
      <c r="F241" s="34" t="n"/>
      <c r="G241" s="34" t="n"/>
      <c r="H241" s="34" t="n"/>
      <c r="I241" s="34" t="n"/>
      <c r="J241" s="34" t="n"/>
      <c r="K241" s="34" t="n"/>
      <c r="L241" s="34" t="n"/>
      <c r="M241" s="36" t="n"/>
      <c r="N241" s="36" t="n"/>
      <c r="O241" s="41" t="n"/>
      <c r="P241" s="27">
        <f>IF($B241="","",IFERROR(TRIM(LEFT($B241,FIND(" - ",$B241)-1)),"Others"))</f>
        <v/>
      </c>
      <c r="Q241" s="39">
        <f>IF($A241="","",SUM($F241:$H241))</f>
        <v/>
      </c>
      <c r="R241" s="39">
        <f>IF($A241="","",SUM($I241:$K241))</f>
        <v/>
      </c>
      <c r="S241" s="39">
        <f>IF($A241="","",($L241+$R241)-$Q241)</f>
        <v/>
      </c>
      <c r="T241" s="31">
        <f>IF(OR($A241="",$Q241=0),"",$S241/$Q241)</f>
        <v/>
      </c>
      <c r="U241" s="27">
        <f>IF($A241="","",IF($L241&gt;0,"Live","Exited"))</f>
        <v/>
      </c>
      <c r="V241" s="40">
        <f>IF($A241="","",IF($A241='Client Report'!$C$4,COUNTIFS($A$6:$A241,'Client Report'!$C$4),""))</f>
        <v/>
      </c>
    </row>
    <row r="242">
      <c r="A242" s="11" t="n"/>
      <c r="B242" s="11" t="n"/>
      <c r="C242" s="11" t="n"/>
      <c r="D242" s="11" t="n"/>
      <c r="E242" s="12" t="n"/>
      <c r="F242" s="34" t="n"/>
      <c r="G242" s="34" t="n"/>
      <c r="H242" s="34" t="n"/>
      <c r="I242" s="34" t="n"/>
      <c r="J242" s="34" t="n"/>
      <c r="K242" s="34" t="n"/>
      <c r="L242" s="34" t="n"/>
      <c r="M242" s="36" t="n"/>
      <c r="N242" s="36" t="n"/>
      <c r="O242" s="41" t="n"/>
      <c r="P242" s="27">
        <f>IF($B242="","",IFERROR(TRIM(LEFT($B242,FIND(" - ",$B242)-1)),"Others"))</f>
        <v/>
      </c>
      <c r="Q242" s="39">
        <f>IF($A242="","",SUM($F242:$H242))</f>
        <v/>
      </c>
      <c r="R242" s="39">
        <f>IF($A242="","",SUM($I242:$K242))</f>
        <v/>
      </c>
      <c r="S242" s="39">
        <f>IF($A242="","",($L242+$R242)-$Q242)</f>
        <v/>
      </c>
      <c r="T242" s="31">
        <f>IF(OR($A242="",$Q242=0),"",$S242/$Q242)</f>
        <v/>
      </c>
      <c r="U242" s="27">
        <f>IF($A242="","",IF($L242&gt;0,"Live","Exited"))</f>
        <v/>
      </c>
      <c r="V242" s="40">
        <f>IF($A242="","",IF($A242='Client Report'!$C$4,COUNTIFS($A$6:$A242,'Client Report'!$C$4),""))</f>
        <v/>
      </c>
    </row>
    <row r="243">
      <c r="A243" s="11" t="n"/>
      <c r="B243" s="11" t="n"/>
      <c r="C243" s="11" t="n"/>
      <c r="D243" s="11" t="n"/>
      <c r="E243" s="12" t="n"/>
      <c r="F243" s="34" t="n"/>
      <c r="G243" s="34" t="n"/>
      <c r="H243" s="34" t="n"/>
      <c r="I243" s="34" t="n"/>
      <c r="J243" s="34" t="n"/>
      <c r="K243" s="34" t="n"/>
      <c r="L243" s="34" t="n"/>
      <c r="M243" s="36" t="n"/>
      <c r="N243" s="36" t="n"/>
      <c r="O243" s="41" t="n"/>
      <c r="P243" s="27">
        <f>IF($B243="","",IFERROR(TRIM(LEFT($B243,FIND(" - ",$B243)-1)),"Others"))</f>
        <v/>
      </c>
      <c r="Q243" s="39">
        <f>IF($A243="","",SUM($F243:$H243))</f>
        <v/>
      </c>
      <c r="R243" s="39">
        <f>IF($A243="","",SUM($I243:$K243))</f>
        <v/>
      </c>
      <c r="S243" s="39">
        <f>IF($A243="","",($L243+$R243)-$Q243)</f>
        <v/>
      </c>
      <c r="T243" s="31">
        <f>IF(OR($A243="",$Q243=0),"",$S243/$Q243)</f>
        <v/>
      </c>
      <c r="U243" s="27">
        <f>IF($A243="","",IF($L243&gt;0,"Live","Exited"))</f>
        <v/>
      </c>
      <c r="V243" s="40">
        <f>IF($A243="","",IF($A243='Client Report'!$C$4,COUNTIFS($A$6:$A243,'Client Report'!$C$4),""))</f>
        <v/>
      </c>
    </row>
    <row r="244">
      <c r="A244" s="11" t="n"/>
      <c r="B244" s="11" t="n"/>
      <c r="C244" s="11" t="n"/>
      <c r="D244" s="11" t="n"/>
      <c r="E244" s="12" t="n"/>
      <c r="F244" s="34" t="n"/>
      <c r="G244" s="34" t="n"/>
      <c r="H244" s="34" t="n"/>
      <c r="I244" s="34" t="n"/>
      <c r="J244" s="34" t="n"/>
      <c r="K244" s="34" t="n"/>
      <c r="L244" s="34" t="n"/>
      <c r="M244" s="36" t="n"/>
      <c r="N244" s="36" t="n"/>
      <c r="O244" s="41" t="n"/>
      <c r="P244" s="27">
        <f>IF($B244="","",IFERROR(TRIM(LEFT($B244,FIND(" - ",$B244)-1)),"Others"))</f>
        <v/>
      </c>
      <c r="Q244" s="39">
        <f>IF($A244="","",SUM($F244:$H244))</f>
        <v/>
      </c>
      <c r="R244" s="39">
        <f>IF($A244="","",SUM($I244:$K244))</f>
        <v/>
      </c>
      <c r="S244" s="39">
        <f>IF($A244="","",($L244+$R244)-$Q244)</f>
        <v/>
      </c>
      <c r="T244" s="31">
        <f>IF(OR($A244="",$Q244=0),"",$S244/$Q244)</f>
        <v/>
      </c>
      <c r="U244" s="27">
        <f>IF($A244="","",IF($L244&gt;0,"Live","Exited"))</f>
        <v/>
      </c>
      <c r="V244" s="40">
        <f>IF($A244="","",IF($A244='Client Report'!$C$4,COUNTIFS($A$6:$A244,'Client Report'!$C$4),""))</f>
        <v/>
      </c>
    </row>
    <row r="245">
      <c r="A245" s="11" t="n"/>
      <c r="B245" s="11" t="n"/>
      <c r="C245" s="11" t="n"/>
      <c r="D245" s="11" t="n"/>
      <c r="E245" s="12" t="n"/>
      <c r="F245" s="34" t="n"/>
      <c r="G245" s="34" t="n"/>
      <c r="H245" s="34" t="n"/>
      <c r="I245" s="34" t="n"/>
      <c r="J245" s="34" t="n"/>
      <c r="K245" s="34" t="n"/>
      <c r="L245" s="34" t="n"/>
      <c r="M245" s="36" t="n"/>
      <c r="N245" s="36" t="n"/>
      <c r="O245" s="41" t="n"/>
      <c r="P245" s="27">
        <f>IF($B245="","",IFERROR(TRIM(LEFT($B245,FIND(" - ",$B245)-1)),"Others"))</f>
        <v/>
      </c>
      <c r="Q245" s="39">
        <f>IF($A245="","",SUM($F245:$H245))</f>
        <v/>
      </c>
      <c r="R245" s="39">
        <f>IF($A245="","",SUM($I245:$K245))</f>
        <v/>
      </c>
      <c r="S245" s="39">
        <f>IF($A245="","",($L245+$R245)-$Q245)</f>
        <v/>
      </c>
      <c r="T245" s="31">
        <f>IF(OR($A245="",$Q245=0),"",$S245/$Q245)</f>
        <v/>
      </c>
      <c r="U245" s="27">
        <f>IF($A245="","",IF($L245&gt;0,"Live","Exited"))</f>
        <v/>
      </c>
      <c r="V245" s="40">
        <f>IF($A245="","",IF($A245='Client Report'!$C$4,COUNTIFS($A$6:$A245,'Client Report'!$C$4),""))</f>
        <v/>
      </c>
    </row>
    <row r="246">
      <c r="A246" s="11" t="n"/>
      <c r="B246" s="11" t="n"/>
      <c r="C246" s="11" t="n"/>
      <c r="D246" s="11" t="n"/>
      <c r="E246" s="12" t="n"/>
      <c r="F246" s="34" t="n"/>
      <c r="G246" s="34" t="n"/>
      <c r="H246" s="34" t="n"/>
      <c r="I246" s="34" t="n"/>
      <c r="J246" s="34" t="n"/>
      <c r="K246" s="34" t="n"/>
      <c r="L246" s="34" t="n"/>
      <c r="M246" s="36" t="n"/>
      <c r="N246" s="36" t="n"/>
      <c r="O246" s="41" t="n"/>
      <c r="P246" s="27">
        <f>IF($B246="","",IFERROR(TRIM(LEFT($B246,FIND(" - ",$B246)-1)),"Others"))</f>
        <v/>
      </c>
      <c r="Q246" s="39">
        <f>IF($A246="","",SUM($F246:$H246))</f>
        <v/>
      </c>
      <c r="R246" s="39">
        <f>IF($A246="","",SUM($I246:$K246))</f>
        <v/>
      </c>
      <c r="S246" s="39">
        <f>IF($A246="","",($L246+$R246)-$Q246)</f>
        <v/>
      </c>
      <c r="T246" s="31">
        <f>IF(OR($A246="",$Q246=0),"",$S246/$Q246)</f>
        <v/>
      </c>
      <c r="U246" s="27">
        <f>IF($A246="","",IF($L246&gt;0,"Live","Exited"))</f>
        <v/>
      </c>
      <c r="V246" s="40">
        <f>IF($A246="","",IF($A246='Client Report'!$C$4,COUNTIFS($A$6:$A246,'Client Report'!$C$4),""))</f>
        <v/>
      </c>
    </row>
    <row r="247">
      <c r="A247" s="11" t="n"/>
      <c r="B247" s="11" t="n"/>
      <c r="C247" s="11" t="n"/>
      <c r="D247" s="11" t="n"/>
      <c r="E247" s="12" t="n"/>
      <c r="F247" s="34" t="n"/>
      <c r="G247" s="34" t="n"/>
      <c r="H247" s="34" t="n"/>
      <c r="I247" s="34" t="n"/>
      <c r="J247" s="34" t="n"/>
      <c r="K247" s="34" t="n"/>
      <c r="L247" s="34" t="n"/>
      <c r="M247" s="36" t="n"/>
      <c r="N247" s="36" t="n"/>
      <c r="O247" s="41" t="n"/>
      <c r="P247" s="27">
        <f>IF($B247="","",IFERROR(TRIM(LEFT($B247,FIND(" - ",$B247)-1)),"Others"))</f>
        <v/>
      </c>
      <c r="Q247" s="39">
        <f>IF($A247="","",SUM($F247:$H247))</f>
        <v/>
      </c>
      <c r="R247" s="39">
        <f>IF($A247="","",SUM($I247:$K247))</f>
        <v/>
      </c>
      <c r="S247" s="39">
        <f>IF($A247="","",($L247+$R247)-$Q247)</f>
        <v/>
      </c>
      <c r="T247" s="31">
        <f>IF(OR($A247="",$Q247=0),"",$S247/$Q247)</f>
        <v/>
      </c>
      <c r="U247" s="27">
        <f>IF($A247="","",IF($L247&gt;0,"Live","Exited"))</f>
        <v/>
      </c>
      <c r="V247" s="40">
        <f>IF($A247="","",IF($A247='Client Report'!$C$4,COUNTIFS($A$6:$A247,'Client Report'!$C$4),""))</f>
        <v/>
      </c>
    </row>
    <row r="248">
      <c r="A248" s="11" t="n"/>
      <c r="B248" s="11" t="n"/>
      <c r="C248" s="11" t="n"/>
      <c r="D248" s="11" t="n"/>
      <c r="E248" s="12" t="n"/>
      <c r="F248" s="34" t="n"/>
      <c r="G248" s="34" t="n"/>
      <c r="H248" s="34" t="n"/>
      <c r="I248" s="34" t="n"/>
      <c r="J248" s="34" t="n"/>
      <c r="K248" s="34" t="n"/>
      <c r="L248" s="34" t="n"/>
      <c r="M248" s="36" t="n"/>
      <c r="N248" s="36" t="n"/>
      <c r="O248" s="41" t="n"/>
      <c r="P248" s="27">
        <f>IF($B248="","",IFERROR(TRIM(LEFT($B248,FIND(" - ",$B248)-1)),"Others"))</f>
        <v/>
      </c>
      <c r="Q248" s="39">
        <f>IF($A248="","",SUM($F248:$H248))</f>
        <v/>
      </c>
      <c r="R248" s="39">
        <f>IF($A248="","",SUM($I248:$K248))</f>
        <v/>
      </c>
      <c r="S248" s="39">
        <f>IF($A248="","",($L248+$R248)-$Q248)</f>
        <v/>
      </c>
      <c r="T248" s="31">
        <f>IF(OR($A248="",$Q248=0),"",$S248/$Q248)</f>
        <v/>
      </c>
      <c r="U248" s="27">
        <f>IF($A248="","",IF($L248&gt;0,"Live","Exited"))</f>
        <v/>
      </c>
      <c r="V248" s="40">
        <f>IF($A248="","",IF($A248='Client Report'!$C$4,COUNTIFS($A$6:$A248,'Client Report'!$C$4),""))</f>
        <v/>
      </c>
    </row>
    <row r="249">
      <c r="A249" s="11" t="n"/>
      <c r="B249" s="11" t="n"/>
      <c r="C249" s="11" t="n"/>
      <c r="D249" s="11" t="n"/>
      <c r="E249" s="12" t="n"/>
      <c r="F249" s="34" t="n"/>
      <c r="G249" s="34" t="n"/>
      <c r="H249" s="34" t="n"/>
      <c r="I249" s="34" t="n"/>
      <c r="J249" s="34" t="n"/>
      <c r="K249" s="34" t="n"/>
      <c r="L249" s="34" t="n"/>
      <c r="M249" s="36" t="n"/>
      <c r="N249" s="36" t="n"/>
      <c r="O249" s="41" t="n"/>
      <c r="P249" s="27">
        <f>IF($B249="","",IFERROR(TRIM(LEFT($B249,FIND(" - ",$B249)-1)),"Others"))</f>
        <v/>
      </c>
      <c r="Q249" s="39">
        <f>IF($A249="","",SUM($F249:$H249))</f>
        <v/>
      </c>
      <c r="R249" s="39">
        <f>IF($A249="","",SUM($I249:$K249))</f>
        <v/>
      </c>
      <c r="S249" s="39">
        <f>IF($A249="","",($L249+$R249)-$Q249)</f>
        <v/>
      </c>
      <c r="T249" s="31">
        <f>IF(OR($A249="",$Q249=0),"",$S249/$Q249)</f>
        <v/>
      </c>
      <c r="U249" s="27">
        <f>IF($A249="","",IF($L249&gt;0,"Live","Exited"))</f>
        <v/>
      </c>
      <c r="V249" s="40">
        <f>IF($A249="","",IF($A249='Client Report'!$C$4,COUNTIFS($A$6:$A249,'Client Report'!$C$4),""))</f>
        <v/>
      </c>
    </row>
    <row r="250">
      <c r="A250" s="11" t="n"/>
      <c r="B250" s="11" t="n"/>
      <c r="C250" s="11" t="n"/>
      <c r="D250" s="11" t="n"/>
      <c r="E250" s="12" t="n"/>
      <c r="F250" s="34" t="n"/>
      <c r="G250" s="34" t="n"/>
      <c r="H250" s="34" t="n"/>
      <c r="I250" s="34" t="n"/>
      <c r="J250" s="34" t="n"/>
      <c r="K250" s="34" t="n"/>
      <c r="L250" s="34" t="n"/>
      <c r="M250" s="36" t="n"/>
      <c r="N250" s="36" t="n"/>
      <c r="O250" s="41" t="n"/>
      <c r="P250" s="27">
        <f>IF($B250="","",IFERROR(TRIM(LEFT($B250,FIND(" - ",$B250)-1)),"Others"))</f>
        <v/>
      </c>
      <c r="Q250" s="39">
        <f>IF($A250="","",SUM($F250:$H250))</f>
        <v/>
      </c>
      <c r="R250" s="39">
        <f>IF($A250="","",SUM($I250:$K250))</f>
        <v/>
      </c>
      <c r="S250" s="39">
        <f>IF($A250="","",($L250+$R250)-$Q250)</f>
        <v/>
      </c>
      <c r="T250" s="31">
        <f>IF(OR($A250="",$Q250=0),"",$S250/$Q250)</f>
        <v/>
      </c>
      <c r="U250" s="27">
        <f>IF($A250="","",IF($L250&gt;0,"Live","Exited"))</f>
        <v/>
      </c>
      <c r="V250" s="40">
        <f>IF($A250="","",IF($A250='Client Report'!$C$4,COUNTIFS($A$6:$A250,'Client Report'!$C$4),""))</f>
        <v/>
      </c>
    </row>
    <row r="251">
      <c r="A251" s="11" t="n"/>
      <c r="B251" s="11" t="n"/>
      <c r="C251" s="11" t="n"/>
      <c r="D251" s="11" t="n"/>
      <c r="E251" s="12" t="n"/>
      <c r="F251" s="34" t="n"/>
      <c r="G251" s="34" t="n"/>
      <c r="H251" s="34" t="n"/>
      <c r="I251" s="34" t="n"/>
      <c r="J251" s="34" t="n"/>
      <c r="K251" s="34" t="n"/>
      <c r="L251" s="34" t="n"/>
      <c r="M251" s="36" t="n"/>
      <c r="N251" s="36" t="n"/>
      <c r="O251" s="41" t="n"/>
      <c r="P251" s="27">
        <f>IF($B251="","",IFERROR(TRIM(LEFT($B251,FIND(" - ",$B251)-1)),"Others"))</f>
        <v/>
      </c>
      <c r="Q251" s="39">
        <f>IF($A251="","",SUM($F251:$H251))</f>
        <v/>
      </c>
      <c r="R251" s="39">
        <f>IF($A251="","",SUM($I251:$K251))</f>
        <v/>
      </c>
      <c r="S251" s="39">
        <f>IF($A251="","",($L251+$R251)-$Q251)</f>
        <v/>
      </c>
      <c r="T251" s="31">
        <f>IF(OR($A251="",$Q251=0),"",$S251/$Q251)</f>
        <v/>
      </c>
      <c r="U251" s="27">
        <f>IF($A251="","",IF($L251&gt;0,"Live","Exited"))</f>
        <v/>
      </c>
      <c r="V251" s="40">
        <f>IF($A251="","",IF($A251='Client Report'!$C$4,COUNTIFS($A$6:$A251,'Client Report'!$C$4),""))</f>
        <v/>
      </c>
    </row>
    <row r="252">
      <c r="A252" s="11" t="n"/>
      <c r="B252" s="11" t="n"/>
      <c r="C252" s="11" t="n"/>
      <c r="D252" s="11" t="n"/>
      <c r="E252" s="12" t="n"/>
      <c r="F252" s="34" t="n"/>
      <c r="G252" s="34" t="n"/>
      <c r="H252" s="34" t="n"/>
      <c r="I252" s="34" t="n"/>
      <c r="J252" s="34" t="n"/>
      <c r="K252" s="34" t="n"/>
      <c r="L252" s="34" t="n"/>
      <c r="M252" s="36" t="n"/>
      <c r="N252" s="36" t="n"/>
      <c r="O252" s="41" t="n"/>
      <c r="P252" s="27">
        <f>IF($B252="","",IFERROR(TRIM(LEFT($B252,FIND(" - ",$B252)-1)),"Others"))</f>
        <v/>
      </c>
      <c r="Q252" s="39">
        <f>IF($A252="","",SUM($F252:$H252))</f>
        <v/>
      </c>
      <c r="R252" s="39">
        <f>IF($A252="","",SUM($I252:$K252))</f>
        <v/>
      </c>
      <c r="S252" s="39">
        <f>IF($A252="","",($L252+$R252)-$Q252)</f>
        <v/>
      </c>
      <c r="T252" s="31">
        <f>IF(OR($A252="",$Q252=0),"",$S252/$Q252)</f>
        <v/>
      </c>
      <c r="U252" s="27">
        <f>IF($A252="","",IF($L252&gt;0,"Live","Exited"))</f>
        <v/>
      </c>
      <c r="V252" s="40">
        <f>IF($A252="","",IF($A252='Client Report'!$C$4,COUNTIFS($A$6:$A252,'Client Report'!$C$4),""))</f>
        <v/>
      </c>
    </row>
    <row r="253">
      <c r="A253" s="11" t="n"/>
      <c r="B253" s="11" t="n"/>
      <c r="C253" s="11" t="n"/>
      <c r="D253" s="11" t="n"/>
      <c r="E253" s="12" t="n"/>
      <c r="F253" s="34" t="n"/>
      <c r="G253" s="34" t="n"/>
      <c r="H253" s="34" t="n"/>
      <c r="I253" s="34" t="n"/>
      <c r="J253" s="34" t="n"/>
      <c r="K253" s="34" t="n"/>
      <c r="L253" s="34" t="n"/>
      <c r="M253" s="36" t="n"/>
      <c r="N253" s="36" t="n"/>
      <c r="O253" s="41" t="n"/>
      <c r="P253" s="27">
        <f>IF($B253="","",IFERROR(TRIM(LEFT($B253,FIND(" - ",$B253)-1)),"Others"))</f>
        <v/>
      </c>
      <c r="Q253" s="39">
        <f>IF($A253="","",SUM($F253:$H253))</f>
        <v/>
      </c>
      <c r="R253" s="39">
        <f>IF($A253="","",SUM($I253:$K253))</f>
        <v/>
      </c>
      <c r="S253" s="39">
        <f>IF($A253="","",($L253+$R253)-$Q253)</f>
        <v/>
      </c>
      <c r="T253" s="31">
        <f>IF(OR($A253="",$Q253=0),"",$S253/$Q253)</f>
        <v/>
      </c>
      <c r="U253" s="27">
        <f>IF($A253="","",IF($L253&gt;0,"Live","Exited"))</f>
        <v/>
      </c>
      <c r="V253" s="40">
        <f>IF($A253="","",IF($A253='Client Report'!$C$4,COUNTIFS($A$6:$A253,'Client Report'!$C$4),""))</f>
        <v/>
      </c>
    </row>
    <row r="254">
      <c r="A254" s="11" t="n"/>
      <c r="B254" s="11" t="n"/>
      <c r="C254" s="11" t="n"/>
      <c r="D254" s="11" t="n"/>
      <c r="E254" s="12" t="n"/>
      <c r="F254" s="34" t="n"/>
      <c r="G254" s="34" t="n"/>
      <c r="H254" s="34" t="n"/>
      <c r="I254" s="34" t="n"/>
      <c r="J254" s="34" t="n"/>
      <c r="K254" s="34" t="n"/>
      <c r="L254" s="34" t="n"/>
      <c r="M254" s="36" t="n"/>
      <c r="N254" s="36" t="n"/>
      <c r="O254" s="41" t="n"/>
      <c r="P254" s="27">
        <f>IF($B254="","",IFERROR(TRIM(LEFT($B254,FIND(" - ",$B254)-1)),"Others"))</f>
        <v/>
      </c>
      <c r="Q254" s="39">
        <f>IF($A254="","",SUM($F254:$H254))</f>
        <v/>
      </c>
      <c r="R254" s="39">
        <f>IF($A254="","",SUM($I254:$K254))</f>
        <v/>
      </c>
      <c r="S254" s="39">
        <f>IF($A254="","",($L254+$R254)-$Q254)</f>
        <v/>
      </c>
      <c r="T254" s="31">
        <f>IF(OR($A254="",$Q254=0),"",$S254/$Q254)</f>
        <v/>
      </c>
      <c r="U254" s="27">
        <f>IF($A254="","",IF($L254&gt;0,"Live","Exited"))</f>
        <v/>
      </c>
      <c r="V254" s="40">
        <f>IF($A254="","",IF($A254='Client Report'!$C$4,COUNTIFS($A$6:$A254,'Client Report'!$C$4),""))</f>
        <v/>
      </c>
    </row>
    <row r="255">
      <c r="A255" s="11" t="n"/>
      <c r="B255" s="11" t="n"/>
      <c r="C255" s="11" t="n"/>
      <c r="D255" s="11" t="n"/>
      <c r="E255" s="12" t="n"/>
      <c r="F255" s="34" t="n"/>
      <c r="G255" s="34" t="n"/>
      <c r="H255" s="34" t="n"/>
      <c r="I255" s="34" t="n"/>
      <c r="J255" s="34" t="n"/>
      <c r="K255" s="34" t="n"/>
      <c r="L255" s="34" t="n"/>
      <c r="M255" s="36" t="n"/>
      <c r="N255" s="36" t="n"/>
      <c r="O255" s="41" t="n"/>
      <c r="P255" s="27">
        <f>IF($B255="","",IFERROR(TRIM(LEFT($B255,FIND(" - ",$B255)-1)),"Others"))</f>
        <v/>
      </c>
      <c r="Q255" s="39">
        <f>IF($A255="","",SUM($F255:$H255))</f>
        <v/>
      </c>
      <c r="R255" s="39">
        <f>IF($A255="","",SUM($I255:$K255))</f>
        <v/>
      </c>
      <c r="S255" s="39">
        <f>IF($A255="","",($L255+$R255)-$Q255)</f>
        <v/>
      </c>
      <c r="T255" s="31">
        <f>IF(OR($A255="",$Q255=0),"",$S255/$Q255)</f>
        <v/>
      </c>
      <c r="U255" s="27">
        <f>IF($A255="","",IF($L255&gt;0,"Live","Exited"))</f>
        <v/>
      </c>
      <c r="V255" s="40">
        <f>IF($A255="","",IF($A255='Client Report'!$C$4,COUNTIFS($A$6:$A255,'Client Report'!$C$4),""))</f>
        <v/>
      </c>
    </row>
    <row r="256">
      <c r="A256" s="11" t="n"/>
      <c r="B256" s="11" t="n"/>
      <c r="C256" s="11" t="n"/>
      <c r="D256" s="11" t="n"/>
      <c r="E256" s="12" t="n"/>
      <c r="F256" s="34" t="n"/>
      <c r="G256" s="34" t="n"/>
      <c r="H256" s="34" t="n"/>
      <c r="I256" s="34" t="n"/>
      <c r="J256" s="34" t="n"/>
      <c r="K256" s="34" t="n"/>
      <c r="L256" s="34" t="n"/>
      <c r="M256" s="36" t="n"/>
      <c r="N256" s="36" t="n"/>
      <c r="O256" s="41" t="n"/>
      <c r="P256" s="27">
        <f>IF($B256="","",IFERROR(TRIM(LEFT($B256,FIND(" - ",$B256)-1)),"Others"))</f>
        <v/>
      </c>
      <c r="Q256" s="39">
        <f>IF($A256="","",SUM($F256:$H256))</f>
        <v/>
      </c>
      <c r="R256" s="39">
        <f>IF($A256="","",SUM($I256:$K256))</f>
        <v/>
      </c>
      <c r="S256" s="39">
        <f>IF($A256="","",($L256+$R256)-$Q256)</f>
        <v/>
      </c>
      <c r="T256" s="31">
        <f>IF(OR($A256="",$Q256=0),"",$S256/$Q256)</f>
        <v/>
      </c>
      <c r="U256" s="27">
        <f>IF($A256="","",IF($L256&gt;0,"Live","Exited"))</f>
        <v/>
      </c>
      <c r="V256" s="40">
        <f>IF($A256="","",IF($A256='Client Report'!$C$4,COUNTIFS($A$6:$A256,'Client Report'!$C$4),""))</f>
        <v/>
      </c>
    </row>
    <row r="257">
      <c r="A257" s="11" t="n"/>
      <c r="B257" s="11" t="n"/>
      <c r="C257" s="11" t="n"/>
      <c r="D257" s="11" t="n"/>
      <c r="E257" s="12" t="n"/>
      <c r="F257" s="34" t="n"/>
      <c r="G257" s="34" t="n"/>
      <c r="H257" s="34" t="n"/>
      <c r="I257" s="34" t="n"/>
      <c r="J257" s="34" t="n"/>
      <c r="K257" s="34" t="n"/>
      <c r="L257" s="34" t="n"/>
      <c r="M257" s="36" t="n"/>
      <c r="N257" s="36" t="n"/>
      <c r="O257" s="41" t="n"/>
      <c r="P257" s="27">
        <f>IF($B257="","",IFERROR(TRIM(LEFT($B257,FIND(" - ",$B257)-1)),"Others"))</f>
        <v/>
      </c>
      <c r="Q257" s="39">
        <f>IF($A257="","",SUM($F257:$H257))</f>
        <v/>
      </c>
      <c r="R257" s="39">
        <f>IF($A257="","",SUM($I257:$K257))</f>
        <v/>
      </c>
      <c r="S257" s="39">
        <f>IF($A257="","",($L257+$R257)-$Q257)</f>
        <v/>
      </c>
      <c r="T257" s="31">
        <f>IF(OR($A257="",$Q257=0),"",$S257/$Q257)</f>
        <v/>
      </c>
      <c r="U257" s="27">
        <f>IF($A257="","",IF($L257&gt;0,"Live","Exited"))</f>
        <v/>
      </c>
      <c r="V257" s="40">
        <f>IF($A257="","",IF($A257='Client Report'!$C$4,COUNTIFS($A$6:$A257,'Client Report'!$C$4),""))</f>
        <v/>
      </c>
    </row>
    <row r="258">
      <c r="A258" s="11" t="n"/>
      <c r="B258" s="11" t="n"/>
      <c r="C258" s="11" t="n"/>
      <c r="D258" s="11" t="n"/>
      <c r="E258" s="12" t="n"/>
      <c r="F258" s="34" t="n"/>
      <c r="G258" s="34" t="n"/>
      <c r="H258" s="34" t="n"/>
      <c r="I258" s="34" t="n"/>
      <c r="J258" s="34" t="n"/>
      <c r="K258" s="34" t="n"/>
      <c r="L258" s="34" t="n"/>
      <c r="M258" s="36" t="n"/>
      <c r="N258" s="36" t="n"/>
      <c r="O258" s="41" t="n"/>
      <c r="P258" s="27">
        <f>IF($B258="","",IFERROR(TRIM(LEFT($B258,FIND(" - ",$B258)-1)),"Others"))</f>
        <v/>
      </c>
      <c r="Q258" s="39">
        <f>IF($A258="","",SUM($F258:$H258))</f>
        <v/>
      </c>
      <c r="R258" s="39">
        <f>IF($A258="","",SUM($I258:$K258))</f>
        <v/>
      </c>
      <c r="S258" s="39">
        <f>IF($A258="","",($L258+$R258)-$Q258)</f>
        <v/>
      </c>
      <c r="T258" s="31">
        <f>IF(OR($A258="",$Q258=0),"",$S258/$Q258)</f>
        <v/>
      </c>
      <c r="U258" s="27">
        <f>IF($A258="","",IF($L258&gt;0,"Live","Exited"))</f>
        <v/>
      </c>
      <c r="V258" s="40">
        <f>IF($A258="","",IF($A258='Client Report'!$C$4,COUNTIFS($A$6:$A258,'Client Report'!$C$4),""))</f>
        <v/>
      </c>
    </row>
    <row r="259">
      <c r="A259" s="11" t="n"/>
      <c r="B259" s="11" t="n"/>
      <c r="C259" s="11" t="n"/>
      <c r="D259" s="11" t="n"/>
      <c r="E259" s="12" t="n"/>
      <c r="F259" s="34" t="n"/>
      <c r="G259" s="34" t="n"/>
      <c r="H259" s="34" t="n"/>
      <c r="I259" s="34" t="n"/>
      <c r="J259" s="34" t="n"/>
      <c r="K259" s="34" t="n"/>
      <c r="L259" s="34" t="n"/>
      <c r="M259" s="36" t="n"/>
      <c r="N259" s="36" t="n"/>
      <c r="O259" s="41" t="n"/>
      <c r="P259" s="27">
        <f>IF($B259="","",IFERROR(TRIM(LEFT($B259,FIND(" - ",$B259)-1)),"Others"))</f>
        <v/>
      </c>
      <c r="Q259" s="39">
        <f>IF($A259="","",SUM($F259:$H259))</f>
        <v/>
      </c>
      <c r="R259" s="39">
        <f>IF($A259="","",SUM($I259:$K259))</f>
        <v/>
      </c>
      <c r="S259" s="39">
        <f>IF($A259="","",($L259+$R259)-$Q259)</f>
        <v/>
      </c>
      <c r="T259" s="31">
        <f>IF(OR($A259="",$Q259=0),"",$S259/$Q259)</f>
        <v/>
      </c>
      <c r="U259" s="27">
        <f>IF($A259="","",IF($L259&gt;0,"Live","Exited"))</f>
        <v/>
      </c>
      <c r="V259" s="40">
        <f>IF($A259="","",IF($A259='Client Report'!$C$4,COUNTIFS($A$6:$A259,'Client Report'!$C$4),""))</f>
        <v/>
      </c>
    </row>
    <row r="260">
      <c r="A260" s="11" t="n"/>
      <c r="B260" s="11" t="n"/>
      <c r="C260" s="11" t="n"/>
      <c r="D260" s="11" t="n"/>
      <c r="E260" s="12" t="n"/>
      <c r="F260" s="34" t="n"/>
      <c r="G260" s="34" t="n"/>
      <c r="H260" s="34" t="n"/>
      <c r="I260" s="34" t="n"/>
      <c r="J260" s="34" t="n"/>
      <c r="K260" s="34" t="n"/>
      <c r="L260" s="34" t="n"/>
      <c r="M260" s="36" t="n"/>
      <c r="N260" s="36" t="n"/>
      <c r="O260" s="41" t="n"/>
      <c r="P260" s="27">
        <f>IF($B260="","",IFERROR(TRIM(LEFT($B260,FIND(" - ",$B260)-1)),"Others"))</f>
        <v/>
      </c>
      <c r="Q260" s="39">
        <f>IF($A260="","",SUM($F260:$H260))</f>
        <v/>
      </c>
      <c r="R260" s="39">
        <f>IF($A260="","",SUM($I260:$K260))</f>
        <v/>
      </c>
      <c r="S260" s="39">
        <f>IF($A260="","",($L260+$R260)-$Q260)</f>
        <v/>
      </c>
      <c r="T260" s="31">
        <f>IF(OR($A260="",$Q260=0),"",$S260/$Q260)</f>
        <v/>
      </c>
      <c r="U260" s="27">
        <f>IF($A260="","",IF($L260&gt;0,"Live","Exited"))</f>
        <v/>
      </c>
      <c r="V260" s="40">
        <f>IF($A260="","",IF($A260='Client Report'!$C$4,COUNTIFS($A$6:$A260,'Client Report'!$C$4),""))</f>
        <v/>
      </c>
    </row>
    <row r="261">
      <c r="A261" s="11" t="n"/>
      <c r="B261" s="11" t="n"/>
      <c r="C261" s="11" t="n"/>
      <c r="D261" s="11" t="n"/>
      <c r="E261" s="12" t="n"/>
      <c r="F261" s="34" t="n"/>
      <c r="G261" s="34" t="n"/>
      <c r="H261" s="34" t="n"/>
      <c r="I261" s="34" t="n"/>
      <c r="J261" s="34" t="n"/>
      <c r="K261" s="34" t="n"/>
      <c r="L261" s="34" t="n"/>
      <c r="M261" s="36" t="n"/>
      <c r="N261" s="36" t="n"/>
      <c r="O261" s="41" t="n"/>
      <c r="P261" s="27">
        <f>IF($B261="","",IFERROR(TRIM(LEFT($B261,FIND(" - ",$B261)-1)),"Others"))</f>
        <v/>
      </c>
      <c r="Q261" s="39">
        <f>IF($A261="","",SUM($F261:$H261))</f>
        <v/>
      </c>
      <c r="R261" s="39">
        <f>IF($A261="","",SUM($I261:$K261))</f>
        <v/>
      </c>
      <c r="S261" s="39">
        <f>IF($A261="","",($L261+$R261)-$Q261)</f>
        <v/>
      </c>
      <c r="T261" s="31">
        <f>IF(OR($A261="",$Q261=0),"",$S261/$Q261)</f>
        <v/>
      </c>
      <c r="U261" s="27">
        <f>IF($A261="","",IF($L261&gt;0,"Live","Exited"))</f>
        <v/>
      </c>
      <c r="V261" s="40">
        <f>IF($A261="","",IF($A261='Client Report'!$C$4,COUNTIFS($A$6:$A261,'Client Report'!$C$4),""))</f>
        <v/>
      </c>
    </row>
    <row r="262">
      <c r="A262" s="11" t="n"/>
      <c r="B262" s="11" t="n"/>
      <c r="C262" s="11" t="n"/>
      <c r="D262" s="11" t="n"/>
      <c r="E262" s="12" t="n"/>
      <c r="F262" s="34" t="n"/>
      <c r="G262" s="34" t="n"/>
      <c r="H262" s="34" t="n"/>
      <c r="I262" s="34" t="n"/>
      <c r="J262" s="34" t="n"/>
      <c r="K262" s="34" t="n"/>
      <c r="L262" s="34" t="n"/>
      <c r="M262" s="36" t="n"/>
      <c r="N262" s="36" t="n"/>
      <c r="O262" s="41" t="n"/>
      <c r="P262" s="27">
        <f>IF($B262="","",IFERROR(TRIM(LEFT($B262,FIND(" - ",$B262)-1)),"Others"))</f>
        <v/>
      </c>
      <c r="Q262" s="39">
        <f>IF($A262="","",SUM($F262:$H262))</f>
        <v/>
      </c>
      <c r="R262" s="39">
        <f>IF($A262="","",SUM($I262:$K262))</f>
        <v/>
      </c>
      <c r="S262" s="39">
        <f>IF($A262="","",($L262+$R262)-$Q262)</f>
        <v/>
      </c>
      <c r="T262" s="31">
        <f>IF(OR($A262="",$Q262=0),"",$S262/$Q262)</f>
        <v/>
      </c>
      <c r="U262" s="27">
        <f>IF($A262="","",IF($L262&gt;0,"Live","Exited"))</f>
        <v/>
      </c>
      <c r="V262" s="40">
        <f>IF($A262="","",IF($A262='Client Report'!$C$4,COUNTIFS($A$6:$A262,'Client Report'!$C$4),""))</f>
        <v/>
      </c>
    </row>
    <row r="263">
      <c r="A263" s="11" t="n"/>
      <c r="B263" s="11" t="n"/>
      <c r="C263" s="11" t="n"/>
      <c r="D263" s="11" t="n"/>
      <c r="E263" s="12" t="n"/>
      <c r="F263" s="34" t="n"/>
      <c r="G263" s="34" t="n"/>
      <c r="H263" s="34" t="n"/>
      <c r="I263" s="34" t="n"/>
      <c r="J263" s="34" t="n"/>
      <c r="K263" s="34" t="n"/>
      <c r="L263" s="34" t="n"/>
      <c r="M263" s="36" t="n"/>
      <c r="N263" s="36" t="n"/>
      <c r="O263" s="41" t="n"/>
      <c r="P263" s="27">
        <f>IF($B263="","",IFERROR(TRIM(LEFT($B263,FIND(" - ",$B263)-1)),"Others"))</f>
        <v/>
      </c>
      <c r="Q263" s="39">
        <f>IF($A263="","",SUM($F263:$H263))</f>
        <v/>
      </c>
      <c r="R263" s="39">
        <f>IF($A263="","",SUM($I263:$K263))</f>
        <v/>
      </c>
      <c r="S263" s="39">
        <f>IF($A263="","",($L263+$R263)-$Q263)</f>
        <v/>
      </c>
      <c r="T263" s="31">
        <f>IF(OR($A263="",$Q263=0),"",$S263/$Q263)</f>
        <v/>
      </c>
      <c r="U263" s="27">
        <f>IF($A263="","",IF($L263&gt;0,"Live","Exited"))</f>
        <v/>
      </c>
      <c r="V263" s="40">
        <f>IF($A263="","",IF($A263='Client Report'!$C$4,COUNTIFS($A$6:$A263,'Client Report'!$C$4),""))</f>
        <v/>
      </c>
    </row>
    <row r="264">
      <c r="A264" s="11" t="n"/>
      <c r="B264" s="11" t="n"/>
      <c r="C264" s="11" t="n"/>
      <c r="D264" s="11" t="n"/>
      <c r="E264" s="12" t="n"/>
      <c r="F264" s="34" t="n"/>
      <c r="G264" s="34" t="n"/>
      <c r="H264" s="34" t="n"/>
      <c r="I264" s="34" t="n"/>
      <c r="J264" s="34" t="n"/>
      <c r="K264" s="34" t="n"/>
      <c r="L264" s="34" t="n"/>
      <c r="M264" s="36" t="n"/>
      <c r="N264" s="36" t="n"/>
      <c r="O264" s="41" t="n"/>
      <c r="P264" s="27">
        <f>IF($B264="","",IFERROR(TRIM(LEFT($B264,FIND(" - ",$B264)-1)),"Others"))</f>
        <v/>
      </c>
      <c r="Q264" s="39">
        <f>IF($A264="","",SUM($F264:$H264))</f>
        <v/>
      </c>
      <c r="R264" s="39">
        <f>IF($A264="","",SUM($I264:$K264))</f>
        <v/>
      </c>
      <c r="S264" s="39">
        <f>IF($A264="","",($L264+$R264)-$Q264)</f>
        <v/>
      </c>
      <c r="T264" s="31">
        <f>IF(OR($A264="",$Q264=0),"",$S264/$Q264)</f>
        <v/>
      </c>
      <c r="U264" s="27">
        <f>IF($A264="","",IF($L264&gt;0,"Live","Exited"))</f>
        <v/>
      </c>
      <c r="V264" s="40">
        <f>IF($A264="","",IF($A264='Client Report'!$C$4,COUNTIFS($A$6:$A264,'Client Report'!$C$4),""))</f>
        <v/>
      </c>
    </row>
    <row r="265">
      <c r="A265" s="11" t="n"/>
      <c r="B265" s="11" t="n"/>
      <c r="C265" s="11" t="n"/>
      <c r="D265" s="11" t="n"/>
      <c r="E265" s="12" t="n"/>
      <c r="F265" s="34" t="n"/>
      <c r="G265" s="34" t="n"/>
      <c r="H265" s="34" t="n"/>
      <c r="I265" s="34" t="n"/>
      <c r="J265" s="34" t="n"/>
      <c r="K265" s="34" t="n"/>
      <c r="L265" s="34" t="n"/>
      <c r="M265" s="36" t="n"/>
      <c r="N265" s="36" t="n"/>
      <c r="O265" s="41" t="n"/>
      <c r="P265" s="27">
        <f>IF($B265="","",IFERROR(TRIM(LEFT($B265,FIND(" - ",$B265)-1)),"Others"))</f>
        <v/>
      </c>
      <c r="Q265" s="39">
        <f>IF($A265="","",SUM($F265:$H265))</f>
        <v/>
      </c>
      <c r="R265" s="39">
        <f>IF($A265="","",SUM($I265:$K265))</f>
        <v/>
      </c>
      <c r="S265" s="39">
        <f>IF($A265="","",($L265+$R265)-$Q265)</f>
        <v/>
      </c>
      <c r="T265" s="31">
        <f>IF(OR($A265="",$Q265=0),"",$S265/$Q265)</f>
        <v/>
      </c>
      <c r="U265" s="27">
        <f>IF($A265="","",IF($L265&gt;0,"Live","Exited"))</f>
        <v/>
      </c>
      <c r="V265" s="40">
        <f>IF($A265="","",IF($A265='Client Report'!$C$4,COUNTIFS($A$6:$A265,'Client Report'!$C$4),""))</f>
        <v/>
      </c>
    </row>
    <row r="266">
      <c r="A266" s="11" t="n"/>
      <c r="B266" s="11" t="n"/>
      <c r="C266" s="11" t="n"/>
      <c r="D266" s="11" t="n"/>
      <c r="E266" s="12" t="n"/>
      <c r="F266" s="34" t="n"/>
      <c r="G266" s="34" t="n"/>
      <c r="H266" s="34" t="n"/>
      <c r="I266" s="34" t="n"/>
      <c r="J266" s="34" t="n"/>
      <c r="K266" s="34" t="n"/>
      <c r="L266" s="34" t="n"/>
      <c r="M266" s="36" t="n"/>
      <c r="N266" s="36" t="n"/>
      <c r="O266" s="41" t="n"/>
      <c r="P266" s="27">
        <f>IF($B266="","",IFERROR(TRIM(LEFT($B266,FIND(" - ",$B266)-1)),"Others"))</f>
        <v/>
      </c>
      <c r="Q266" s="39">
        <f>IF($A266="","",SUM($F266:$H266))</f>
        <v/>
      </c>
      <c r="R266" s="39">
        <f>IF($A266="","",SUM($I266:$K266))</f>
        <v/>
      </c>
      <c r="S266" s="39">
        <f>IF($A266="","",($L266+$R266)-$Q266)</f>
        <v/>
      </c>
      <c r="T266" s="31">
        <f>IF(OR($A266="",$Q266=0),"",$S266/$Q266)</f>
        <v/>
      </c>
      <c r="U266" s="27">
        <f>IF($A266="","",IF($L266&gt;0,"Live","Exited"))</f>
        <v/>
      </c>
      <c r="V266" s="40">
        <f>IF($A266="","",IF($A266='Client Report'!$C$4,COUNTIFS($A$6:$A266,'Client Report'!$C$4),""))</f>
        <v/>
      </c>
    </row>
    <row r="267">
      <c r="A267" s="11" t="n"/>
      <c r="B267" s="11" t="n"/>
      <c r="C267" s="11" t="n"/>
      <c r="D267" s="11" t="n"/>
      <c r="E267" s="12" t="n"/>
      <c r="F267" s="34" t="n"/>
      <c r="G267" s="34" t="n"/>
      <c r="H267" s="34" t="n"/>
      <c r="I267" s="34" t="n"/>
      <c r="J267" s="34" t="n"/>
      <c r="K267" s="34" t="n"/>
      <c r="L267" s="34" t="n"/>
      <c r="M267" s="36" t="n"/>
      <c r="N267" s="36" t="n"/>
      <c r="O267" s="41" t="n"/>
      <c r="P267" s="27">
        <f>IF($B267="","",IFERROR(TRIM(LEFT($B267,FIND(" - ",$B267)-1)),"Others"))</f>
        <v/>
      </c>
      <c r="Q267" s="39">
        <f>IF($A267="","",SUM($F267:$H267))</f>
        <v/>
      </c>
      <c r="R267" s="39">
        <f>IF($A267="","",SUM($I267:$K267))</f>
        <v/>
      </c>
      <c r="S267" s="39">
        <f>IF($A267="","",($L267+$R267)-$Q267)</f>
        <v/>
      </c>
      <c r="T267" s="31">
        <f>IF(OR($A267="",$Q267=0),"",$S267/$Q267)</f>
        <v/>
      </c>
      <c r="U267" s="27">
        <f>IF($A267="","",IF($L267&gt;0,"Live","Exited"))</f>
        <v/>
      </c>
      <c r="V267" s="40">
        <f>IF($A267="","",IF($A267='Client Report'!$C$4,COUNTIFS($A$6:$A267,'Client Report'!$C$4),""))</f>
        <v/>
      </c>
    </row>
    <row r="268">
      <c r="A268" s="11" t="n"/>
      <c r="B268" s="11" t="n"/>
      <c r="C268" s="11" t="n"/>
      <c r="D268" s="11" t="n"/>
      <c r="E268" s="12" t="n"/>
      <c r="F268" s="34" t="n"/>
      <c r="G268" s="34" t="n"/>
      <c r="H268" s="34" t="n"/>
      <c r="I268" s="34" t="n"/>
      <c r="J268" s="34" t="n"/>
      <c r="K268" s="34" t="n"/>
      <c r="L268" s="34" t="n"/>
      <c r="M268" s="36" t="n"/>
      <c r="N268" s="36" t="n"/>
      <c r="O268" s="41" t="n"/>
      <c r="P268" s="27">
        <f>IF($B268="","",IFERROR(TRIM(LEFT($B268,FIND(" - ",$B268)-1)),"Others"))</f>
        <v/>
      </c>
      <c r="Q268" s="39">
        <f>IF($A268="","",SUM($F268:$H268))</f>
        <v/>
      </c>
      <c r="R268" s="39">
        <f>IF($A268="","",SUM($I268:$K268))</f>
        <v/>
      </c>
      <c r="S268" s="39">
        <f>IF($A268="","",($L268+$R268)-$Q268)</f>
        <v/>
      </c>
      <c r="T268" s="31">
        <f>IF(OR($A268="",$Q268=0),"",$S268/$Q268)</f>
        <v/>
      </c>
      <c r="U268" s="27">
        <f>IF($A268="","",IF($L268&gt;0,"Live","Exited"))</f>
        <v/>
      </c>
      <c r="V268" s="40">
        <f>IF($A268="","",IF($A268='Client Report'!$C$4,COUNTIFS($A$6:$A268,'Client Report'!$C$4),""))</f>
        <v/>
      </c>
    </row>
    <row r="269">
      <c r="A269" s="11" t="n"/>
      <c r="B269" s="11" t="n"/>
      <c r="C269" s="11" t="n"/>
      <c r="D269" s="11" t="n"/>
      <c r="E269" s="12" t="n"/>
      <c r="F269" s="34" t="n"/>
      <c r="G269" s="34" t="n"/>
      <c r="H269" s="34" t="n"/>
      <c r="I269" s="34" t="n"/>
      <c r="J269" s="34" t="n"/>
      <c r="K269" s="34" t="n"/>
      <c r="L269" s="34" t="n"/>
      <c r="M269" s="36" t="n"/>
      <c r="N269" s="36" t="n"/>
      <c r="O269" s="41" t="n"/>
      <c r="P269" s="27">
        <f>IF($B269="","",IFERROR(TRIM(LEFT($B269,FIND(" - ",$B269)-1)),"Others"))</f>
        <v/>
      </c>
      <c r="Q269" s="39">
        <f>IF($A269="","",SUM($F269:$H269))</f>
        <v/>
      </c>
      <c r="R269" s="39">
        <f>IF($A269="","",SUM($I269:$K269))</f>
        <v/>
      </c>
      <c r="S269" s="39">
        <f>IF($A269="","",($L269+$R269)-$Q269)</f>
        <v/>
      </c>
      <c r="T269" s="31">
        <f>IF(OR($A269="",$Q269=0),"",$S269/$Q269)</f>
        <v/>
      </c>
      <c r="U269" s="27">
        <f>IF($A269="","",IF($L269&gt;0,"Live","Exited"))</f>
        <v/>
      </c>
      <c r="V269" s="40">
        <f>IF($A269="","",IF($A269='Client Report'!$C$4,COUNTIFS($A$6:$A269,'Client Report'!$C$4),""))</f>
        <v/>
      </c>
    </row>
    <row r="270">
      <c r="A270" s="11" t="n"/>
      <c r="B270" s="11" t="n"/>
      <c r="C270" s="11" t="n"/>
      <c r="D270" s="11" t="n"/>
      <c r="E270" s="12" t="n"/>
      <c r="F270" s="34" t="n"/>
      <c r="G270" s="34" t="n"/>
      <c r="H270" s="34" t="n"/>
      <c r="I270" s="34" t="n"/>
      <c r="J270" s="34" t="n"/>
      <c r="K270" s="34" t="n"/>
      <c r="L270" s="34" t="n"/>
      <c r="M270" s="36" t="n"/>
      <c r="N270" s="36" t="n"/>
      <c r="O270" s="41" t="n"/>
      <c r="P270" s="27">
        <f>IF($B270="","",IFERROR(TRIM(LEFT($B270,FIND(" - ",$B270)-1)),"Others"))</f>
        <v/>
      </c>
      <c r="Q270" s="39">
        <f>IF($A270="","",SUM($F270:$H270))</f>
        <v/>
      </c>
      <c r="R270" s="39">
        <f>IF($A270="","",SUM($I270:$K270))</f>
        <v/>
      </c>
      <c r="S270" s="39">
        <f>IF($A270="","",($L270+$R270)-$Q270)</f>
        <v/>
      </c>
      <c r="T270" s="31">
        <f>IF(OR($A270="",$Q270=0),"",$S270/$Q270)</f>
        <v/>
      </c>
      <c r="U270" s="27">
        <f>IF($A270="","",IF($L270&gt;0,"Live","Exited"))</f>
        <v/>
      </c>
      <c r="V270" s="40">
        <f>IF($A270="","",IF($A270='Client Report'!$C$4,COUNTIFS($A$6:$A270,'Client Report'!$C$4),""))</f>
        <v/>
      </c>
    </row>
    <row r="271">
      <c r="A271" s="11" t="n"/>
      <c r="B271" s="11" t="n"/>
      <c r="C271" s="11" t="n"/>
      <c r="D271" s="11" t="n"/>
      <c r="E271" s="12" t="n"/>
      <c r="F271" s="34" t="n"/>
      <c r="G271" s="34" t="n"/>
      <c r="H271" s="34" t="n"/>
      <c r="I271" s="34" t="n"/>
      <c r="J271" s="34" t="n"/>
      <c r="K271" s="34" t="n"/>
      <c r="L271" s="34" t="n"/>
      <c r="M271" s="36" t="n"/>
      <c r="N271" s="36" t="n"/>
      <c r="O271" s="41" t="n"/>
      <c r="P271" s="27">
        <f>IF($B271="","",IFERROR(TRIM(LEFT($B271,FIND(" - ",$B271)-1)),"Others"))</f>
        <v/>
      </c>
      <c r="Q271" s="39">
        <f>IF($A271="","",SUM($F271:$H271))</f>
        <v/>
      </c>
      <c r="R271" s="39">
        <f>IF($A271="","",SUM($I271:$K271))</f>
        <v/>
      </c>
      <c r="S271" s="39">
        <f>IF($A271="","",($L271+$R271)-$Q271)</f>
        <v/>
      </c>
      <c r="T271" s="31">
        <f>IF(OR($A271="",$Q271=0),"",$S271/$Q271)</f>
        <v/>
      </c>
      <c r="U271" s="27">
        <f>IF($A271="","",IF($L271&gt;0,"Live","Exited"))</f>
        <v/>
      </c>
      <c r="V271" s="40">
        <f>IF($A271="","",IF($A271='Client Report'!$C$4,COUNTIFS($A$6:$A271,'Client Report'!$C$4),""))</f>
        <v/>
      </c>
    </row>
    <row r="272">
      <c r="A272" s="11" t="n"/>
      <c r="B272" s="11" t="n"/>
      <c r="C272" s="11" t="n"/>
      <c r="D272" s="11" t="n"/>
      <c r="E272" s="12" t="n"/>
      <c r="F272" s="34" t="n"/>
      <c r="G272" s="34" t="n"/>
      <c r="H272" s="34" t="n"/>
      <c r="I272" s="34" t="n"/>
      <c r="J272" s="34" t="n"/>
      <c r="K272" s="34" t="n"/>
      <c r="L272" s="34" t="n"/>
      <c r="M272" s="36" t="n"/>
      <c r="N272" s="36" t="n"/>
      <c r="O272" s="41" t="n"/>
      <c r="P272" s="27">
        <f>IF($B272="","",IFERROR(TRIM(LEFT($B272,FIND(" - ",$B272)-1)),"Others"))</f>
        <v/>
      </c>
      <c r="Q272" s="39">
        <f>IF($A272="","",SUM($F272:$H272))</f>
        <v/>
      </c>
      <c r="R272" s="39">
        <f>IF($A272="","",SUM($I272:$K272))</f>
        <v/>
      </c>
      <c r="S272" s="39">
        <f>IF($A272="","",($L272+$R272)-$Q272)</f>
        <v/>
      </c>
      <c r="T272" s="31">
        <f>IF(OR($A272="",$Q272=0),"",$S272/$Q272)</f>
        <v/>
      </c>
      <c r="U272" s="27">
        <f>IF($A272="","",IF($L272&gt;0,"Live","Exited"))</f>
        <v/>
      </c>
      <c r="V272" s="40">
        <f>IF($A272="","",IF($A272='Client Report'!$C$4,COUNTIFS($A$6:$A272,'Client Report'!$C$4),""))</f>
        <v/>
      </c>
    </row>
    <row r="273">
      <c r="A273" s="11" t="n"/>
      <c r="B273" s="11" t="n"/>
      <c r="C273" s="11" t="n"/>
      <c r="D273" s="11" t="n"/>
      <c r="E273" s="12" t="n"/>
      <c r="F273" s="34" t="n"/>
      <c r="G273" s="34" t="n"/>
      <c r="H273" s="34" t="n"/>
      <c r="I273" s="34" t="n"/>
      <c r="J273" s="34" t="n"/>
      <c r="K273" s="34" t="n"/>
      <c r="L273" s="34" t="n"/>
      <c r="M273" s="36" t="n"/>
      <c r="N273" s="36" t="n"/>
      <c r="O273" s="41" t="n"/>
      <c r="P273" s="27">
        <f>IF($B273="","",IFERROR(TRIM(LEFT($B273,FIND(" - ",$B273)-1)),"Others"))</f>
        <v/>
      </c>
      <c r="Q273" s="39">
        <f>IF($A273="","",SUM($F273:$H273))</f>
        <v/>
      </c>
      <c r="R273" s="39">
        <f>IF($A273="","",SUM($I273:$K273))</f>
        <v/>
      </c>
      <c r="S273" s="39">
        <f>IF($A273="","",($L273+$R273)-$Q273)</f>
        <v/>
      </c>
      <c r="T273" s="31">
        <f>IF(OR($A273="",$Q273=0),"",$S273/$Q273)</f>
        <v/>
      </c>
      <c r="U273" s="27">
        <f>IF($A273="","",IF($L273&gt;0,"Live","Exited"))</f>
        <v/>
      </c>
      <c r="V273" s="40">
        <f>IF($A273="","",IF($A273='Client Report'!$C$4,COUNTIFS($A$6:$A273,'Client Report'!$C$4),""))</f>
        <v/>
      </c>
    </row>
    <row r="274">
      <c r="A274" s="11" t="n"/>
      <c r="B274" s="11" t="n"/>
      <c r="C274" s="11" t="n"/>
      <c r="D274" s="11" t="n"/>
      <c r="E274" s="12" t="n"/>
      <c r="F274" s="34" t="n"/>
      <c r="G274" s="34" t="n"/>
      <c r="H274" s="34" t="n"/>
      <c r="I274" s="34" t="n"/>
      <c r="J274" s="34" t="n"/>
      <c r="K274" s="34" t="n"/>
      <c r="L274" s="34" t="n"/>
      <c r="M274" s="36" t="n"/>
      <c r="N274" s="36" t="n"/>
      <c r="O274" s="41" t="n"/>
      <c r="P274" s="27">
        <f>IF($B274="","",IFERROR(TRIM(LEFT($B274,FIND(" - ",$B274)-1)),"Others"))</f>
        <v/>
      </c>
      <c r="Q274" s="39">
        <f>IF($A274="","",SUM($F274:$H274))</f>
        <v/>
      </c>
      <c r="R274" s="39">
        <f>IF($A274="","",SUM($I274:$K274))</f>
        <v/>
      </c>
      <c r="S274" s="39">
        <f>IF($A274="","",($L274+$R274)-$Q274)</f>
        <v/>
      </c>
      <c r="T274" s="31">
        <f>IF(OR($A274="",$Q274=0),"",$S274/$Q274)</f>
        <v/>
      </c>
      <c r="U274" s="27">
        <f>IF($A274="","",IF($L274&gt;0,"Live","Exited"))</f>
        <v/>
      </c>
      <c r="V274" s="40">
        <f>IF($A274="","",IF($A274='Client Report'!$C$4,COUNTIFS($A$6:$A274,'Client Report'!$C$4),""))</f>
        <v/>
      </c>
    </row>
    <row r="275">
      <c r="A275" s="11" t="n"/>
      <c r="B275" s="11" t="n"/>
      <c r="C275" s="11" t="n"/>
      <c r="D275" s="11" t="n"/>
      <c r="E275" s="12" t="n"/>
      <c r="F275" s="34" t="n"/>
      <c r="G275" s="34" t="n"/>
      <c r="H275" s="34" t="n"/>
      <c r="I275" s="34" t="n"/>
      <c r="J275" s="34" t="n"/>
      <c r="K275" s="34" t="n"/>
      <c r="L275" s="34" t="n"/>
      <c r="M275" s="36" t="n"/>
      <c r="N275" s="36" t="n"/>
      <c r="O275" s="41" t="n"/>
      <c r="P275" s="27">
        <f>IF($B275="","",IFERROR(TRIM(LEFT($B275,FIND(" - ",$B275)-1)),"Others"))</f>
        <v/>
      </c>
      <c r="Q275" s="39">
        <f>IF($A275="","",SUM($F275:$H275))</f>
        <v/>
      </c>
      <c r="R275" s="39">
        <f>IF($A275="","",SUM($I275:$K275))</f>
        <v/>
      </c>
      <c r="S275" s="39">
        <f>IF($A275="","",($L275+$R275)-$Q275)</f>
        <v/>
      </c>
      <c r="T275" s="31">
        <f>IF(OR($A275="",$Q275=0),"",$S275/$Q275)</f>
        <v/>
      </c>
      <c r="U275" s="27">
        <f>IF($A275="","",IF($L275&gt;0,"Live","Exited"))</f>
        <v/>
      </c>
      <c r="V275" s="40">
        <f>IF($A275="","",IF($A275='Client Report'!$C$4,COUNTIFS($A$6:$A275,'Client Report'!$C$4),""))</f>
        <v/>
      </c>
    </row>
    <row r="276">
      <c r="A276" s="11" t="n"/>
      <c r="B276" s="11" t="n"/>
      <c r="C276" s="11" t="n"/>
      <c r="D276" s="11" t="n"/>
      <c r="E276" s="12" t="n"/>
      <c r="F276" s="34" t="n"/>
      <c r="G276" s="34" t="n"/>
      <c r="H276" s="34" t="n"/>
      <c r="I276" s="34" t="n"/>
      <c r="J276" s="34" t="n"/>
      <c r="K276" s="34" t="n"/>
      <c r="L276" s="34" t="n"/>
      <c r="M276" s="36" t="n"/>
      <c r="N276" s="36" t="n"/>
      <c r="O276" s="41" t="n"/>
      <c r="P276" s="27">
        <f>IF($B276="","",IFERROR(TRIM(LEFT($B276,FIND(" - ",$B276)-1)),"Others"))</f>
        <v/>
      </c>
      <c r="Q276" s="39">
        <f>IF($A276="","",SUM($F276:$H276))</f>
        <v/>
      </c>
      <c r="R276" s="39">
        <f>IF($A276="","",SUM($I276:$K276))</f>
        <v/>
      </c>
      <c r="S276" s="39">
        <f>IF($A276="","",($L276+$R276)-$Q276)</f>
        <v/>
      </c>
      <c r="T276" s="31">
        <f>IF(OR($A276="",$Q276=0),"",$S276/$Q276)</f>
        <v/>
      </c>
      <c r="U276" s="27">
        <f>IF($A276="","",IF($L276&gt;0,"Live","Exited"))</f>
        <v/>
      </c>
      <c r="V276" s="40">
        <f>IF($A276="","",IF($A276='Client Report'!$C$4,COUNTIFS($A$6:$A276,'Client Report'!$C$4),""))</f>
        <v/>
      </c>
    </row>
    <row r="277">
      <c r="A277" s="11" t="n"/>
      <c r="B277" s="11" t="n"/>
      <c r="C277" s="11" t="n"/>
      <c r="D277" s="11" t="n"/>
      <c r="E277" s="12" t="n"/>
      <c r="F277" s="34" t="n"/>
      <c r="G277" s="34" t="n"/>
      <c r="H277" s="34" t="n"/>
      <c r="I277" s="34" t="n"/>
      <c r="J277" s="34" t="n"/>
      <c r="K277" s="34" t="n"/>
      <c r="L277" s="34" t="n"/>
      <c r="M277" s="36" t="n"/>
      <c r="N277" s="36" t="n"/>
      <c r="O277" s="41" t="n"/>
      <c r="P277" s="27">
        <f>IF($B277="","",IFERROR(TRIM(LEFT($B277,FIND(" - ",$B277)-1)),"Others"))</f>
        <v/>
      </c>
      <c r="Q277" s="39">
        <f>IF($A277="","",SUM($F277:$H277))</f>
        <v/>
      </c>
      <c r="R277" s="39">
        <f>IF($A277="","",SUM($I277:$K277))</f>
        <v/>
      </c>
      <c r="S277" s="39">
        <f>IF($A277="","",($L277+$R277)-$Q277)</f>
        <v/>
      </c>
      <c r="T277" s="31">
        <f>IF(OR($A277="",$Q277=0),"",$S277/$Q277)</f>
        <v/>
      </c>
      <c r="U277" s="27">
        <f>IF($A277="","",IF($L277&gt;0,"Live","Exited"))</f>
        <v/>
      </c>
      <c r="V277" s="40">
        <f>IF($A277="","",IF($A277='Client Report'!$C$4,COUNTIFS($A$6:$A277,'Client Report'!$C$4),""))</f>
        <v/>
      </c>
    </row>
    <row r="278">
      <c r="A278" s="11" t="n"/>
      <c r="B278" s="11" t="n"/>
      <c r="C278" s="11" t="n"/>
      <c r="D278" s="11" t="n"/>
      <c r="E278" s="12" t="n"/>
      <c r="F278" s="34" t="n"/>
      <c r="G278" s="34" t="n"/>
      <c r="H278" s="34" t="n"/>
      <c r="I278" s="34" t="n"/>
      <c r="J278" s="34" t="n"/>
      <c r="K278" s="34" t="n"/>
      <c r="L278" s="34" t="n"/>
      <c r="M278" s="36" t="n"/>
      <c r="N278" s="36" t="n"/>
      <c r="O278" s="41" t="n"/>
      <c r="P278" s="27">
        <f>IF($B278="","",IFERROR(TRIM(LEFT($B278,FIND(" - ",$B278)-1)),"Others"))</f>
        <v/>
      </c>
      <c r="Q278" s="39">
        <f>IF($A278="","",SUM($F278:$H278))</f>
        <v/>
      </c>
      <c r="R278" s="39">
        <f>IF($A278="","",SUM($I278:$K278))</f>
        <v/>
      </c>
      <c r="S278" s="39">
        <f>IF($A278="","",($L278+$R278)-$Q278)</f>
        <v/>
      </c>
      <c r="T278" s="31">
        <f>IF(OR($A278="",$Q278=0),"",$S278/$Q278)</f>
        <v/>
      </c>
      <c r="U278" s="27">
        <f>IF($A278="","",IF($L278&gt;0,"Live","Exited"))</f>
        <v/>
      </c>
      <c r="V278" s="40">
        <f>IF($A278="","",IF($A278='Client Report'!$C$4,COUNTIFS($A$6:$A278,'Client Report'!$C$4),""))</f>
        <v/>
      </c>
    </row>
    <row r="279">
      <c r="A279" s="11" t="n"/>
      <c r="B279" s="11" t="n"/>
      <c r="C279" s="11" t="n"/>
      <c r="D279" s="11" t="n"/>
      <c r="E279" s="12" t="n"/>
      <c r="F279" s="34" t="n"/>
      <c r="G279" s="34" t="n"/>
      <c r="H279" s="34" t="n"/>
      <c r="I279" s="34" t="n"/>
      <c r="J279" s="34" t="n"/>
      <c r="K279" s="34" t="n"/>
      <c r="L279" s="34" t="n"/>
      <c r="M279" s="36" t="n"/>
      <c r="N279" s="36" t="n"/>
      <c r="O279" s="41" t="n"/>
      <c r="P279" s="27">
        <f>IF($B279="","",IFERROR(TRIM(LEFT($B279,FIND(" - ",$B279)-1)),"Others"))</f>
        <v/>
      </c>
      <c r="Q279" s="39">
        <f>IF($A279="","",SUM($F279:$H279))</f>
        <v/>
      </c>
      <c r="R279" s="39">
        <f>IF($A279="","",SUM($I279:$K279))</f>
        <v/>
      </c>
      <c r="S279" s="39">
        <f>IF($A279="","",($L279+$R279)-$Q279)</f>
        <v/>
      </c>
      <c r="T279" s="31">
        <f>IF(OR($A279="",$Q279=0),"",$S279/$Q279)</f>
        <v/>
      </c>
      <c r="U279" s="27">
        <f>IF($A279="","",IF($L279&gt;0,"Live","Exited"))</f>
        <v/>
      </c>
      <c r="V279" s="40">
        <f>IF($A279="","",IF($A279='Client Report'!$C$4,COUNTIFS($A$6:$A279,'Client Report'!$C$4),""))</f>
        <v/>
      </c>
    </row>
    <row r="280">
      <c r="A280" s="11" t="n"/>
      <c r="B280" s="11" t="n"/>
      <c r="C280" s="11" t="n"/>
      <c r="D280" s="11" t="n"/>
      <c r="E280" s="12" t="n"/>
      <c r="F280" s="34" t="n"/>
      <c r="G280" s="34" t="n"/>
      <c r="H280" s="34" t="n"/>
      <c r="I280" s="34" t="n"/>
      <c r="J280" s="34" t="n"/>
      <c r="K280" s="34" t="n"/>
      <c r="L280" s="34" t="n"/>
      <c r="M280" s="36" t="n"/>
      <c r="N280" s="36" t="n"/>
      <c r="O280" s="41" t="n"/>
      <c r="P280" s="27">
        <f>IF($B280="","",IFERROR(TRIM(LEFT($B280,FIND(" - ",$B280)-1)),"Others"))</f>
        <v/>
      </c>
      <c r="Q280" s="39">
        <f>IF($A280="","",SUM($F280:$H280))</f>
        <v/>
      </c>
      <c r="R280" s="39">
        <f>IF($A280="","",SUM($I280:$K280))</f>
        <v/>
      </c>
      <c r="S280" s="39">
        <f>IF($A280="","",($L280+$R280)-$Q280)</f>
        <v/>
      </c>
      <c r="T280" s="31">
        <f>IF(OR($A280="",$Q280=0),"",$S280/$Q280)</f>
        <v/>
      </c>
      <c r="U280" s="27">
        <f>IF($A280="","",IF($L280&gt;0,"Live","Exited"))</f>
        <v/>
      </c>
      <c r="V280" s="40">
        <f>IF($A280="","",IF($A280='Client Report'!$C$4,COUNTIFS($A$6:$A280,'Client Report'!$C$4),""))</f>
        <v/>
      </c>
    </row>
    <row r="281">
      <c r="A281" s="11" t="n"/>
      <c r="B281" s="11" t="n"/>
      <c r="C281" s="11" t="n"/>
      <c r="D281" s="11" t="n"/>
      <c r="E281" s="12" t="n"/>
      <c r="F281" s="34" t="n"/>
      <c r="G281" s="34" t="n"/>
      <c r="H281" s="34" t="n"/>
      <c r="I281" s="34" t="n"/>
      <c r="J281" s="34" t="n"/>
      <c r="K281" s="34" t="n"/>
      <c r="L281" s="34" t="n"/>
      <c r="M281" s="36" t="n"/>
      <c r="N281" s="36" t="n"/>
      <c r="O281" s="41" t="n"/>
      <c r="P281" s="27">
        <f>IF($B281="","",IFERROR(TRIM(LEFT($B281,FIND(" - ",$B281)-1)),"Others"))</f>
        <v/>
      </c>
      <c r="Q281" s="39">
        <f>IF($A281="","",SUM($F281:$H281))</f>
        <v/>
      </c>
      <c r="R281" s="39">
        <f>IF($A281="","",SUM($I281:$K281))</f>
        <v/>
      </c>
      <c r="S281" s="39">
        <f>IF($A281="","",($L281+$R281)-$Q281)</f>
        <v/>
      </c>
      <c r="T281" s="31">
        <f>IF(OR($A281="",$Q281=0),"",$S281/$Q281)</f>
        <v/>
      </c>
      <c r="U281" s="27">
        <f>IF($A281="","",IF($L281&gt;0,"Live","Exited"))</f>
        <v/>
      </c>
      <c r="V281" s="40">
        <f>IF($A281="","",IF($A281='Client Report'!$C$4,COUNTIFS($A$6:$A281,'Client Report'!$C$4),""))</f>
        <v/>
      </c>
    </row>
    <row r="282">
      <c r="A282" s="11" t="n"/>
      <c r="B282" s="11" t="n"/>
      <c r="C282" s="11" t="n"/>
      <c r="D282" s="11" t="n"/>
      <c r="E282" s="12" t="n"/>
      <c r="F282" s="34" t="n"/>
      <c r="G282" s="34" t="n"/>
      <c r="H282" s="34" t="n"/>
      <c r="I282" s="34" t="n"/>
      <c r="J282" s="34" t="n"/>
      <c r="K282" s="34" t="n"/>
      <c r="L282" s="34" t="n"/>
      <c r="M282" s="36" t="n"/>
      <c r="N282" s="36" t="n"/>
      <c r="O282" s="41" t="n"/>
      <c r="P282" s="27">
        <f>IF($B282="","",IFERROR(TRIM(LEFT($B282,FIND(" - ",$B282)-1)),"Others"))</f>
        <v/>
      </c>
      <c r="Q282" s="39">
        <f>IF($A282="","",SUM($F282:$H282))</f>
        <v/>
      </c>
      <c r="R282" s="39">
        <f>IF($A282="","",SUM($I282:$K282))</f>
        <v/>
      </c>
      <c r="S282" s="39">
        <f>IF($A282="","",($L282+$R282)-$Q282)</f>
        <v/>
      </c>
      <c r="T282" s="31">
        <f>IF(OR($A282="",$Q282=0),"",$S282/$Q282)</f>
        <v/>
      </c>
      <c r="U282" s="27">
        <f>IF($A282="","",IF($L282&gt;0,"Live","Exited"))</f>
        <v/>
      </c>
      <c r="V282" s="40">
        <f>IF($A282="","",IF($A282='Client Report'!$C$4,COUNTIFS($A$6:$A282,'Client Report'!$C$4),""))</f>
        <v/>
      </c>
    </row>
    <row r="283">
      <c r="A283" s="11" t="n"/>
      <c r="B283" s="11" t="n"/>
      <c r="C283" s="11" t="n"/>
      <c r="D283" s="11" t="n"/>
      <c r="E283" s="12" t="n"/>
      <c r="F283" s="34" t="n"/>
      <c r="G283" s="34" t="n"/>
      <c r="H283" s="34" t="n"/>
      <c r="I283" s="34" t="n"/>
      <c r="J283" s="34" t="n"/>
      <c r="K283" s="34" t="n"/>
      <c r="L283" s="34" t="n"/>
      <c r="M283" s="36" t="n"/>
      <c r="N283" s="36" t="n"/>
      <c r="O283" s="41" t="n"/>
      <c r="P283" s="27">
        <f>IF($B283="","",IFERROR(TRIM(LEFT($B283,FIND(" - ",$B283)-1)),"Others"))</f>
        <v/>
      </c>
      <c r="Q283" s="39">
        <f>IF($A283="","",SUM($F283:$H283))</f>
        <v/>
      </c>
      <c r="R283" s="39">
        <f>IF($A283="","",SUM($I283:$K283))</f>
        <v/>
      </c>
      <c r="S283" s="39">
        <f>IF($A283="","",($L283+$R283)-$Q283)</f>
        <v/>
      </c>
      <c r="T283" s="31">
        <f>IF(OR($A283="",$Q283=0),"",$S283/$Q283)</f>
        <v/>
      </c>
      <c r="U283" s="27">
        <f>IF($A283="","",IF($L283&gt;0,"Live","Exited"))</f>
        <v/>
      </c>
      <c r="V283" s="40">
        <f>IF($A283="","",IF($A283='Client Report'!$C$4,COUNTIFS($A$6:$A283,'Client Report'!$C$4),""))</f>
        <v/>
      </c>
    </row>
    <row r="284">
      <c r="A284" s="11" t="n"/>
      <c r="B284" s="11" t="n"/>
      <c r="C284" s="11" t="n"/>
      <c r="D284" s="11" t="n"/>
      <c r="E284" s="12" t="n"/>
      <c r="F284" s="34" t="n"/>
      <c r="G284" s="34" t="n"/>
      <c r="H284" s="34" t="n"/>
      <c r="I284" s="34" t="n"/>
      <c r="J284" s="34" t="n"/>
      <c r="K284" s="34" t="n"/>
      <c r="L284" s="34" t="n"/>
      <c r="M284" s="36" t="n"/>
      <c r="N284" s="36" t="n"/>
      <c r="O284" s="41" t="n"/>
      <c r="P284" s="27">
        <f>IF($B284="","",IFERROR(TRIM(LEFT($B284,FIND(" - ",$B284)-1)),"Others"))</f>
        <v/>
      </c>
      <c r="Q284" s="39">
        <f>IF($A284="","",SUM($F284:$H284))</f>
        <v/>
      </c>
      <c r="R284" s="39">
        <f>IF($A284="","",SUM($I284:$K284))</f>
        <v/>
      </c>
      <c r="S284" s="39">
        <f>IF($A284="","",($L284+$R284)-$Q284)</f>
        <v/>
      </c>
      <c r="T284" s="31">
        <f>IF(OR($A284="",$Q284=0),"",$S284/$Q284)</f>
        <v/>
      </c>
      <c r="U284" s="27">
        <f>IF($A284="","",IF($L284&gt;0,"Live","Exited"))</f>
        <v/>
      </c>
      <c r="V284" s="40">
        <f>IF($A284="","",IF($A284='Client Report'!$C$4,COUNTIFS($A$6:$A284,'Client Report'!$C$4),""))</f>
        <v/>
      </c>
    </row>
    <row r="285">
      <c r="A285" s="11" t="n"/>
      <c r="B285" s="11" t="n"/>
      <c r="C285" s="11" t="n"/>
      <c r="D285" s="11" t="n"/>
      <c r="E285" s="12" t="n"/>
      <c r="F285" s="34" t="n"/>
      <c r="G285" s="34" t="n"/>
      <c r="H285" s="34" t="n"/>
      <c r="I285" s="34" t="n"/>
      <c r="J285" s="34" t="n"/>
      <c r="K285" s="34" t="n"/>
      <c r="L285" s="34" t="n"/>
      <c r="M285" s="36" t="n"/>
      <c r="N285" s="36" t="n"/>
      <c r="O285" s="41" t="n"/>
      <c r="P285" s="27">
        <f>IF($B285="","",IFERROR(TRIM(LEFT($B285,FIND(" - ",$B285)-1)),"Others"))</f>
        <v/>
      </c>
      <c r="Q285" s="39">
        <f>IF($A285="","",SUM($F285:$H285))</f>
        <v/>
      </c>
      <c r="R285" s="39">
        <f>IF($A285="","",SUM($I285:$K285))</f>
        <v/>
      </c>
      <c r="S285" s="39">
        <f>IF($A285="","",($L285+$R285)-$Q285)</f>
        <v/>
      </c>
      <c r="T285" s="31">
        <f>IF(OR($A285="",$Q285=0),"",$S285/$Q285)</f>
        <v/>
      </c>
      <c r="U285" s="27">
        <f>IF($A285="","",IF($L285&gt;0,"Live","Exited"))</f>
        <v/>
      </c>
      <c r="V285" s="40">
        <f>IF($A285="","",IF($A285='Client Report'!$C$4,COUNTIFS($A$6:$A285,'Client Report'!$C$4),""))</f>
        <v/>
      </c>
    </row>
    <row r="286">
      <c r="A286" s="11" t="n"/>
      <c r="B286" s="11" t="n"/>
      <c r="C286" s="11" t="n"/>
      <c r="D286" s="11" t="n"/>
      <c r="E286" s="12" t="n"/>
      <c r="F286" s="34" t="n"/>
      <c r="G286" s="34" t="n"/>
      <c r="H286" s="34" t="n"/>
      <c r="I286" s="34" t="n"/>
      <c r="J286" s="34" t="n"/>
      <c r="K286" s="34" t="n"/>
      <c r="L286" s="34" t="n"/>
      <c r="M286" s="36" t="n"/>
      <c r="N286" s="36" t="n"/>
      <c r="O286" s="41" t="n"/>
      <c r="P286" s="27">
        <f>IF($B286="","",IFERROR(TRIM(LEFT($B286,FIND(" - ",$B286)-1)),"Others"))</f>
        <v/>
      </c>
      <c r="Q286" s="39">
        <f>IF($A286="","",SUM($F286:$H286))</f>
        <v/>
      </c>
      <c r="R286" s="39">
        <f>IF($A286="","",SUM($I286:$K286))</f>
        <v/>
      </c>
      <c r="S286" s="39">
        <f>IF($A286="","",($L286+$R286)-$Q286)</f>
        <v/>
      </c>
      <c r="T286" s="31">
        <f>IF(OR($A286="",$Q286=0),"",$S286/$Q286)</f>
        <v/>
      </c>
      <c r="U286" s="27">
        <f>IF($A286="","",IF($L286&gt;0,"Live","Exited"))</f>
        <v/>
      </c>
      <c r="V286" s="40">
        <f>IF($A286="","",IF($A286='Client Report'!$C$4,COUNTIFS($A$6:$A286,'Client Report'!$C$4),""))</f>
        <v/>
      </c>
    </row>
    <row r="287">
      <c r="A287" s="11" t="n"/>
      <c r="B287" s="11" t="n"/>
      <c r="C287" s="11" t="n"/>
      <c r="D287" s="11" t="n"/>
      <c r="E287" s="12" t="n"/>
      <c r="F287" s="34" t="n"/>
      <c r="G287" s="34" t="n"/>
      <c r="H287" s="34" t="n"/>
      <c r="I287" s="34" t="n"/>
      <c r="J287" s="34" t="n"/>
      <c r="K287" s="34" t="n"/>
      <c r="L287" s="34" t="n"/>
      <c r="M287" s="36" t="n"/>
      <c r="N287" s="36" t="n"/>
      <c r="O287" s="41" t="n"/>
      <c r="P287" s="27">
        <f>IF($B287="","",IFERROR(TRIM(LEFT($B287,FIND(" - ",$B287)-1)),"Others"))</f>
        <v/>
      </c>
      <c r="Q287" s="39">
        <f>IF($A287="","",SUM($F287:$H287))</f>
        <v/>
      </c>
      <c r="R287" s="39">
        <f>IF($A287="","",SUM($I287:$K287))</f>
        <v/>
      </c>
      <c r="S287" s="39">
        <f>IF($A287="","",($L287+$R287)-$Q287)</f>
        <v/>
      </c>
      <c r="T287" s="31">
        <f>IF(OR($A287="",$Q287=0),"",$S287/$Q287)</f>
        <v/>
      </c>
      <c r="U287" s="27">
        <f>IF($A287="","",IF($L287&gt;0,"Live","Exited"))</f>
        <v/>
      </c>
      <c r="V287" s="40">
        <f>IF($A287="","",IF($A287='Client Report'!$C$4,COUNTIFS($A$6:$A287,'Client Report'!$C$4),""))</f>
        <v/>
      </c>
    </row>
    <row r="288">
      <c r="A288" s="11" t="n"/>
      <c r="B288" s="11" t="n"/>
      <c r="C288" s="11" t="n"/>
      <c r="D288" s="11" t="n"/>
      <c r="E288" s="12" t="n"/>
      <c r="F288" s="34" t="n"/>
      <c r="G288" s="34" t="n"/>
      <c r="H288" s="34" t="n"/>
      <c r="I288" s="34" t="n"/>
      <c r="J288" s="34" t="n"/>
      <c r="K288" s="34" t="n"/>
      <c r="L288" s="34" t="n"/>
      <c r="M288" s="36" t="n"/>
      <c r="N288" s="36" t="n"/>
      <c r="O288" s="41" t="n"/>
      <c r="P288" s="27">
        <f>IF($B288="","",IFERROR(TRIM(LEFT($B288,FIND(" - ",$B288)-1)),"Others"))</f>
        <v/>
      </c>
      <c r="Q288" s="39">
        <f>IF($A288="","",SUM($F288:$H288))</f>
        <v/>
      </c>
      <c r="R288" s="39">
        <f>IF($A288="","",SUM($I288:$K288))</f>
        <v/>
      </c>
      <c r="S288" s="39">
        <f>IF($A288="","",($L288+$R288)-$Q288)</f>
        <v/>
      </c>
      <c r="T288" s="31">
        <f>IF(OR($A288="",$Q288=0),"",$S288/$Q288)</f>
        <v/>
      </c>
      <c r="U288" s="27">
        <f>IF($A288="","",IF($L288&gt;0,"Live","Exited"))</f>
        <v/>
      </c>
      <c r="V288" s="40">
        <f>IF($A288="","",IF($A288='Client Report'!$C$4,COUNTIFS($A$6:$A288,'Client Report'!$C$4),""))</f>
        <v/>
      </c>
    </row>
    <row r="289">
      <c r="A289" s="11" t="n"/>
      <c r="B289" s="11" t="n"/>
      <c r="C289" s="11" t="n"/>
      <c r="D289" s="11" t="n"/>
      <c r="E289" s="12" t="n"/>
      <c r="F289" s="34" t="n"/>
      <c r="G289" s="34" t="n"/>
      <c r="H289" s="34" t="n"/>
      <c r="I289" s="34" t="n"/>
      <c r="J289" s="34" t="n"/>
      <c r="K289" s="34" t="n"/>
      <c r="L289" s="34" t="n"/>
      <c r="M289" s="36" t="n"/>
      <c r="N289" s="36" t="n"/>
      <c r="O289" s="41" t="n"/>
      <c r="P289" s="27">
        <f>IF($B289="","",IFERROR(TRIM(LEFT($B289,FIND(" - ",$B289)-1)),"Others"))</f>
        <v/>
      </c>
      <c r="Q289" s="39">
        <f>IF($A289="","",SUM($F289:$H289))</f>
        <v/>
      </c>
      <c r="R289" s="39">
        <f>IF($A289="","",SUM($I289:$K289))</f>
        <v/>
      </c>
      <c r="S289" s="39">
        <f>IF($A289="","",($L289+$R289)-$Q289)</f>
        <v/>
      </c>
      <c r="T289" s="31">
        <f>IF(OR($A289="",$Q289=0),"",$S289/$Q289)</f>
        <v/>
      </c>
      <c r="U289" s="27">
        <f>IF($A289="","",IF($L289&gt;0,"Live","Exited"))</f>
        <v/>
      </c>
      <c r="V289" s="40">
        <f>IF($A289="","",IF($A289='Client Report'!$C$4,COUNTIFS($A$6:$A289,'Client Report'!$C$4),""))</f>
        <v/>
      </c>
    </row>
    <row r="290">
      <c r="A290" s="11" t="n"/>
      <c r="B290" s="11" t="n"/>
      <c r="C290" s="11" t="n"/>
      <c r="D290" s="11" t="n"/>
      <c r="E290" s="12" t="n"/>
      <c r="F290" s="34" t="n"/>
      <c r="G290" s="34" t="n"/>
      <c r="H290" s="34" t="n"/>
      <c r="I290" s="34" t="n"/>
      <c r="J290" s="34" t="n"/>
      <c r="K290" s="34" t="n"/>
      <c r="L290" s="34" t="n"/>
      <c r="M290" s="36" t="n"/>
      <c r="N290" s="36" t="n"/>
      <c r="O290" s="41" t="n"/>
      <c r="P290" s="27">
        <f>IF($B290="","",IFERROR(TRIM(LEFT($B290,FIND(" - ",$B290)-1)),"Others"))</f>
        <v/>
      </c>
      <c r="Q290" s="39">
        <f>IF($A290="","",SUM($F290:$H290))</f>
        <v/>
      </c>
      <c r="R290" s="39">
        <f>IF($A290="","",SUM($I290:$K290))</f>
        <v/>
      </c>
      <c r="S290" s="39">
        <f>IF($A290="","",($L290+$R290)-$Q290)</f>
        <v/>
      </c>
      <c r="T290" s="31">
        <f>IF(OR($A290="",$Q290=0),"",$S290/$Q290)</f>
        <v/>
      </c>
      <c r="U290" s="27">
        <f>IF($A290="","",IF($L290&gt;0,"Live","Exited"))</f>
        <v/>
      </c>
      <c r="V290" s="40">
        <f>IF($A290="","",IF($A290='Client Report'!$C$4,COUNTIFS($A$6:$A290,'Client Report'!$C$4),""))</f>
        <v/>
      </c>
    </row>
    <row r="291">
      <c r="A291" s="11" t="n"/>
      <c r="B291" s="11" t="n"/>
      <c r="C291" s="11" t="n"/>
      <c r="D291" s="11" t="n"/>
      <c r="E291" s="12" t="n"/>
      <c r="F291" s="34" t="n"/>
      <c r="G291" s="34" t="n"/>
      <c r="H291" s="34" t="n"/>
      <c r="I291" s="34" t="n"/>
      <c r="J291" s="34" t="n"/>
      <c r="K291" s="34" t="n"/>
      <c r="L291" s="34" t="n"/>
      <c r="M291" s="36" t="n"/>
      <c r="N291" s="36" t="n"/>
      <c r="O291" s="41" t="n"/>
      <c r="P291" s="27">
        <f>IF($B291="","",IFERROR(TRIM(LEFT($B291,FIND(" - ",$B291)-1)),"Others"))</f>
        <v/>
      </c>
      <c r="Q291" s="39">
        <f>IF($A291="","",SUM($F291:$H291))</f>
        <v/>
      </c>
      <c r="R291" s="39">
        <f>IF($A291="","",SUM($I291:$K291))</f>
        <v/>
      </c>
      <c r="S291" s="39">
        <f>IF($A291="","",($L291+$R291)-$Q291)</f>
        <v/>
      </c>
      <c r="T291" s="31">
        <f>IF(OR($A291="",$Q291=0),"",$S291/$Q291)</f>
        <v/>
      </c>
      <c r="U291" s="27">
        <f>IF($A291="","",IF($L291&gt;0,"Live","Exited"))</f>
        <v/>
      </c>
      <c r="V291" s="40">
        <f>IF($A291="","",IF($A291='Client Report'!$C$4,COUNTIFS($A$6:$A291,'Client Report'!$C$4),""))</f>
        <v/>
      </c>
    </row>
    <row r="292">
      <c r="A292" s="11" t="n"/>
      <c r="B292" s="11" t="n"/>
      <c r="C292" s="11" t="n"/>
      <c r="D292" s="11" t="n"/>
      <c r="E292" s="12" t="n"/>
      <c r="F292" s="34" t="n"/>
      <c r="G292" s="34" t="n"/>
      <c r="H292" s="34" t="n"/>
      <c r="I292" s="34" t="n"/>
      <c r="J292" s="34" t="n"/>
      <c r="K292" s="34" t="n"/>
      <c r="L292" s="34" t="n"/>
      <c r="M292" s="36" t="n"/>
      <c r="N292" s="36" t="n"/>
      <c r="O292" s="41" t="n"/>
      <c r="P292" s="27">
        <f>IF($B292="","",IFERROR(TRIM(LEFT($B292,FIND(" - ",$B292)-1)),"Others"))</f>
        <v/>
      </c>
      <c r="Q292" s="39">
        <f>IF($A292="","",SUM($F292:$H292))</f>
        <v/>
      </c>
      <c r="R292" s="39">
        <f>IF($A292="","",SUM($I292:$K292))</f>
        <v/>
      </c>
      <c r="S292" s="39">
        <f>IF($A292="","",($L292+$R292)-$Q292)</f>
        <v/>
      </c>
      <c r="T292" s="31">
        <f>IF(OR($A292="",$Q292=0),"",$S292/$Q292)</f>
        <v/>
      </c>
      <c r="U292" s="27">
        <f>IF($A292="","",IF($L292&gt;0,"Live","Exited"))</f>
        <v/>
      </c>
      <c r="V292" s="40">
        <f>IF($A292="","",IF($A292='Client Report'!$C$4,COUNTIFS($A$6:$A292,'Client Report'!$C$4),""))</f>
        <v/>
      </c>
    </row>
    <row r="293">
      <c r="A293" s="11" t="n"/>
      <c r="B293" s="11" t="n"/>
      <c r="C293" s="11" t="n"/>
      <c r="D293" s="11" t="n"/>
      <c r="E293" s="12" t="n"/>
      <c r="F293" s="34" t="n"/>
      <c r="G293" s="34" t="n"/>
      <c r="H293" s="34" t="n"/>
      <c r="I293" s="34" t="n"/>
      <c r="J293" s="34" t="n"/>
      <c r="K293" s="34" t="n"/>
      <c r="L293" s="34" t="n"/>
      <c r="M293" s="36" t="n"/>
      <c r="N293" s="36" t="n"/>
      <c r="O293" s="41" t="n"/>
      <c r="P293" s="27">
        <f>IF($B293="","",IFERROR(TRIM(LEFT($B293,FIND(" - ",$B293)-1)),"Others"))</f>
        <v/>
      </c>
      <c r="Q293" s="39">
        <f>IF($A293="","",SUM($F293:$H293))</f>
        <v/>
      </c>
      <c r="R293" s="39">
        <f>IF($A293="","",SUM($I293:$K293))</f>
        <v/>
      </c>
      <c r="S293" s="39">
        <f>IF($A293="","",($L293+$R293)-$Q293)</f>
        <v/>
      </c>
      <c r="T293" s="31">
        <f>IF(OR($A293="",$Q293=0),"",$S293/$Q293)</f>
        <v/>
      </c>
      <c r="U293" s="27">
        <f>IF($A293="","",IF($L293&gt;0,"Live","Exited"))</f>
        <v/>
      </c>
      <c r="V293" s="40">
        <f>IF($A293="","",IF($A293='Client Report'!$C$4,COUNTIFS($A$6:$A293,'Client Report'!$C$4),""))</f>
        <v/>
      </c>
    </row>
    <row r="294">
      <c r="A294" s="11" t="n"/>
      <c r="B294" s="11" t="n"/>
      <c r="C294" s="11" t="n"/>
      <c r="D294" s="11" t="n"/>
      <c r="E294" s="12" t="n"/>
      <c r="F294" s="34" t="n"/>
      <c r="G294" s="34" t="n"/>
      <c r="H294" s="34" t="n"/>
      <c r="I294" s="34" t="n"/>
      <c r="J294" s="34" t="n"/>
      <c r="K294" s="34" t="n"/>
      <c r="L294" s="34" t="n"/>
      <c r="M294" s="36" t="n"/>
      <c r="N294" s="36" t="n"/>
      <c r="O294" s="41" t="n"/>
      <c r="P294" s="27">
        <f>IF($B294="","",IFERROR(TRIM(LEFT($B294,FIND(" - ",$B294)-1)),"Others"))</f>
        <v/>
      </c>
      <c r="Q294" s="39">
        <f>IF($A294="","",SUM($F294:$H294))</f>
        <v/>
      </c>
      <c r="R294" s="39">
        <f>IF($A294="","",SUM($I294:$K294))</f>
        <v/>
      </c>
      <c r="S294" s="39">
        <f>IF($A294="","",($L294+$R294)-$Q294)</f>
        <v/>
      </c>
      <c r="T294" s="31">
        <f>IF(OR($A294="",$Q294=0),"",$S294/$Q294)</f>
        <v/>
      </c>
      <c r="U294" s="27">
        <f>IF($A294="","",IF($L294&gt;0,"Live","Exited"))</f>
        <v/>
      </c>
      <c r="V294" s="40">
        <f>IF($A294="","",IF($A294='Client Report'!$C$4,COUNTIFS($A$6:$A294,'Client Report'!$C$4),""))</f>
        <v/>
      </c>
    </row>
    <row r="295">
      <c r="A295" s="11" t="n"/>
      <c r="B295" s="11" t="n"/>
      <c r="C295" s="11" t="n"/>
      <c r="D295" s="11" t="n"/>
      <c r="E295" s="12" t="n"/>
      <c r="F295" s="34" t="n"/>
      <c r="G295" s="34" t="n"/>
      <c r="H295" s="34" t="n"/>
      <c r="I295" s="34" t="n"/>
      <c r="J295" s="34" t="n"/>
      <c r="K295" s="34" t="n"/>
      <c r="L295" s="34" t="n"/>
      <c r="M295" s="36" t="n"/>
      <c r="N295" s="36" t="n"/>
      <c r="O295" s="41" t="n"/>
      <c r="P295" s="27">
        <f>IF($B295="","",IFERROR(TRIM(LEFT($B295,FIND(" - ",$B295)-1)),"Others"))</f>
        <v/>
      </c>
      <c r="Q295" s="39">
        <f>IF($A295="","",SUM($F295:$H295))</f>
        <v/>
      </c>
      <c r="R295" s="39">
        <f>IF($A295="","",SUM($I295:$K295))</f>
        <v/>
      </c>
      <c r="S295" s="39">
        <f>IF($A295="","",($L295+$R295)-$Q295)</f>
        <v/>
      </c>
      <c r="T295" s="31">
        <f>IF(OR($A295="",$Q295=0),"",$S295/$Q295)</f>
        <v/>
      </c>
      <c r="U295" s="27">
        <f>IF($A295="","",IF($L295&gt;0,"Live","Exited"))</f>
        <v/>
      </c>
      <c r="V295" s="40">
        <f>IF($A295="","",IF($A295='Client Report'!$C$4,COUNTIFS($A$6:$A295,'Client Report'!$C$4),""))</f>
        <v/>
      </c>
    </row>
    <row r="296">
      <c r="A296" s="11" t="n"/>
      <c r="B296" s="11" t="n"/>
      <c r="C296" s="11" t="n"/>
      <c r="D296" s="11" t="n"/>
      <c r="E296" s="12" t="n"/>
      <c r="F296" s="34" t="n"/>
      <c r="G296" s="34" t="n"/>
      <c r="H296" s="34" t="n"/>
      <c r="I296" s="34" t="n"/>
      <c r="J296" s="34" t="n"/>
      <c r="K296" s="34" t="n"/>
      <c r="L296" s="34" t="n"/>
      <c r="M296" s="36" t="n"/>
      <c r="N296" s="36" t="n"/>
      <c r="O296" s="41" t="n"/>
      <c r="P296" s="27">
        <f>IF($B296="","",IFERROR(TRIM(LEFT($B296,FIND(" - ",$B296)-1)),"Others"))</f>
        <v/>
      </c>
      <c r="Q296" s="39">
        <f>IF($A296="","",SUM($F296:$H296))</f>
        <v/>
      </c>
      <c r="R296" s="39">
        <f>IF($A296="","",SUM($I296:$K296))</f>
        <v/>
      </c>
      <c r="S296" s="39">
        <f>IF($A296="","",($L296+$R296)-$Q296)</f>
        <v/>
      </c>
      <c r="T296" s="31">
        <f>IF(OR($A296="",$Q296=0),"",$S296/$Q296)</f>
        <v/>
      </c>
      <c r="U296" s="27">
        <f>IF($A296="","",IF($L296&gt;0,"Live","Exited"))</f>
        <v/>
      </c>
      <c r="V296" s="40">
        <f>IF($A296="","",IF($A296='Client Report'!$C$4,COUNTIFS($A$6:$A296,'Client Report'!$C$4),""))</f>
        <v/>
      </c>
    </row>
    <row r="297">
      <c r="A297" s="11" t="n"/>
      <c r="B297" s="11" t="n"/>
      <c r="C297" s="11" t="n"/>
      <c r="D297" s="11" t="n"/>
      <c r="E297" s="12" t="n"/>
      <c r="F297" s="34" t="n"/>
      <c r="G297" s="34" t="n"/>
      <c r="H297" s="34" t="n"/>
      <c r="I297" s="34" t="n"/>
      <c r="J297" s="34" t="n"/>
      <c r="K297" s="34" t="n"/>
      <c r="L297" s="34" t="n"/>
      <c r="M297" s="36" t="n"/>
      <c r="N297" s="36" t="n"/>
      <c r="O297" s="41" t="n"/>
      <c r="P297" s="27">
        <f>IF($B297="","",IFERROR(TRIM(LEFT($B297,FIND(" - ",$B297)-1)),"Others"))</f>
        <v/>
      </c>
      <c r="Q297" s="39">
        <f>IF($A297="","",SUM($F297:$H297))</f>
        <v/>
      </c>
      <c r="R297" s="39">
        <f>IF($A297="","",SUM($I297:$K297))</f>
        <v/>
      </c>
      <c r="S297" s="39">
        <f>IF($A297="","",($L297+$R297)-$Q297)</f>
        <v/>
      </c>
      <c r="T297" s="31">
        <f>IF(OR($A297="",$Q297=0),"",$S297/$Q297)</f>
        <v/>
      </c>
      <c r="U297" s="27">
        <f>IF($A297="","",IF($L297&gt;0,"Live","Exited"))</f>
        <v/>
      </c>
      <c r="V297" s="40">
        <f>IF($A297="","",IF($A297='Client Report'!$C$4,COUNTIFS($A$6:$A297,'Client Report'!$C$4),""))</f>
        <v/>
      </c>
    </row>
    <row r="298">
      <c r="A298" s="11" t="n"/>
      <c r="B298" s="11" t="n"/>
      <c r="C298" s="11" t="n"/>
      <c r="D298" s="11" t="n"/>
      <c r="E298" s="12" t="n"/>
      <c r="F298" s="34" t="n"/>
      <c r="G298" s="34" t="n"/>
      <c r="H298" s="34" t="n"/>
      <c r="I298" s="34" t="n"/>
      <c r="J298" s="34" t="n"/>
      <c r="K298" s="34" t="n"/>
      <c r="L298" s="34" t="n"/>
      <c r="M298" s="36" t="n"/>
      <c r="N298" s="36" t="n"/>
      <c r="O298" s="41" t="n"/>
      <c r="P298" s="27">
        <f>IF($B298="","",IFERROR(TRIM(LEFT($B298,FIND(" - ",$B298)-1)),"Others"))</f>
        <v/>
      </c>
      <c r="Q298" s="39">
        <f>IF($A298="","",SUM($F298:$H298))</f>
        <v/>
      </c>
      <c r="R298" s="39">
        <f>IF($A298="","",SUM($I298:$K298))</f>
        <v/>
      </c>
      <c r="S298" s="39">
        <f>IF($A298="","",($L298+$R298)-$Q298)</f>
        <v/>
      </c>
      <c r="T298" s="31">
        <f>IF(OR($A298="",$Q298=0),"",$S298/$Q298)</f>
        <v/>
      </c>
      <c r="U298" s="27">
        <f>IF($A298="","",IF($L298&gt;0,"Live","Exited"))</f>
        <v/>
      </c>
      <c r="V298" s="40">
        <f>IF($A298="","",IF($A298='Client Report'!$C$4,COUNTIFS($A$6:$A298,'Client Report'!$C$4),""))</f>
        <v/>
      </c>
    </row>
    <row r="299">
      <c r="A299" s="11" t="n"/>
      <c r="B299" s="11" t="n"/>
      <c r="C299" s="11" t="n"/>
      <c r="D299" s="11" t="n"/>
      <c r="E299" s="12" t="n"/>
      <c r="F299" s="34" t="n"/>
      <c r="G299" s="34" t="n"/>
      <c r="H299" s="34" t="n"/>
      <c r="I299" s="34" t="n"/>
      <c r="J299" s="34" t="n"/>
      <c r="K299" s="34" t="n"/>
      <c r="L299" s="34" t="n"/>
      <c r="M299" s="36" t="n"/>
      <c r="N299" s="36" t="n"/>
      <c r="O299" s="41" t="n"/>
      <c r="P299" s="27">
        <f>IF($B299="","",IFERROR(TRIM(LEFT($B299,FIND(" - ",$B299)-1)),"Others"))</f>
        <v/>
      </c>
      <c r="Q299" s="39">
        <f>IF($A299="","",SUM($F299:$H299))</f>
        <v/>
      </c>
      <c r="R299" s="39">
        <f>IF($A299="","",SUM($I299:$K299))</f>
        <v/>
      </c>
      <c r="S299" s="39">
        <f>IF($A299="","",($L299+$R299)-$Q299)</f>
        <v/>
      </c>
      <c r="T299" s="31">
        <f>IF(OR($A299="",$Q299=0),"",$S299/$Q299)</f>
        <v/>
      </c>
      <c r="U299" s="27">
        <f>IF($A299="","",IF($L299&gt;0,"Live","Exited"))</f>
        <v/>
      </c>
      <c r="V299" s="40">
        <f>IF($A299="","",IF($A299='Client Report'!$C$4,COUNTIFS($A$6:$A299,'Client Report'!$C$4),""))</f>
        <v/>
      </c>
    </row>
    <row r="300">
      <c r="A300" s="11" t="n"/>
      <c r="B300" s="11" t="n"/>
      <c r="C300" s="11" t="n"/>
      <c r="D300" s="11" t="n"/>
      <c r="E300" s="12" t="n"/>
      <c r="F300" s="34" t="n"/>
      <c r="G300" s="34" t="n"/>
      <c r="H300" s="34" t="n"/>
      <c r="I300" s="34" t="n"/>
      <c r="J300" s="34" t="n"/>
      <c r="K300" s="34" t="n"/>
      <c r="L300" s="34" t="n"/>
      <c r="M300" s="36" t="n"/>
      <c r="N300" s="36" t="n"/>
      <c r="O300" s="41" t="n"/>
      <c r="P300" s="27">
        <f>IF($B300="","",IFERROR(TRIM(LEFT($B300,FIND(" - ",$B300)-1)),"Others"))</f>
        <v/>
      </c>
      <c r="Q300" s="39">
        <f>IF($A300="","",SUM($F300:$H300))</f>
        <v/>
      </c>
      <c r="R300" s="39">
        <f>IF($A300="","",SUM($I300:$K300))</f>
        <v/>
      </c>
      <c r="S300" s="39">
        <f>IF($A300="","",($L300+$R300)-$Q300)</f>
        <v/>
      </c>
      <c r="T300" s="31">
        <f>IF(OR($A300="",$Q300=0),"",$S300/$Q300)</f>
        <v/>
      </c>
      <c r="U300" s="27">
        <f>IF($A300="","",IF($L300&gt;0,"Live","Exited"))</f>
        <v/>
      </c>
      <c r="V300" s="40">
        <f>IF($A300="","",IF($A300='Client Report'!$C$4,COUNTIFS($A$6:$A300,'Client Report'!$C$4),""))</f>
        <v/>
      </c>
    </row>
    <row r="301">
      <c r="A301" s="11" t="n"/>
      <c r="B301" s="11" t="n"/>
      <c r="C301" s="11" t="n"/>
      <c r="D301" s="11" t="n"/>
      <c r="E301" s="12" t="n"/>
      <c r="F301" s="34" t="n"/>
      <c r="G301" s="34" t="n"/>
      <c r="H301" s="34" t="n"/>
      <c r="I301" s="34" t="n"/>
      <c r="J301" s="34" t="n"/>
      <c r="K301" s="34" t="n"/>
      <c r="L301" s="34" t="n"/>
      <c r="M301" s="36" t="n"/>
      <c r="N301" s="36" t="n"/>
      <c r="O301" s="41" t="n"/>
      <c r="P301" s="27">
        <f>IF($B301="","",IFERROR(TRIM(LEFT($B301,FIND(" - ",$B301)-1)),"Others"))</f>
        <v/>
      </c>
      <c r="Q301" s="39">
        <f>IF($A301="","",SUM($F301:$H301))</f>
        <v/>
      </c>
      <c r="R301" s="39">
        <f>IF($A301="","",SUM($I301:$K301))</f>
        <v/>
      </c>
      <c r="S301" s="39">
        <f>IF($A301="","",($L301+$R301)-$Q301)</f>
        <v/>
      </c>
      <c r="T301" s="31">
        <f>IF(OR($A301="",$Q301=0),"",$S301/$Q301)</f>
        <v/>
      </c>
      <c r="U301" s="27">
        <f>IF($A301="","",IF($L301&gt;0,"Live","Exited"))</f>
        <v/>
      </c>
      <c r="V301" s="40">
        <f>IF($A301="","",IF($A301='Client Report'!$C$4,COUNTIFS($A$6:$A301,'Client Report'!$C$4),""))</f>
        <v/>
      </c>
    </row>
    <row r="302">
      <c r="A302" s="11" t="n"/>
      <c r="B302" s="11" t="n"/>
      <c r="C302" s="11" t="n"/>
      <c r="D302" s="11" t="n"/>
      <c r="E302" s="12" t="n"/>
      <c r="F302" s="34" t="n"/>
      <c r="G302" s="34" t="n"/>
      <c r="H302" s="34" t="n"/>
      <c r="I302" s="34" t="n"/>
      <c r="J302" s="34" t="n"/>
      <c r="K302" s="34" t="n"/>
      <c r="L302" s="34" t="n"/>
      <c r="M302" s="36" t="n"/>
      <c r="N302" s="36" t="n"/>
      <c r="O302" s="41" t="n"/>
      <c r="P302" s="27">
        <f>IF($B302="","",IFERROR(TRIM(LEFT($B302,FIND(" - ",$B302)-1)),"Others"))</f>
        <v/>
      </c>
      <c r="Q302" s="39">
        <f>IF($A302="","",SUM($F302:$H302))</f>
        <v/>
      </c>
      <c r="R302" s="39">
        <f>IF($A302="","",SUM($I302:$K302))</f>
        <v/>
      </c>
      <c r="S302" s="39">
        <f>IF($A302="","",($L302+$R302)-$Q302)</f>
        <v/>
      </c>
      <c r="T302" s="31">
        <f>IF(OR($A302="",$Q302=0),"",$S302/$Q302)</f>
        <v/>
      </c>
      <c r="U302" s="27">
        <f>IF($A302="","",IF($L302&gt;0,"Live","Exited"))</f>
        <v/>
      </c>
      <c r="V302" s="40">
        <f>IF($A302="","",IF($A302='Client Report'!$C$4,COUNTIFS($A$6:$A302,'Client Report'!$C$4),""))</f>
        <v/>
      </c>
    </row>
    <row r="303">
      <c r="A303" s="11" t="n"/>
      <c r="B303" s="11" t="n"/>
      <c r="C303" s="11" t="n"/>
      <c r="D303" s="11" t="n"/>
      <c r="E303" s="12" t="n"/>
      <c r="F303" s="34" t="n"/>
      <c r="G303" s="34" t="n"/>
      <c r="H303" s="34" t="n"/>
      <c r="I303" s="34" t="n"/>
      <c r="J303" s="34" t="n"/>
      <c r="K303" s="34" t="n"/>
      <c r="L303" s="34" t="n"/>
      <c r="M303" s="36" t="n"/>
      <c r="N303" s="36" t="n"/>
      <c r="O303" s="41" t="n"/>
      <c r="P303" s="27">
        <f>IF($B303="","",IFERROR(TRIM(LEFT($B303,FIND(" - ",$B303)-1)),"Others"))</f>
        <v/>
      </c>
      <c r="Q303" s="39">
        <f>IF($A303="","",SUM($F303:$H303))</f>
        <v/>
      </c>
      <c r="R303" s="39">
        <f>IF($A303="","",SUM($I303:$K303))</f>
        <v/>
      </c>
      <c r="S303" s="39">
        <f>IF($A303="","",($L303+$R303)-$Q303)</f>
        <v/>
      </c>
      <c r="T303" s="31">
        <f>IF(OR($A303="",$Q303=0),"",$S303/$Q303)</f>
        <v/>
      </c>
      <c r="U303" s="27">
        <f>IF($A303="","",IF($L303&gt;0,"Live","Exited"))</f>
        <v/>
      </c>
      <c r="V303" s="40">
        <f>IF($A303="","",IF($A303='Client Report'!$C$4,COUNTIFS($A$6:$A303,'Client Report'!$C$4),""))</f>
        <v/>
      </c>
    </row>
    <row r="304">
      <c r="A304" s="11" t="n"/>
      <c r="B304" s="11" t="n"/>
      <c r="C304" s="11" t="n"/>
      <c r="D304" s="11" t="n"/>
      <c r="E304" s="12" t="n"/>
      <c r="F304" s="34" t="n"/>
      <c r="G304" s="34" t="n"/>
      <c r="H304" s="34" t="n"/>
      <c r="I304" s="34" t="n"/>
      <c r="J304" s="34" t="n"/>
      <c r="K304" s="34" t="n"/>
      <c r="L304" s="34" t="n"/>
      <c r="M304" s="36" t="n"/>
      <c r="N304" s="36" t="n"/>
      <c r="O304" s="41" t="n"/>
      <c r="P304" s="27">
        <f>IF($B304="","",IFERROR(TRIM(LEFT($B304,FIND(" - ",$B304)-1)),"Others"))</f>
        <v/>
      </c>
      <c r="Q304" s="39">
        <f>IF($A304="","",SUM($F304:$H304))</f>
        <v/>
      </c>
      <c r="R304" s="39">
        <f>IF($A304="","",SUM($I304:$K304))</f>
        <v/>
      </c>
      <c r="S304" s="39">
        <f>IF($A304="","",($L304+$R304)-$Q304)</f>
        <v/>
      </c>
      <c r="T304" s="31">
        <f>IF(OR($A304="",$Q304=0),"",$S304/$Q304)</f>
        <v/>
      </c>
      <c r="U304" s="27">
        <f>IF($A304="","",IF($L304&gt;0,"Live","Exited"))</f>
        <v/>
      </c>
      <c r="V304" s="40">
        <f>IF($A304="","",IF($A304='Client Report'!$C$4,COUNTIFS($A$6:$A304,'Client Report'!$C$4),""))</f>
        <v/>
      </c>
    </row>
    <row r="305">
      <c r="A305" s="11" t="n"/>
      <c r="B305" s="11" t="n"/>
      <c r="C305" s="11" t="n"/>
      <c r="D305" s="11" t="n"/>
      <c r="E305" s="12" t="n"/>
      <c r="F305" s="34" t="n"/>
      <c r="G305" s="34" t="n"/>
      <c r="H305" s="34" t="n"/>
      <c r="I305" s="34" t="n"/>
      <c r="J305" s="34" t="n"/>
      <c r="K305" s="34" t="n"/>
      <c r="L305" s="34" t="n"/>
      <c r="M305" s="36" t="n"/>
      <c r="N305" s="36" t="n"/>
      <c r="O305" s="41" t="n"/>
      <c r="P305" s="27">
        <f>IF($B305="","",IFERROR(TRIM(LEFT($B305,FIND(" - ",$B305)-1)),"Others"))</f>
        <v/>
      </c>
      <c r="Q305" s="39">
        <f>IF($A305="","",SUM($F305:$H305))</f>
        <v/>
      </c>
      <c r="R305" s="39">
        <f>IF($A305="","",SUM($I305:$K305))</f>
        <v/>
      </c>
      <c r="S305" s="39">
        <f>IF($A305="","",($L305+$R305)-$Q305)</f>
        <v/>
      </c>
      <c r="T305" s="31">
        <f>IF(OR($A305="",$Q305=0),"",$S305/$Q305)</f>
        <v/>
      </c>
      <c r="U305" s="27">
        <f>IF($A305="","",IF($L305&gt;0,"Live","Exited"))</f>
        <v/>
      </c>
      <c r="V305" s="40">
        <f>IF($A305="","",IF($A305='Client Report'!$C$4,COUNTIFS($A$6:$A305,'Client Report'!$C$4),""))</f>
        <v/>
      </c>
    </row>
    <row r="306">
      <c r="A306" s="11" t="n"/>
      <c r="B306" s="11" t="n"/>
      <c r="C306" s="11" t="n"/>
      <c r="D306" s="11" t="n"/>
      <c r="E306" s="12" t="n"/>
      <c r="F306" s="34" t="n"/>
      <c r="G306" s="34" t="n"/>
      <c r="H306" s="34" t="n"/>
      <c r="I306" s="34" t="n"/>
      <c r="J306" s="34" t="n"/>
      <c r="K306" s="34" t="n"/>
      <c r="L306" s="34" t="n"/>
      <c r="M306" s="36" t="n"/>
      <c r="N306" s="36" t="n"/>
      <c r="O306" s="41" t="n"/>
      <c r="P306" s="27">
        <f>IF($B306="","",IFERROR(TRIM(LEFT($B306,FIND(" - ",$B306)-1)),"Others"))</f>
        <v/>
      </c>
      <c r="Q306" s="39">
        <f>IF($A306="","",SUM($F306:$H306))</f>
        <v/>
      </c>
      <c r="R306" s="39">
        <f>IF($A306="","",SUM($I306:$K306))</f>
        <v/>
      </c>
      <c r="S306" s="39">
        <f>IF($A306="","",($L306+$R306)-$Q306)</f>
        <v/>
      </c>
      <c r="T306" s="31">
        <f>IF(OR($A306="",$Q306=0),"",$S306/$Q306)</f>
        <v/>
      </c>
      <c r="U306" s="27">
        <f>IF($A306="","",IF($L306&gt;0,"Live","Exited"))</f>
        <v/>
      </c>
      <c r="V306" s="40">
        <f>IF($A306="","",IF($A306='Client Report'!$C$4,COUNTIFS($A$6:$A306,'Client Report'!$C$4),""))</f>
        <v/>
      </c>
    </row>
    <row r="307">
      <c r="A307" s="11" t="n"/>
      <c r="B307" s="11" t="n"/>
      <c r="C307" s="11" t="n"/>
      <c r="D307" s="11" t="n"/>
      <c r="E307" s="12" t="n"/>
      <c r="F307" s="34" t="n"/>
      <c r="G307" s="34" t="n"/>
      <c r="H307" s="34" t="n"/>
      <c r="I307" s="34" t="n"/>
      <c r="J307" s="34" t="n"/>
      <c r="K307" s="34" t="n"/>
      <c r="L307" s="34" t="n"/>
      <c r="M307" s="36" t="n"/>
      <c r="N307" s="36" t="n"/>
      <c r="O307" s="41" t="n"/>
      <c r="P307" s="27">
        <f>IF($B307="","",IFERROR(TRIM(LEFT($B307,FIND(" - ",$B307)-1)),"Others"))</f>
        <v/>
      </c>
      <c r="Q307" s="39">
        <f>IF($A307="","",SUM($F307:$H307))</f>
        <v/>
      </c>
      <c r="R307" s="39">
        <f>IF($A307="","",SUM($I307:$K307))</f>
        <v/>
      </c>
      <c r="S307" s="39">
        <f>IF($A307="","",($L307+$R307)-$Q307)</f>
        <v/>
      </c>
      <c r="T307" s="31">
        <f>IF(OR($A307="",$Q307=0),"",$S307/$Q307)</f>
        <v/>
      </c>
      <c r="U307" s="27">
        <f>IF($A307="","",IF($L307&gt;0,"Live","Exited"))</f>
        <v/>
      </c>
      <c r="V307" s="40">
        <f>IF($A307="","",IF($A307='Client Report'!$C$4,COUNTIFS($A$6:$A307,'Client Report'!$C$4),""))</f>
        <v/>
      </c>
    </row>
    <row r="308">
      <c r="A308" s="11" t="n"/>
      <c r="B308" s="11" t="n"/>
      <c r="C308" s="11" t="n"/>
      <c r="D308" s="11" t="n"/>
      <c r="E308" s="12" t="n"/>
      <c r="F308" s="34" t="n"/>
      <c r="G308" s="34" t="n"/>
      <c r="H308" s="34" t="n"/>
      <c r="I308" s="34" t="n"/>
      <c r="J308" s="34" t="n"/>
      <c r="K308" s="34" t="n"/>
      <c r="L308" s="34" t="n"/>
      <c r="M308" s="36" t="n"/>
      <c r="N308" s="36" t="n"/>
      <c r="O308" s="41" t="n"/>
      <c r="P308" s="27">
        <f>IF($B308="","",IFERROR(TRIM(LEFT($B308,FIND(" - ",$B308)-1)),"Others"))</f>
        <v/>
      </c>
      <c r="Q308" s="39">
        <f>IF($A308="","",SUM($F308:$H308))</f>
        <v/>
      </c>
      <c r="R308" s="39">
        <f>IF($A308="","",SUM($I308:$K308))</f>
        <v/>
      </c>
      <c r="S308" s="39">
        <f>IF($A308="","",($L308+$R308)-$Q308)</f>
        <v/>
      </c>
      <c r="T308" s="31">
        <f>IF(OR($A308="",$Q308=0),"",$S308/$Q308)</f>
        <v/>
      </c>
      <c r="U308" s="27">
        <f>IF($A308="","",IF($L308&gt;0,"Live","Exited"))</f>
        <v/>
      </c>
      <c r="V308" s="40">
        <f>IF($A308="","",IF($A308='Client Report'!$C$4,COUNTIFS($A$6:$A308,'Client Report'!$C$4),""))</f>
        <v/>
      </c>
    </row>
    <row r="309">
      <c r="A309" s="11" t="n"/>
      <c r="B309" s="11" t="n"/>
      <c r="C309" s="11" t="n"/>
      <c r="D309" s="11" t="n"/>
      <c r="E309" s="12" t="n"/>
      <c r="F309" s="34" t="n"/>
      <c r="G309" s="34" t="n"/>
      <c r="H309" s="34" t="n"/>
      <c r="I309" s="34" t="n"/>
      <c r="J309" s="34" t="n"/>
      <c r="K309" s="34" t="n"/>
      <c r="L309" s="34" t="n"/>
      <c r="M309" s="36" t="n"/>
      <c r="N309" s="36" t="n"/>
      <c r="O309" s="41" t="n"/>
      <c r="P309" s="27">
        <f>IF($B309="","",IFERROR(TRIM(LEFT($B309,FIND(" - ",$B309)-1)),"Others"))</f>
        <v/>
      </c>
      <c r="Q309" s="39">
        <f>IF($A309="","",SUM($F309:$H309))</f>
        <v/>
      </c>
      <c r="R309" s="39">
        <f>IF($A309="","",SUM($I309:$K309))</f>
        <v/>
      </c>
      <c r="S309" s="39">
        <f>IF($A309="","",($L309+$R309)-$Q309)</f>
        <v/>
      </c>
      <c r="T309" s="31">
        <f>IF(OR($A309="",$Q309=0),"",$S309/$Q309)</f>
        <v/>
      </c>
      <c r="U309" s="27">
        <f>IF($A309="","",IF($L309&gt;0,"Live","Exited"))</f>
        <v/>
      </c>
      <c r="V309" s="40">
        <f>IF($A309="","",IF($A309='Client Report'!$C$4,COUNTIFS($A$6:$A309,'Client Report'!$C$4),""))</f>
        <v/>
      </c>
    </row>
    <row r="310">
      <c r="A310" s="11" t="n"/>
      <c r="B310" s="11" t="n"/>
      <c r="C310" s="11" t="n"/>
      <c r="D310" s="11" t="n"/>
      <c r="E310" s="12" t="n"/>
      <c r="F310" s="34" t="n"/>
      <c r="G310" s="34" t="n"/>
      <c r="H310" s="34" t="n"/>
      <c r="I310" s="34" t="n"/>
      <c r="J310" s="34" t="n"/>
      <c r="K310" s="34" t="n"/>
      <c r="L310" s="34" t="n"/>
      <c r="M310" s="36" t="n"/>
      <c r="N310" s="36" t="n"/>
      <c r="O310" s="41" t="n"/>
      <c r="P310" s="27">
        <f>IF($B310="","",IFERROR(TRIM(LEFT($B310,FIND(" - ",$B310)-1)),"Others"))</f>
        <v/>
      </c>
      <c r="Q310" s="39">
        <f>IF($A310="","",SUM($F310:$H310))</f>
        <v/>
      </c>
      <c r="R310" s="39">
        <f>IF($A310="","",SUM($I310:$K310))</f>
        <v/>
      </c>
      <c r="S310" s="39">
        <f>IF($A310="","",($L310+$R310)-$Q310)</f>
        <v/>
      </c>
      <c r="T310" s="31">
        <f>IF(OR($A310="",$Q310=0),"",$S310/$Q310)</f>
        <v/>
      </c>
      <c r="U310" s="27">
        <f>IF($A310="","",IF($L310&gt;0,"Live","Exited"))</f>
        <v/>
      </c>
      <c r="V310" s="40">
        <f>IF($A310="","",IF($A310='Client Report'!$C$4,COUNTIFS($A$6:$A310,'Client Report'!$C$4),""))</f>
        <v/>
      </c>
    </row>
    <row r="311">
      <c r="A311" s="11" t="n"/>
      <c r="B311" s="11" t="n"/>
      <c r="C311" s="11" t="n"/>
      <c r="D311" s="11" t="n"/>
      <c r="E311" s="12" t="n"/>
      <c r="F311" s="34" t="n"/>
      <c r="G311" s="34" t="n"/>
      <c r="H311" s="34" t="n"/>
      <c r="I311" s="34" t="n"/>
      <c r="J311" s="34" t="n"/>
      <c r="K311" s="34" t="n"/>
      <c r="L311" s="34" t="n"/>
      <c r="M311" s="36" t="n"/>
      <c r="N311" s="36" t="n"/>
      <c r="O311" s="41" t="n"/>
      <c r="P311" s="27">
        <f>IF($B311="","",IFERROR(TRIM(LEFT($B311,FIND(" - ",$B311)-1)),"Others"))</f>
        <v/>
      </c>
      <c r="Q311" s="39">
        <f>IF($A311="","",SUM($F311:$H311))</f>
        <v/>
      </c>
      <c r="R311" s="39">
        <f>IF($A311="","",SUM($I311:$K311))</f>
        <v/>
      </c>
      <c r="S311" s="39">
        <f>IF($A311="","",($L311+$R311)-$Q311)</f>
        <v/>
      </c>
      <c r="T311" s="31">
        <f>IF(OR($A311="",$Q311=0),"",$S311/$Q311)</f>
        <v/>
      </c>
      <c r="U311" s="27">
        <f>IF($A311="","",IF($L311&gt;0,"Live","Exited"))</f>
        <v/>
      </c>
      <c r="V311" s="40">
        <f>IF($A311="","",IF($A311='Client Report'!$C$4,COUNTIFS($A$6:$A311,'Client Report'!$C$4),""))</f>
        <v/>
      </c>
    </row>
    <row r="312">
      <c r="A312" s="11" t="n"/>
      <c r="B312" s="11" t="n"/>
      <c r="C312" s="11" t="n"/>
      <c r="D312" s="11" t="n"/>
      <c r="E312" s="12" t="n"/>
      <c r="F312" s="34" t="n"/>
      <c r="G312" s="34" t="n"/>
      <c r="H312" s="34" t="n"/>
      <c r="I312" s="34" t="n"/>
      <c r="J312" s="34" t="n"/>
      <c r="K312" s="34" t="n"/>
      <c r="L312" s="34" t="n"/>
      <c r="M312" s="36" t="n"/>
      <c r="N312" s="36" t="n"/>
      <c r="O312" s="41" t="n"/>
      <c r="P312" s="27">
        <f>IF($B312="","",IFERROR(TRIM(LEFT($B312,FIND(" - ",$B312)-1)),"Others"))</f>
        <v/>
      </c>
      <c r="Q312" s="39">
        <f>IF($A312="","",SUM($F312:$H312))</f>
        <v/>
      </c>
      <c r="R312" s="39">
        <f>IF($A312="","",SUM($I312:$K312))</f>
        <v/>
      </c>
      <c r="S312" s="39">
        <f>IF($A312="","",($L312+$R312)-$Q312)</f>
        <v/>
      </c>
      <c r="T312" s="31">
        <f>IF(OR($A312="",$Q312=0),"",$S312/$Q312)</f>
        <v/>
      </c>
      <c r="U312" s="27">
        <f>IF($A312="","",IF($L312&gt;0,"Live","Exited"))</f>
        <v/>
      </c>
      <c r="V312" s="40">
        <f>IF($A312="","",IF($A312='Client Report'!$C$4,COUNTIFS($A$6:$A312,'Client Report'!$C$4),""))</f>
        <v/>
      </c>
    </row>
    <row r="313">
      <c r="A313" s="11" t="n"/>
      <c r="B313" s="11" t="n"/>
      <c r="C313" s="11" t="n"/>
      <c r="D313" s="11" t="n"/>
      <c r="E313" s="12" t="n"/>
      <c r="F313" s="34" t="n"/>
      <c r="G313" s="34" t="n"/>
      <c r="H313" s="34" t="n"/>
      <c r="I313" s="34" t="n"/>
      <c r="J313" s="34" t="n"/>
      <c r="K313" s="34" t="n"/>
      <c r="L313" s="34" t="n"/>
      <c r="M313" s="36" t="n"/>
      <c r="N313" s="36" t="n"/>
      <c r="O313" s="41" t="n"/>
      <c r="P313" s="27">
        <f>IF($B313="","",IFERROR(TRIM(LEFT($B313,FIND(" - ",$B313)-1)),"Others"))</f>
        <v/>
      </c>
      <c r="Q313" s="39">
        <f>IF($A313="","",SUM($F313:$H313))</f>
        <v/>
      </c>
      <c r="R313" s="39">
        <f>IF($A313="","",SUM($I313:$K313))</f>
        <v/>
      </c>
      <c r="S313" s="39">
        <f>IF($A313="","",($L313+$R313)-$Q313)</f>
        <v/>
      </c>
      <c r="T313" s="31">
        <f>IF(OR($A313="",$Q313=0),"",$S313/$Q313)</f>
        <v/>
      </c>
      <c r="U313" s="27">
        <f>IF($A313="","",IF($L313&gt;0,"Live","Exited"))</f>
        <v/>
      </c>
      <c r="V313" s="40">
        <f>IF($A313="","",IF($A313='Client Report'!$C$4,COUNTIFS($A$6:$A313,'Client Report'!$C$4),""))</f>
        <v/>
      </c>
    </row>
    <row r="314">
      <c r="A314" s="11" t="n"/>
      <c r="B314" s="11" t="n"/>
      <c r="C314" s="11" t="n"/>
      <c r="D314" s="11" t="n"/>
      <c r="E314" s="12" t="n"/>
      <c r="F314" s="34" t="n"/>
      <c r="G314" s="34" t="n"/>
      <c r="H314" s="34" t="n"/>
      <c r="I314" s="34" t="n"/>
      <c r="J314" s="34" t="n"/>
      <c r="K314" s="34" t="n"/>
      <c r="L314" s="34" t="n"/>
      <c r="M314" s="36" t="n"/>
      <c r="N314" s="36" t="n"/>
      <c r="O314" s="41" t="n"/>
      <c r="P314" s="27">
        <f>IF($B314="","",IFERROR(TRIM(LEFT($B314,FIND(" - ",$B314)-1)),"Others"))</f>
        <v/>
      </c>
      <c r="Q314" s="39">
        <f>IF($A314="","",SUM($F314:$H314))</f>
        <v/>
      </c>
      <c r="R314" s="39">
        <f>IF($A314="","",SUM($I314:$K314))</f>
        <v/>
      </c>
      <c r="S314" s="39">
        <f>IF($A314="","",($L314+$R314)-$Q314)</f>
        <v/>
      </c>
      <c r="T314" s="31">
        <f>IF(OR($A314="",$Q314=0),"",$S314/$Q314)</f>
        <v/>
      </c>
      <c r="U314" s="27">
        <f>IF($A314="","",IF($L314&gt;0,"Live","Exited"))</f>
        <v/>
      </c>
      <c r="V314" s="40">
        <f>IF($A314="","",IF($A314='Client Report'!$C$4,COUNTIFS($A$6:$A314,'Client Report'!$C$4),""))</f>
        <v/>
      </c>
    </row>
    <row r="315">
      <c r="A315" s="11" t="n"/>
      <c r="B315" s="11" t="n"/>
      <c r="C315" s="11" t="n"/>
      <c r="D315" s="11" t="n"/>
      <c r="E315" s="12" t="n"/>
      <c r="F315" s="34" t="n"/>
      <c r="G315" s="34" t="n"/>
      <c r="H315" s="34" t="n"/>
      <c r="I315" s="34" t="n"/>
      <c r="J315" s="34" t="n"/>
      <c r="K315" s="34" t="n"/>
      <c r="L315" s="34" t="n"/>
      <c r="M315" s="36" t="n"/>
      <c r="N315" s="36" t="n"/>
      <c r="O315" s="41" t="n"/>
      <c r="P315" s="27">
        <f>IF($B315="","",IFERROR(TRIM(LEFT($B315,FIND(" - ",$B315)-1)),"Others"))</f>
        <v/>
      </c>
      <c r="Q315" s="39">
        <f>IF($A315="","",SUM($F315:$H315))</f>
        <v/>
      </c>
      <c r="R315" s="39">
        <f>IF($A315="","",SUM($I315:$K315))</f>
        <v/>
      </c>
      <c r="S315" s="39">
        <f>IF($A315="","",($L315+$R315)-$Q315)</f>
        <v/>
      </c>
      <c r="T315" s="31">
        <f>IF(OR($A315="",$Q315=0),"",$S315/$Q315)</f>
        <v/>
      </c>
      <c r="U315" s="27">
        <f>IF($A315="","",IF($L315&gt;0,"Live","Exited"))</f>
        <v/>
      </c>
      <c r="V315" s="40">
        <f>IF($A315="","",IF($A315='Client Report'!$C$4,COUNTIFS($A$6:$A315,'Client Report'!$C$4),""))</f>
        <v/>
      </c>
    </row>
    <row r="316">
      <c r="A316" s="11" t="n"/>
      <c r="B316" s="11" t="n"/>
      <c r="C316" s="11" t="n"/>
      <c r="D316" s="11" t="n"/>
      <c r="E316" s="12" t="n"/>
      <c r="F316" s="34" t="n"/>
      <c r="G316" s="34" t="n"/>
      <c r="H316" s="34" t="n"/>
      <c r="I316" s="34" t="n"/>
      <c r="J316" s="34" t="n"/>
      <c r="K316" s="34" t="n"/>
      <c r="L316" s="34" t="n"/>
      <c r="M316" s="36" t="n"/>
      <c r="N316" s="36" t="n"/>
      <c r="O316" s="41" t="n"/>
      <c r="P316" s="27">
        <f>IF($B316="","",IFERROR(TRIM(LEFT($B316,FIND(" - ",$B316)-1)),"Others"))</f>
        <v/>
      </c>
      <c r="Q316" s="39">
        <f>IF($A316="","",SUM($F316:$H316))</f>
        <v/>
      </c>
      <c r="R316" s="39">
        <f>IF($A316="","",SUM($I316:$K316))</f>
        <v/>
      </c>
      <c r="S316" s="39">
        <f>IF($A316="","",($L316+$R316)-$Q316)</f>
        <v/>
      </c>
      <c r="T316" s="31">
        <f>IF(OR($A316="",$Q316=0),"",$S316/$Q316)</f>
        <v/>
      </c>
      <c r="U316" s="27">
        <f>IF($A316="","",IF($L316&gt;0,"Live","Exited"))</f>
        <v/>
      </c>
      <c r="V316" s="40">
        <f>IF($A316="","",IF($A316='Client Report'!$C$4,COUNTIFS($A$6:$A316,'Client Report'!$C$4),""))</f>
        <v/>
      </c>
    </row>
    <row r="317">
      <c r="A317" s="11" t="n"/>
      <c r="B317" s="11" t="n"/>
      <c r="C317" s="11" t="n"/>
      <c r="D317" s="11" t="n"/>
      <c r="E317" s="12" t="n"/>
      <c r="F317" s="34" t="n"/>
      <c r="G317" s="34" t="n"/>
      <c r="H317" s="34" t="n"/>
      <c r="I317" s="34" t="n"/>
      <c r="J317" s="34" t="n"/>
      <c r="K317" s="34" t="n"/>
      <c r="L317" s="34" t="n"/>
      <c r="M317" s="36" t="n"/>
      <c r="N317" s="36" t="n"/>
      <c r="O317" s="41" t="n"/>
      <c r="P317" s="27">
        <f>IF($B317="","",IFERROR(TRIM(LEFT($B317,FIND(" - ",$B317)-1)),"Others"))</f>
        <v/>
      </c>
      <c r="Q317" s="39">
        <f>IF($A317="","",SUM($F317:$H317))</f>
        <v/>
      </c>
      <c r="R317" s="39">
        <f>IF($A317="","",SUM($I317:$K317))</f>
        <v/>
      </c>
      <c r="S317" s="39">
        <f>IF($A317="","",($L317+$R317)-$Q317)</f>
        <v/>
      </c>
      <c r="T317" s="31">
        <f>IF(OR($A317="",$Q317=0),"",$S317/$Q317)</f>
        <v/>
      </c>
      <c r="U317" s="27">
        <f>IF($A317="","",IF($L317&gt;0,"Live","Exited"))</f>
        <v/>
      </c>
      <c r="V317" s="40">
        <f>IF($A317="","",IF($A317='Client Report'!$C$4,COUNTIFS($A$6:$A317,'Client Report'!$C$4),""))</f>
        <v/>
      </c>
    </row>
    <row r="318">
      <c r="A318" s="11" t="n"/>
      <c r="B318" s="11" t="n"/>
      <c r="C318" s="11" t="n"/>
      <c r="D318" s="11" t="n"/>
      <c r="E318" s="12" t="n"/>
      <c r="F318" s="34" t="n"/>
      <c r="G318" s="34" t="n"/>
      <c r="H318" s="34" t="n"/>
      <c r="I318" s="34" t="n"/>
      <c r="J318" s="34" t="n"/>
      <c r="K318" s="34" t="n"/>
      <c r="L318" s="34" t="n"/>
      <c r="M318" s="36" t="n"/>
      <c r="N318" s="36" t="n"/>
      <c r="O318" s="41" t="n"/>
      <c r="P318" s="27">
        <f>IF($B318="","",IFERROR(TRIM(LEFT($B318,FIND(" - ",$B318)-1)),"Others"))</f>
        <v/>
      </c>
      <c r="Q318" s="39">
        <f>IF($A318="","",SUM($F318:$H318))</f>
        <v/>
      </c>
      <c r="R318" s="39">
        <f>IF($A318="","",SUM($I318:$K318))</f>
        <v/>
      </c>
      <c r="S318" s="39">
        <f>IF($A318="","",($L318+$R318)-$Q318)</f>
        <v/>
      </c>
      <c r="T318" s="31">
        <f>IF(OR($A318="",$Q318=0),"",$S318/$Q318)</f>
        <v/>
      </c>
      <c r="U318" s="27">
        <f>IF($A318="","",IF($L318&gt;0,"Live","Exited"))</f>
        <v/>
      </c>
      <c r="V318" s="40">
        <f>IF($A318="","",IF($A318='Client Report'!$C$4,COUNTIFS($A$6:$A318,'Client Report'!$C$4),""))</f>
        <v/>
      </c>
    </row>
    <row r="319">
      <c r="A319" s="11" t="n"/>
      <c r="B319" s="11" t="n"/>
      <c r="C319" s="11" t="n"/>
      <c r="D319" s="11" t="n"/>
      <c r="E319" s="12" t="n"/>
      <c r="F319" s="34" t="n"/>
      <c r="G319" s="34" t="n"/>
      <c r="H319" s="34" t="n"/>
      <c r="I319" s="34" t="n"/>
      <c r="J319" s="34" t="n"/>
      <c r="K319" s="34" t="n"/>
      <c r="L319" s="34" t="n"/>
      <c r="M319" s="36" t="n"/>
      <c r="N319" s="36" t="n"/>
      <c r="O319" s="41" t="n"/>
      <c r="P319" s="27">
        <f>IF($B319="","",IFERROR(TRIM(LEFT($B319,FIND(" - ",$B319)-1)),"Others"))</f>
        <v/>
      </c>
      <c r="Q319" s="39">
        <f>IF($A319="","",SUM($F319:$H319))</f>
        <v/>
      </c>
      <c r="R319" s="39">
        <f>IF($A319="","",SUM($I319:$K319))</f>
        <v/>
      </c>
      <c r="S319" s="39">
        <f>IF($A319="","",($L319+$R319)-$Q319)</f>
        <v/>
      </c>
      <c r="T319" s="31">
        <f>IF(OR($A319="",$Q319=0),"",$S319/$Q319)</f>
        <v/>
      </c>
      <c r="U319" s="27">
        <f>IF($A319="","",IF($L319&gt;0,"Live","Exited"))</f>
        <v/>
      </c>
      <c r="V319" s="40">
        <f>IF($A319="","",IF($A319='Client Report'!$C$4,COUNTIFS($A$6:$A319,'Client Report'!$C$4),""))</f>
        <v/>
      </c>
    </row>
    <row r="320">
      <c r="A320" s="11" t="n"/>
      <c r="B320" s="11" t="n"/>
      <c r="C320" s="11" t="n"/>
      <c r="D320" s="11" t="n"/>
      <c r="E320" s="12" t="n"/>
      <c r="F320" s="34" t="n"/>
      <c r="G320" s="34" t="n"/>
      <c r="H320" s="34" t="n"/>
      <c r="I320" s="34" t="n"/>
      <c r="J320" s="34" t="n"/>
      <c r="K320" s="34" t="n"/>
      <c r="L320" s="34" t="n"/>
      <c r="M320" s="36" t="n"/>
      <c r="N320" s="36" t="n"/>
      <c r="O320" s="41" t="n"/>
      <c r="P320" s="27">
        <f>IF($B320="","",IFERROR(TRIM(LEFT($B320,FIND(" - ",$B320)-1)),"Others"))</f>
        <v/>
      </c>
      <c r="Q320" s="39">
        <f>IF($A320="","",SUM($F320:$H320))</f>
        <v/>
      </c>
      <c r="R320" s="39">
        <f>IF($A320="","",SUM($I320:$K320))</f>
        <v/>
      </c>
      <c r="S320" s="39">
        <f>IF($A320="","",($L320+$R320)-$Q320)</f>
        <v/>
      </c>
      <c r="T320" s="31">
        <f>IF(OR($A320="",$Q320=0),"",$S320/$Q320)</f>
        <v/>
      </c>
      <c r="U320" s="27">
        <f>IF($A320="","",IF($L320&gt;0,"Live","Exited"))</f>
        <v/>
      </c>
      <c r="V320" s="40">
        <f>IF($A320="","",IF($A320='Client Report'!$C$4,COUNTIFS($A$6:$A320,'Client Report'!$C$4),""))</f>
        <v/>
      </c>
    </row>
    <row r="321">
      <c r="A321" s="11" t="n"/>
      <c r="B321" s="11" t="n"/>
      <c r="C321" s="11" t="n"/>
      <c r="D321" s="11" t="n"/>
      <c r="E321" s="12" t="n"/>
      <c r="F321" s="34" t="n"/>
      <c r="G321" s="34" t="n"/>
      <c r="H321" s="34" t="n"/>
      <c r="I321" s="34" t="n"/>
      <c r="J321" s="34" t="n"/>
      <c r="K321" s="34" t="n"/>
      <c r="L321" s="34" t="n"/>
      <c r="M321" s="36" t="n"/>
      <c r="N321" s="36" t="n"/>
      <c r="O321" s="41" t="n"/>
      <c r="P321" s="27">
        <f>IF($B321="","",IFERROR(TRIM(LEFT($B321,FIND(" - ",$B321)-1)),"Others"))</f>
        <v/>
      </c>
      <c r="Q321" s="39">
        <f>IF($A321="","",SUM($F321:$H321))</f>
        <v/>
      </c>
      <c r="R321" s="39">
        <f>IF($A321="","",SUM($I321:$K321))</f>
        <v/>
      </c>
      <c r="S321" s="39">
        <f>IF($A321="","",($L321+$R321)-$Q321)</f>
        <v/>
      </c>
      <c r="T321" s="31">
        <f>IF(OR($A321="",$Q321=0),"",$S321/$Q321)</f>
        <v/>
      </c>
      <c r="U321" s="27">
        <f>IF($A321="","",IF($L321&gt;0,"Live","Exited"))</f>
        <v/>
      </c>
      <c r="V321" s="40">
        <f>IF($A321="","",IF($A321='Client Report'!$C$4,COUNTIFS($A$6:$A321,'Client Report'!$C$4),""))</f>
        <v/>
      </c>
    </row>
    <row r="322">
      <c r="A322" s="11" t="n"/>
      <c r="B322" s="11" t="n"/>
      <c r="C322" s="11" t="n"/>
      <c r="D322" s="11" t="n"/>
      <c r="E322" s="12" t="n"/>
      <c r="F322" s="34" t="n"/>
      <c r="G322" s="34" t="n"/>
      <c r="H322" s="34" t="n"/>
      <c r="I322" s="34" t="n"/>
      <c r="J322" s="34" t="n"/>
      <c r="K322" s="34" t="n"/>
      <c r="L322" s="34" t="n"/>
      <c r="M322" s="36" t="n"/>
      <c r="N322" s="36" t="n"/>
      <c r="O322" s="41" t="n"/>
      <c r="P322" s="27">
        <f>IF($B322="","",IFERROR(TRIM(LEFT($B322,FIND(" - ",$B322)-1)),"Others"))</f>
        <v/>
      </c>
      <c r="Q322" s="39">
        <f>IF($A322="","",SUM($F322:$H322))</f>
        <v/>
      </c>
      <c r="R322" s="39">
        <f>IF($A322="","",SUM($I322:$K322))</f>
        <v/>
      </c>
      <c r="S322" s="39">
        <f>IF($A322="","",($L322+$R322)-$Q322)</f>
        <v/>
      </c>
      <c r="T322" s="31">
        <f>IF(OR($A322="",$Q322=0),"",$S322/$Q322)</f>
        <v/>
      </c>
      <c r="U322" s="27">
        <f>IF($A322="","",IF($L322&gt;0,"Live","Exited"))</f>
        <v/>
      </c>
      <c r="V322" s="40">
        <f>IF($A322="","",IF($A322='Client Report'!$C$4,COUNTIFS($A$6:$A322,'Client Report'!$C$4),""))</f>
        <v/>
      </c>
    </row>
    <row r="323">
      <c r="A323" s="11" t="n"/>
      <c r="B323" s="11" t="n"/>
      <c r="C323" s="11" t="n"/>
      <c r="D323" s="11" t="n"/>
      <c r="E323" s="12" t="n"/>
      <c r="F323" s="34" t="n"/>
      <c r="G323" s="34" t="n"/>
      <c r="H323" s="34" t="n"/>
      <c r="I323" s="34" t="n"/>
      <c r="J323" s="34" t="n"/>
      <c r="K323" s="34" t="n"/>
      <c r="L323" s="34" t="n"/>
      <c r="M323" s="36" t="n"/>
      <c r="N323" s="36" t="n"/>
      <c r="O323" s="41" t="n"/>
      <c r="P323" s="27">
        <f>IF($B323="","",IFERROR(TRIM(LEFT($B323,FIND(" - ",$B323)-1)),"Others"))</f>
        <v/>
      </c>
      <c r="Q323" s="39">
        <f>IF($A323="","",SUM($F323:$H323))</f>
        <v/>
      </c>
      <c r="R323" s="39">
        <f>IF($A323="","",SUM($I323:$K323))</f>
        <v/>
      </c>
      <c r="S323" s="39">
        <f>IF($A323="","",($L323+$R323)-$Q323)</f>
        <v/>
      </c>
      <c r="T323" s="31">
        <f>IF(OR($A323="",$Q323=0),"",$S323/$Q323)</f>
        <v/>
      </c>
      <c r="U323" s="27">
        <f>IF($A323="","",IF($L323&gt;0,"Live","Exited"))</f>
        <v/>
      </c>
      <c r="V323" s="40">
        <f>IF($A323="","",IF($A323='Client Report'!$C$4,COUNTIFS($A$6:$A323,'Client Report'!$C$4),""))</f>
        <v/>
      </c>
    </row>
    <row r="324">
      <c r="A324" s="11" t="n"/>
      <c r="B324" s="11" t="n"/>
      <c r="C324" s="11" t="n"/>
      <c r="D324" s="11" t="n"/>
      <c r="E324" s="12" t="n"/>
      <c r="F324" s="34" t="n"/>
      <c r="G324" s="34" t="n"/>
      <c r="H324" s="34" t="n"/>
      <c r="I324" s="34" t="n"/>
      <c r="J324" s="34" t="n"/>
      <c r="K324" s="34" t="n"/>
      <c r="L324" s="34" t="n"/>
      <c r="M324" s="36" t="n"/>
      <c r="N324" s="36" t="n"/>
      <c r="O324" s="41" t="n"/>
      <c r="P324" s="27">
        <f>IF($B324="","",IFERROR(TRIM(LEFT($B324,FIND(" - ",$B324)-1)),"Others"))</f>
        <v/>
      </c>
      <c r="Q324" s="39">
        <f>IF($A324="","",SUM($F324:$H324))</f>
        <v/>
      </c>
      <c r="R324" s="39">
        <f>IF($A324="","",SUM($I324:$K324))</f>
        <v/>
      </c>
      <c r="S324" s="39">
        <f>IF($A324="","",($L324+$R324)-$Q324)</f>
        <v/>
      </c>
      <c r="T324" s="31">
        <f>IF(OR($A324="",$Q324=0),"",$S324/$Q324)</f>
        <v/>
      </c>
      <c r="U324" s="27">
        <f>IF($A324="","",IF($L324&gt;0,"Live","Exited"))</f>
        <v/>
      </c>
      <c r="V324" s="40">
        <f>IF($A324="","",IF($A324='Client Report'!$C$4,COUNTIFS($A$6:$A324,'Client Report'!$C$4),""))</f>
        <v/>
      </c>
    </row>
    <row r="325">
      <c r="A325" s="11" t="n"/>
      <c r="B325" s="11" t="n"/>
      <c r="C325" s="11" t="n"/>
      <c r="D325" s="11" t="n"/>
      <c r="E325" s="12" t="n"/>
      <c r="F325" s="34" t="n"/>
      <c r="G325" s="34" t="n"/>
      <c r="H325" s="34" t="n"/>
      <c r="I325" s="34" t="n"/>
      <c r="J325" s="34" t="n"/>
      <c r="K325" s="34" t="n"/>
      <c r="L325" s="34" t="n"/>
      <c r="M325" s="36" t="n"/>
      <c r="N325" s="36" t="n"/>
      <c r="O325" s="41" t="n"/>
      <c r="P325" s="27">
        <f>IF($B325="","",IFERROR(TRIM(LEFT($B325,FIND(" - ",$B325)-1)),"Others"))</f>
        <v/>
      </c>
      <c r="Q325" s="39">
        <f>IF($A325="","",SUM($F325:$H325))</f>
        <v/>
      </c>
      <c r="R325" s="39">
        <f>IF($A325="","",SUM($I325:$K325))</f>
        <v/>
      </c>
      <c r="S325" s="39">
        <f>IF($A325="","",($L325+$R325)-$Q325)</f>
        <v/>
      </c>
      <c r="T325" s="31">
        <f>IF(OR($A325="",$Q325=0),"",$S325/$Q325)</f>
        <v/>
      </c>
      <c r="U325" s="27">
        <f>IF($A325="","",IF($L325&gt;0,"Live","Exited"))</f>
        <v/>
      </c>
      <c r="V325" s="40">
        <f>IF($A325="","",IF($A325='Client Report'!$C$4,COUNTIFS($A$6:$A325,'Client Report'!$C$4),""))</f>
        <v/>
      </c>
    </row>
    <row r="326">
      <c r="A326" s="11" t="n"/>
      <c r="B326" s="11" t="n"/>
      <c r="C326" s="11" t="n"/>
      <c r="D326" s="11" t="n"/>
      <c r="E326" s="12" t="n"/>
      <c r="F326" s="34" t="n"/>
      <c r="G326" s="34" t="n"/>
      <c r="H326" s="34" t="n"/>
      <c r="I326" s="34" t="n"/>
      <c r="J326" s="34" t="n"/>
      <c r="K326" s="34" t="n"/>
      <c r="L326" s="34" t="n"/>
      <c r="M326" s="36" t="n"/>
      <c r="N326" s="36" t="n"/>
      <c r="O326" s="41" t="n"/>
      <c r="P326" s="27">
        <f>IF($B326="","",IFERROR(TRIM(LEFT($B326,FIND(" - ",$B326)-1)),"Others"))</f>
        <v/>
      </c>
      <c r="Q326" s="39">
        <f>IF($A326="","",SUM($F326:$H326))</f>
        <v/>
      </c>
      <c r="R326" s="39">
        <f>IF($A326="","",SUM($I326:$K326))</f>
        <v/>
      </c>
      <c r="S326" s="39">
        <f>IF($A326="","",($L326+$R326)-$Q326)</f>
        <v/>
      </c>
      <c r="T326" s="31">
        <f>IF(OR($A326="",$Q326=0),"",$S326/$Q326)</f>
        <v/>
      </c>
      <c r="U326" s="27">
        <f>IF($A326="","",IF($L326&gt;0,"Live","Exited"))</f>
        <v/>
      </c>
      <c r="V326" s="40">
        <f>IF($A326="","",IF($A326='Client Report'!$C$4,COUNTIFS($A$6:$A326,'Client Report'!$C$4),""))</f>
        <v/>
      </c>
    </row>
    <row r="327">
      <c r="A327" s="11" t="n"/>
      <c r="B327" s="11" t="n"/>
      <c r="C327" s="11" t="n"/>
      <c r="D327" s="11" t="n"/>
      <c r="E327" s="12" t="n"/>
      <c r="F327" s="34" t="n"/>
      <c r="G327" s="34" t="n"/>
      <c r="H327" s="34" t="n"/>
      <c r="I327" s="34" t="n"/>
      <c r="J327" s="34" t="n"/>
      <c r="K327" s="34" t="n"/>
      <c r="L327" s="34" t="n"/>
      <c r="M327" s="36" t="n"/>
      <c r="N327" s="36" t="n"/>
      <c r="O327" s="41" t="n"/>
      <c r="P327" s="27">
        <f>IF($B327="","",IFERROR(TRIM(LEFT($B327,FIND(" - ",$B327)-1)),"Others"))</f>
        <v/>
      </c>
      <c r="Q327" s="39">
        <f>IF($A327="","",SUM($F327:$H327))</f>
        <v/>
      </c>
      <c r="R327" s="39">
        <f>IF($A327="","",SUM($I327:$K327))</f>
        <v/>
      </c>
      <c r="S327" s="39">
        <f>IF($A327="","",($L327+$R327)-$Q327)</f>
        <v/>
      </c>
      <c r="T327" s="31">
        <f>IF(OR($A327="",$Q327=0),"",$S327/$Q327)</f>
        <v/>
      </c>
      <c r="U327" s="27">
        <f>IF($A327="","",IF($L327&gt;0,"Live","Exited"))</f>
        <v/>
      </c>
      <c r="V327" s="40">
        <f>IF($A327="","",IF($A327='Client Report'!$C$4,COUNTIFS($A$6:$A327,'Client Report'!$C$4),""))</f>
        <v/>
      </c>
    </row>
    <row r="328">
      <c r="A328" s="11" t="n"/>
      <c r="B328" s="11" t="n"/>
      <c r="C328" s="11" t="n"/>
      <c r="D328" s="11" t="n"/>
      <c r="E328" s="12" t="n"/>
      <c r="F328" s="34" t="n"/>
      <c r="G328" s="34" t="n"/>
      <c r="H328" s="34" t="n"/>
      <c r="I328" s="34" t="n"/>
      <c r="J328" s="34" t="n"/>
      <c r="K328" s="34" t="n"/>
      <c r="L328" s="34" t="n"/>
      <c r="M328" s="36" t="n"/>
      <c r="N328" s="36" t="n"/>
      <c r="O328" s="41" t="n"/>
      <c r="P328" s="27">
        <f>IF($B328="","",IFERROR(TRIM(LEFT($B328,FIND(" - ",$B328)-1)),"Others"))</f>
        <v/>
      </c>
      <c r="Q328" s="39">
        <f>IF($A328="","",SUM($F328:$H328))</f>
        <v/>
      </c>
      <c r="R328" s="39">
        <f>IF($A328="","",SUM($I328:$K328))</f>
        <v/>
      </c>
      <c r="S328" s="39">
        <f>IF($A328="","",($L328+$R328)-$Q328)</f>
        <v/>
      </c>
      <c r="T328" s="31">
        <f>IF(OR($A328="",$Q328=0),"",$S328/$Q328)</f>
        <v/>
      </c>
      <c r="U328" s="27">
        <f>IF($A328="","",IF($L328&gt;0,"Live","Exited"))</f>
        <v/>
      </c>
      <c r="V328" s="40">
        <f>IF($A328="","",IF($A328='Client Report'!$C$4,COUNTIFS($A$6:$A328,'Client Report'!$C$4),""))</f>
        <v/>
      </c>
    </row>
    <row r="329">
      <c r="A329" s="11" t="n"/>
      <c r="B329" s="11" t="n"/>
      <c r="C329" s="11" t="n"/>
      <c r="D329" s="11" t="n"/>
      <c r="E329" s="12" t="n"/>
      <c r="F329" s="34" t="n"/>
      <c r="G329" s="34" t="n"/>
      <c r="H329" s="34" t="n"/>
      <c r="I329" s="34" t="n"/>
      <c r="J329" s="34" t="n"/>
      <c r="K329" s="34" t="n"/>
      <c r="L329" s="34" t="n"/>
      <c r="M329" s="36" t="n"/>
      <c r="N329" s="36" t="n"/>
      <c r="O329" s="41" t="n"/>
      <c r="P329" s="27">
        <f>IF($B329="","",IFERROR(TRIM(LEFT($B329,FIND(" - ",$B329)-1)),"Others"))</f>
        <v/>
      </c>
      <c r="Q329" s="39">
        <f>IF($A329="","",SUM($F329:$H329))</f>
        <v/>
      </c>
      <c r="R329" s="39">
        <f>IF($A329="","",SUM($I329:$K329))</f>
        <v/>
      </c>
      <c r="S329" s="39">
        <f>IF($A329="","",($L329+$R329)-$Q329)</f>
        <v/>
      </c>
      <c r="T329" s="31">
        <f>IF(OR($A329="",$Q329=0),"",$S329/$Q329)</f>
        <v/>
      </c>
      <c r="U329" s="27">
        <f>IF($A329="","",IF($L329&gt;0,"Live","Exited"))</f>
        <v/>
      </c>
      <c r="V329" s="40">
        <f>IF($A329="","",IF($A329='Client Report'!$C$4,COUNTIFS($A$6:$A329,'Client Report'!$C$4),""))</f>
        <v/>
      </c>
    </row>
    <row r="330">
      <c r="A330" s="11" t="n"/>
      <c r="B330" s="11" t="n"/>
      <c r="C330" s="11" t="n"/>
      <c r="D330" s="11" t="n"/>
      <c r="E330" s="12" t="n"/>
      <c r="F330" s="34" t="n"/>
      <c r="G330" s="34" t="n"/>
      <c r="H330" s="34" t="n"/>
      <c r="I330" s="34" t="n"/>
      <c r="J330" s="34" t="n"/>
      <c r="K330" s="34" t="n"/>
      <c r="L330" s="34" t="n"/>
      <c r="M330" s="36" t="n"/>
      <c r="N330" s="36" t="n"/>
      <c r="O330" s="41" t="n"/>
      <c r="P330" s="27">
        <f>IF($B330="","",IFERROR(TRIM(LEFT($B330,FIND(" - ",$B330)-1)),"Others"))</f>
        <v/>
      </c>
      <c r="Q330" s="39">
        <f>IF($A330="","",SUM($F330:$H330))</f>
        <v/>
      </c>
      <c r="R330" s="39">
        <f>IF($A330="","",SUM($I330:$K330))</f>
        <v/>
      </c>
      <c r="S330" s="39">
        <f>IF($A330="","",($L330+$R330)-$Q330)</f>
        <v/>
      </c>
      <c r="T330" s="31">
        <f>IF(OR($A330="",$Q330=0),"",$S330/$Q330)</f>
        <v/>
      </c>
      <c r="U330" s="27">
        <f>IF($A330="","",IF($L330&gt;0,"Live","Exited"))</f>
        <v/>
      </c>
      <c r="V330" s="40">
        <f>IF($A330="","",IF($A330='Client Report'!$C$4,COUNTIFS($A$6:$A330,'Client Report'!$C$4),""))</f>
        <v/>
      </c>
    </row>
    <row r="331">
      <c r="A331" s="11" t="n"/>
      <c r="B331" s="11" t="n"/>
      <c r="C331" s="11" t="n"/>
      <c r="D331" s="11" t="n"/>
      <c r="E331" s="12" t="n"/>
      <c r="F331" s="34" t="n"/>
      <c r="G331" s="34" t="n"/>
      <c r="H331" s="34" t="n"/>
      <c r="I331" s="34" t="n"/>
      <c r="J331" s="34" t="n"/>
      <c r="K331" s="34" t="n"/>
      <c r="L331" s="34" t="n"/>
      <c r="M331" s="36" t="n"/>
      <c r="N331" s="36" t="n"/>
      <c r="O331" s="41" t="n"/>
      <c r="P331" s="27">
        <f>IF($B331="","",IFERROR(TRIM(LEFT($B331,FIND(" - ",$B331)-1)),"Others"))</f>
        <v/>
      </c>
      <c r="Q331" s="39">
        <f>IF($A331="","",SUM($F331:$H331))</f>
        <v/>
      </c>
      <c r="R331" s="39">
        <f>IF($A331="","",SUM($I331:$K331))</f>
        <v/>
      </c>
      <c r="S331" s="39">
        <f>IF($A331="","",($L331+$R331)-$Q331)</f>
        <v/>
      </c>
      <c r="T331" s="31">
        <f>IF(OR($A331="",$Q331=0),"",$S331/$Q331)</f>
        <v/>
      </c>
      <c r="U331" s="27">
        <f>IF($A331="","",IF($L331&gt;0,"Live","Exited"))</f>
        <v/>
      </c>
      <c r="V331" s="40">
        <f>IF($A331="","",IF($A331='Client Report'!$C$4,COUNTIFS($A$6:$A331,'Client Report'!$C$4),""))</f>
        <v/>
      </c>
    </row>
    <row r="332">
      <c r="A332" s="11" t="n"/>
      <c r="B332" s="11" t="n"/>
      <c r="C332" s="11" t="n"/>
      <c r="D332" s="11" t="n"/>
      <c r="E332" s="12" t="n"/>
      <c r="F332" s="34" t="n"/>
      <c r="G332" s="34" t="n"/>
      <c r="H332" s="34" t="n"/>
      <c r="I332" s="34" t="n"/>
      <c r="J332" s="34" t="n"/>
      <c r="K332" s="34" t="n"/>
      <c r="L332" s="34" t="n"/>
      <c r="M332" s="36" t="n"/>
      <c r="N332" s="36" t="n"/>
      <c r="O332" s="41" t="n"/>
      <c r="P332" s="27">
        <f>IF($B332="","",IFERROR(TRIM(LEFT($B332,FIND(" - ",$B332)-1)),"Others"))</f>
        <v/>
      </c>
      <c r="Q332" s="39">
        <f>IF($A332="","",SUM($F332:$H332))</f>
        <v/>
      </c>
      <c r="R332" s="39">
        <f>IF($A332="","",SUM($I332:$K332))</f>
        <v/>
      </c>
      <c r="S332" s="39">
        <f>IF($A332="","",($L332+$R332)-$Q332)</f>
        <v/>
      </c>
      <c r="T332" s="31">
        <f>IF(OR($A332="",$Q332=0),"",$S332/$Q332)</f>
        <v/>
      </c>
      <c r="U332" s="27">
        <f>IF($A332="","",IF($L332&gt;0,"Live","Exited"))</f>
        <v/>
      </c>
      <c r="V332" s="40">
        <f>IF($A332="","",IF($A332='Client Report'!$C$4,COUNTIFS($A$6:$A332,'Client Report'!$C$4),""))</f>
        <v/>
      </c>
    </row>
    <row r="333">
      <c r="A333" s="11" t="n"/>
      <c r="B333" s="11" t="n"/>
      <c r="C333" s="11" t="n"/>
      <c r="D333" s="11" t="n"/>
      <c r="E333" s="12" t="n"/>
      <c r="F333" s="34" t="n"/>
      <c r="G333" s="34" t="n"/>
      <c r="H333" s="34" t="n"/>
      <c r="I333" s="34" t="n"/>
      <c r="J333" s="34" t="n"/>
      <c r="K333" s="34" t="n"/>
      <c r="L333" s="34" t="n"/>
      <c r="M333" s="36" t="n"/>
      <c r="N333" s="36" t="n"/>
      <c r="O333" s="41" t="n"/>
      <c r="P333" s="27">
        <f>IF($B333="","",IFERROR(TRIM(LEFT($B333,FIND(" - ",$B333)-1)),"Others"))</f>
        <v/>
      </c>
      <c r="Q333" s="39">
        <f>IF($A333="","",SUM($F333:$H333))</f>
        <v/>
      </c>
      <c r="R333" s="39">
        <f>IF($A333="","",SUM($I333:$K333))</f>
        <v/>
      </c>
      <c r="S333" s="39">
        <f>IF($A333="","",($L333+$R333)-$Q333)</f>
        <v/>
      </c>
      <c r="T333" s="31">
        <f>IF(OR($A333="",$Q333=0),"",$S333/$Q333)</f>
        <v/>
      </c>
      <c r="U333" s="27">
        <f>IF($A333="","",IF($L333&gt;0,"Live","Exited"))</f>
        <v/>
      </c>
      <c r="V333" s="40">
        <f>IF($A333="","",IF($A333='Client Report'!$C$4,COUNTIFS($A$6:$A333,'Client Report'!$C$4),""))</f>
        <v/>
      </c>
    </row>
    <row r="334">
      <c r="A334" s="11" t="n"/>
      <c r="B334" s="11" t="n"/>
      <c r="C334" s="11" t="n"/>
      <c r="D334" s="11" t="n"/>
      <c r="E334" s="12" t="n"/>
      <c r="F334" s="34" t="n"/>
      <c r="G334" s="34" t="n"/>
      <c r="H334" s="34" t="n"/>
      <c r="I334" s="34" t="n"/>
      <c r="J334" s="34" t="n"/>
      <c r="K334" s="34" t="n"/>
      <c r="L334" s="34" t="n"/>
      <c r="M334" s="36" t="n"/>
      <c r="N334" s="36" t="n"/>
      <c r="O334" s="41" t="n"/>
      <c r="P334" s="27">
        <f>IF($B334="","",IFERROR(TRIM(LEFT($B334,FIND(" - ",$B334)-1)),"Others"))</f>
        <v/>
      </c>
      <c r="Q334" s="39">
        <f>IF($A334="","",SUM($F334:$H334))</f>
        <v/>
      </c>
      <c r="R334" s="39">
        <f>IF($A334="","",SUM($I334:$K334))</f>
        <v/>
      </c>
      <c r="S334" s="39">
        <f>IF($A334="","",($L334+$R334)-$Q334)</f>
        <v/>
      </c>
      <c r="T334" s="31">
        <f>IF(OR($A334="",$Q334=0),"",$S334/$Q334)</f>
        <v/>
      </c>
      <c r="U334" s="27">
        <f>IF($A334="","",IF($L334&gt;0,"Live","Exited"))</f>
        <v/>
      </c>
      <c r="V334" s="40">
        <f>IF($A334="","",IF($A334='Client Report'!$C$4,COUNTIFS($A$6:$A334,'Client Report'!$C$4),""))</f>
        <v/>
      </c>
    </row>
    <row r="335">
      <c r="A335" s="11" t="n"/>
      <c r="B335" s="11" t="n"/>
      <c r="C335" s="11" t="n"/>
      <c r="D335" s="11" t="n"/>
      <c r="E335" s="12" t="n"/>
      <c r="F335" s="34" t="n"/>
      <c r="G335" s="34" t="n"/>
      <c r="H335" s="34" t="n"/>
      <c r="I335" s="34" t="n"/>
      <c r="J335" s="34" t="n"/>
      <c r="K335" s="34" t="n"/>
      <c r="L335" s="34" t="n"/>
      <c r="M335" s="36" t="n"/>
      <c r="N335" s="36" t="n"/>
      <c r="O335" s="41" t="n"/>
      <c r="P335" s="27">
        <f>IF($B335="","",IFERROR(TRIM(LEFT($B335,FIND(" - ",$B335)-1)),"Others"))</f>
        <v/>
      </c>
      <c r="Q335" s="39">
        <f>IF($A335="","",SUM($F335:$H335))</f>
        <v/>
      </c>
      <c r="R335" s="39">
        <f>IF($A335="","",SUM($I335:$K335))</f>
        <v/>
      </c>
      <c r="S335" s="39">
        <f>IF($A335="","",($L335+$R335)-$Q335)</f>
        <v/>
      </c>
      <c r="T335" s="31">
        <f>IF(OR($A335="",$Q335=0),"",$S335/$Q335)</f>
        <v/>
      </c>
      <c r="U335" s="27">
        <f>IF($A335="","",IF($L335&gt;0,"Live","Exited"))</f>
        <v/>
      </c>
      <c r="V335" s="40">
        <f>IF($A335="","",IF($A335='Client Report'!$C$4,COUNTIFS($A$6:$A335,'Client Report'!$C$4),""))</f>
        <v/>
      </c>
    </row>
    <row r="336">
      <c r="A336" s="11" t="n"/>
      <c r="B336" s="11" t="n"/>
      <c r="C336" s="11" t="n"/>
      <c r="D336" s="11" t="n"/>
      <c r="E336" s="12" t="n"/>
      <c r="F336" s="34" t="n"/>
      <c r="G336" s="34" t="n"/>
      <c r="H336" s="34" t="n"/>
      <c r="I336" s="34" t="n"/>
      <c r="J336" s="34" t="n"/>
      <c r="K336" s="34" t="n"/>
      <c r="L336" s="34" t="n"/>
      <c r="M336" s="36" t="n"/>
      <c r="N336" s="36" t="n"/>
      <c r="O336" s="41" t="n"/>
      <c r="P336" s="27">
        <f>IF($B336="","",IFERROR(TRIM(LEFT($B336,FIND(" - ",$B336)-1)),"Others"))</f>
        <v/>
      </c>
      <c r="Q336" s="39">
        <f>IF($A336="","",SUM($F336:$H336))</f>
        <v/>
      </c>
      <c r="R336" s="39">
        <f>IF($A336="","",SUM($I336:$K336))</f>
        <v/>
      </c>
      <c r="S336" s="39">
        <f>IF($A336="","",($L336+$R336)-$Q336)</f>
        <v/>
      </c>
      <c r="T336" s="31">
        <f>IF(OR($A336="",$Q336=0),"",$S336/$Q336)</f>
        <v/>
      </c>
      <c r="U336" s="27">
        <f>IF($A336="","",IF($L336&gt;0,"Live","Exited"))</f>
        <v/>
      </c>
      <c r="V336" s="40">
        <f>IF($A336="","",IF($A336='Client Report'!$C$4,COUNTIFS($A$6:$A336,'Client Report'!$C$4),""))</f>
        <v/>
      </c>
    </row>
    <row r="337">
      <c r="A337" s="11" t="n"/>
      <c r="B337" s="11" t="n"/>
      <c r="C337" s="11" t="n"/>
      <c r="D337" s="11" t="n"/>
      <c r="E337" s="12" t="n"/>
      <c r="F337" s="34" t="n"/>
      <c r="G337" s="34" t="n"/>
      <c r="H337" s="34" t="n"/>
      <c r="I337" s="34" t="n"/>
      <c r="J337" s="34" t="n"/>
      <c r="K337" s="34" t="n"/>
      <c r="L337" s="34" t="n"/>
      <c r="M337" s="36" t="n"/>
      <c r="N337" s="36" t="n"/>
      <c r="O337" s="41" t="n"/>
      <c r="P337" s="27">
        <f>IF($B337="","",IFERROR(TRIM(LEFT($B337,FIND(" - ",$B337)-1)),"Others"))</f>
        <v/>
      </c>
      <c r="Q337" s="39">
        <f>IF($A337="","",SUM($F337:$H337))</f>
        <v/>
      </c>
      <c r="R337" s="39">
        <f>IF($A337="","",SUM($I337:$K337))</f>
        <v/>
      </c>
      <c r="S337" s="39">
        <f>IF($A337="","",($L337+$R337)-$Q337)</f>
        <v/>
      </c>
      <c r="T337" s="31">
        <f>IF(OR($A337="",$Q337=0),"",$S337/$Q337)</f>
        <v/>
      </c>
      <c r="U337" s="27">
        <f>IF($A337="","",IF($L337&gt;0,"Live","Exited"))</f>
        <v/>
      </c>
      <c r="V337" s="40">
        <f>IF($A337="","",IF($A337='Client Report'!$C$4,COUNTIFS($A$6:$A337,'Client Report'!$C$4),""))</f>
        <v/>
      </c>
    </row>
    <row r="338">
      <c r="A338" s="11" t="n"/>
      <c r="B338" s="11" t="n"/>
      <c r="C338" s="11" t="n"/>
      <c r="D338" s="11" t="n"/>
      <c r="E338" s="12" t="n"/>
      <c r="F338" s="34" t="n"/>
      <c r="G338" s="34" t="n"/>
      <c r="H338" s="34" t="n"/>
      <c r="I338" s="34" t="n"/>
      <c r="J338" s="34" t="n"/>
      <c r="K338" s="34" t="n"/>
      <c r="L338" s="34" t="n"/>
      <c r="M338" s="36" t="n"/>
      <c r="N338" s="36" t="n"/>
      <c r="O338" s="41" t="n"/>
      <c r="P338" s="27">
        <f>IF($B338="","",IFERROR(TRIM(LEFT($B338,FIND(" - ",$B338)-1)),"Others"))</f>
        <v/>
      </c>
      <c r="Q338" s="39">
        <f>IF($A338="","",SUM($F338:$H338))</f>
        <v/>
      </c>
      <c r="R338" s="39">
        <f>IF($A338="","",SUM($I338:$K338))</f>
        <v/>
      </c>
      <c r="S338" s="39">
        <f>IF($A338="","",($L338+$R338)-$Q338)</f>
        <v/>
      </c>
      <c r="T338" s="31">
        <f>IF(OR($A338="",$Q338=0),"",$S338/$Q338)</f>
        <v/>
      </c>
      <c r="U338" s="27">
        <f>IF($A338="","",IF($L338&gt;0,"Live","Exited"))</f>
        <v/>
      </c>
      <c r="V338" s="40">
        <f>IF($A338="","",IF($A338='Client Report'!$C$4,COUNTIFS($A$6:$A338,'Client Report'!$C$4),""))</f>
        <v/>
      </c>
    </row>
    <row r="339">
      <c r="A339" s="11" t="n"/>
      <c r="B339" s="11" t="n"/>
      <c r="C339" s="11" t="n"/>
      <c r="D339" s="11" t="n"/>
      <c r="E339" s="12" t="n"/>
      <c r="F339" s="34" t="n"/>
      <c r="G339" s="34" t="n"/>
      <c r="H339" s="34" t="n"/>
      <c r="I339" s="34" t="n"/>
      <c r="J339" s="34" t="n"/>
      <c r="K339" s="34" t="n"/>
      <c r="L339" s="34" t="n"/>
      <c r="M339" s="36" t="n"/>
      <c r="N339" s="36" t="n"/>
      <c r="O339" s="41" t="n"/>
      <c r="P339" s="27">
        <f>IF($B339="","",IFERROR(TRIM(LEFT($B339,FIND(" - ",$B339)-1)),"Others"))</f>
        <v/>
      </c>
      <c r="Q339" s="39">
        <f>IF($A339="","",SUM($F339:$H339))</f>
        <v/>
      </c>
      <c r="R339" s="39">
        <f>IF($A339="","",SUM($I339:$K339))</f>
        <v/>
      </c>
      <c r="S339" s="39">
        <f>IF($A339="","",($L339+$R339)-$Q339)</f>
        <v/>
      </c>
      <c r="T339" s="31">
        <f>IF(OR($A339="",$Q339=0),"",$S339/$Q339)</f>
        <v/>
      </c>
      <c r="U339" s="27">
        <f>IF($A339="","",IF($L339&gt;0,"Live","Exited"))</f>
        <v/>
      </c>
      <c r="V339" s="40">
        <f>IF($A339="","",IF($A339='Client Report'!$C$4,COUNTIFS($A$6:$A339,'Client Report'!$C$4),""))</f>
        <v/>
      </c>
    </row>
    <row r="340">
      <c r="A340" s="11" t="n"/>
      <c r="B340" s="11" t="n"/>
      <c r="C340" s="11" t="n"/>
      <c r="D340" s="11" t="n"/>
      <c r="E340" s="12" t="n"/>
      <c r="F340" s="34" t="n"/>
      <c r="G340" s="34" t="n"/>
      <c r="H340" s="34" t="n"/>
      <c r="I340" s="34" t="n"/>
      <c r="J340" s="34" t="n"/>
      <c r="K340" s="34" t="n"/>
      <c r="L340" s="34" t="n"/>
      <c r="M340" s="36" t="n"/>
      <c r="N340" s="36" t="n"/>
      <c r="O340" s="41" t="n"/>
      <c r="P340" s="27">
        <f>IF($B340="","",IFERROR(TRIM(LEFT($B340,FIND(" - ",$B340)-1)),"Others"))</f>
        <v/>
      </c>
      <c r="Q340" s="39">
        <f>IF($A340="","",SUM($F340:$H340))</f>
        <v/>
      </c>
      <c r="R340" s="39">
        <f>IF($A340="","",SUM($I340:$K340))</f>
        <v/>
      </c>
      <c r="S340" s="39">
        <f>IF($A340="","",($L340+$R340)-$Q340)</f>
        <v/>
      </c>
      <c r="T340" s="31">
        <f>IF(OR($A340="",$Q340=0),"",$S340/$Q340)</f>
        <v/>
      </c>
      <c r="U340" s="27">
        <f>IF($A340="","",IF($L340&gt;0,"Live","Exited"))</f>
        <v/>
      </c>
      <c r="V340" s="40">
        <f>IF($A340="","",IF($A340='Client Report'!$C$4,COUNTIFS($A$6:$A340,'Client Report'!$C$4),""))</f>
        <v/>
      </c>
    </row>
    <row r="341">
      <c r="A341" s="11" t="n"/>
      <c r="B341" s="11" t="n"/>
      <c r="C341" s="11" t="n"/>
      <c r="D341" s="11" t="n"/>
      <c r="E341" s="12" t="n"/>
      <c r="F341" s="34" t="n"/>
      <c r="G341" s="34" t="n"/>
      <c r="H341" s="34" t="n"/>
      <c r="I341" s="34" t="n"/>
      <c r="J341" s="34" t="n"/>
      <c r="K341" s="34" t="n"/>
      <c r="L341" s="34" t="n"/>
      <c r="M341" s="36" t="n"/>
      <c r="N341" s="36" t="n"/>
      <c r="O341" s="41" t="n"/>
      <c r="P341" s="27">
        <f>IF($B341="","",IFERROR(TRIM(LEFT($B341,FIND(" - ",$B341)-1)),"Others"))</f>
        <v/>
      </c>
      <c r="Q341" s="39">
        <f>IF($A341="","",SUM($F341:$H341))</f>
        <v/>
      </c>
      <c r="R341" s="39">
        <f>IF($A341="","",SUM($I341:$K341))</f>
        <v/>
      </c>
      <c r="S341" s="39">
        <f>IF($A341="","",($L341+$R341)-$Q341)</f>
        <v/>
      </c>
      <c r="T341" s="31">
        <f>IF(OR($A341="",$Q341=0),"",$S341/$Q341)</f>
        <v/>
      </c>
      <c r="U341" s="27">
        <f>IF($A341="","",IF($L341&gt;0,"Live","Exited"))</f>
        <v/>
      </c>
      <c r="V341" s="40">
        <f>IF($A341="","",IF($A341='Client Report'!$C$4,COUNTIFS($A$6:$A341,'Client Report'!$C$4),""))</f>
        <v/>
      </c>
    </row>
    <row r="342">
      <c r="A342" s="11" t="n"/>
      <c r="B342" s="11" t="n"/>
      <c r="C342" s="11" t="n"/>
      <c r="D342" s="11" t="n"/>
      <c r="E342" s="12" t="n"/>
      <c r="F342" s="34" t="n"/>
      <c r="G342" s="34" t="n"/>
      <c r="H342" s="34" t="n"/>
      <c r="I342" s="34" t="n"/>
      <c r="J342" s="34" t="n"/>
      <c r="K342" s="34" t="n"/>
      <c r="L342" s="34" t="n"/>
      <c r="M342" s="36" t="n"/>
      <c r="N342" s="36" t="n"/>
      <c r="O342" s="41" t="n"/>
      <c r="P342" s="27">
        <f>IF($B342="","",IFERROR(TRIM(LEFT($B342,FIND(" - ",$B342)-1)),"Others"))</f>
        <v/>
      </c>
      <c r="Q342" s="39">
        <f>IF($A342="","",SUM($F342:$H342))</f>
        <v/>
      </c>
      <c r="R342" s="39">
        <f>IF($A342="","",SUM($I342:$K342))</f>
        <v/>
      </c>
      <c r="S342" s="39">
        <f>IF($A342="","",($L342+$R342)-$Q342)</f>
        <v/>
      </c>
      <c r="T342" s="31">
        <f>IF(OR($A342="",$Q342=0),"",$S342/$Q342)</f>
        <v/>
      </c>
      <c r="U342" s="27">
        <f>IF($A342="","",IF($L342&gt;0,"Live","Exited"))</f>
        <v/>
      </c>
      <c r="V342" s="40">
        <f>IF($A342="","",IF($A342='Client Report'!$C$4,COUNTIFS($A$6:$A342,'Client Report'!$C$4),""))</f>
        <v/>
      </c>
    </row>
    <row r="343">
      <c r="A343" s="11" t="n"/>
      <c r="B343" s="11" t="n"/>
      <c r="C343" s="11" t="n"/>
      <c r="D343" s="11" t="n"/>
      <c r="E343" s="12" t="n"/>
      <c r="F343" s="34" t="n"/>
      <c r="G343" s="34" t="n"/>
      <c r="H343" s="34" t="n"/>
      <c r="I343" s="34" t="n"/>
      <c r="J343" s="34" t="n"/>
      <c r="K343" s="34" t="n"/>
      <c r="L343" s="34" t="n"/>
      <c r="M343" s="36" t="n"/>
      <c r="N343" s="36" t="n"/>
      <c r="O343" s="41" t="n"/>
      <c r="P343" s="27">
        <f>IF($B343="","",IFERROR(TRIM(LEFT($B343,FIND(" - ",$B343)-1)),"Others"))</f>
        <v/>
      </c>
      <c r="Q343" s="39">
        <f>IF($A343="","",SUM($F343:$H343))</f>
        <v/>
      </c>
      <c r="R343" s="39">
        <f>IF($A343="","",SUM($I343:$K343))</f>
        <v/>
      </c>
      <c r="S343" s="39">
        <f>IF($A343="","",($L343+$R343)-$Q343)</f>
        <v/>
      </c>
      <c r="T343" s="31">
        <f>IF(OR($A343="",$Q343=0),"",$S343/$Q343)</f>
        <v/>
      </c>
      <c r="U343" s="27">
        <f>IF($A343="","",IF($L343&gt;0,"Live","Exited"))</f>
        <v/>
      </c>
      <c r="V343" s="40">
        <f>IF($A343="","",IF($A343='Client Report'!$C$4,COUNTIFS($A$6:$A343,'Client Report'!$C$4),""))</f>
        <v/>
      </c>
    </row>
    <row r="344">
      <c r="A344" s="11" t="n"/>
      <c r="B344" s="11" t="n"/>
      <c r="C344" s="11" t="n"/>
      <c r="D344" s="11" t="n"/>
      <c r="E344" s="12" t="n"/>
      <c r="F344" s="34" t="n"/>
      <c r="G344" s="34" t="n"/>
      <c r="H344" s="34" t="n"/>
      <c r="I344" s="34" t="n"/>
      <c r="J344" s="34" t="n"/>
      <c r="K344" s="34" t="n"/>
      <c r="L344" s="34" t="n"/>
      <c r="M344" s="36" t="n"/>
      <c r="N344" s="36" t="n"/>
      <c r="O344" s="41" t="n"/>
      <c r="P344" s="27">
        <f>IF($B344="","",IFERROR(TRIM(LEFT($B344,FIND(" - ",$B344)-1)),"Others"))</f>
        <v/>
      </c>
      <c r="Q344" s="39">
        <f>IF($A344="","",SUM($F344:$H344))</f>
        <v/>
      </c>
      <c r="R344" s="39">
        <f>IF($A344="","",SUM($I344:$K344))</f>
        <v/>
      </c>
      <c r="S344" s="39">
        <f>IF($A344="","",($L344+$R344)-$Q344)</f>
        <v/>
      </c>
      <c r="T344" s="31">
        <f>IF(OR($A344="",$Q344=0),"",$S344/$Q344)</f>
        <v/>
      </c>
      <c r="U344" s="27">
        <f>IF($A344="","",IF($L344&gt;0,"Live","Exited"))</f>
        <v/>
      </c>
      <c r="V344" s="40">
        <f>IF($A344="","",IF($A344='Client Report'!$C$4,COUNTIFS($A$6:$A344,'Client Report'!$C$4),""))</f>
        <v/>
      </c>
    </row>
    <row r="345">
      <c r="A345" s="11" t="n"/>
      <c r="B345" s="11" t="n"/>
      <c r="C345" s="11" t="n"/>
      <c r="D345" s="11" t="n"/>
      <c r="E345" s="12" t="n"/>
      <c r="F345" s="34" t="n"/>
      <c r="G345" s="34" t="n"/>
      <c r="H345" s="34" t="n"/>
      <c r="I345" s="34" t="n"/>
      <c r="J345" s="34" t="n"/>
      <c r="K345" s="34" t="n"/>
      <c r="L345" s="34" t="n"/>
      <c r="M345" s="36" t="n"/>
      <c r="N345" s="36" t="n"/>
      <c r="O345" s="41" t="n"/>
      <c r="P345" s="27">
        <f>IF($B345="","",IFERROR(TRIM(LEFT($B345,FIND(" - ",$B345)-1)),"Others"))</f>
        <v/>
      </c>
      <c r="Q345" s="39">
        <f>IF($A345="","",SUM($F345:$H345))</f>
        <v/>
      </c>
      <c r="R345" s="39">
        <f>IF($A345="","",SUM($I345:$K345))</f>
        <v/>
      </c>
      <c r="S345" s="39">
        <f>IF($A345="","",($L345+$R345)-$Q345)</f>
        <v/>
      </c>
      <c r="T345" s="31">
        <f>IF(OR($A345="",$Q345=0),"",$S345/$Q345)</f>
        <v/>
      </c>
      <c r="U345" s="27">
        <f>IF($A345="","",IF($L345&gt;0,"Live","Exited"))</f>
        <v/>
      </c>
      <c r="V345" s="40">
        <f>IF($A345="","",IF($A345='Client Report'!$C$4,COUNTIFS($A$6:$A345,'Client Report'!$C$4),""))</f>
        <v/>
      </c>
    </row>
    <row r="346">
      <c r="A346" s="11" t="n"/>
      <c r="B346" s="11" t="n"/>
      <c r="C346" s="11" t="n"/>
      <c r="D346" s="11" t="n"/>
      <c r="E346" s="12" t="n"/>
      <c r="F346" s="34" t="n"/>
      <c r="G346" s="34" t="n"/>
      <c r="H346" s="34" t="n"/>
      <c r="I346" s="34" t="n"/>
      <c r="J346" s="34" t="n"/>
      <c r="K346" s="34" t="n"/>
      <c r="L346" s="34" t="n"/>
      <c r="M346" s="36" t="n"/>
      <c r="N346" s="36" t="n"/>
      <c r="O346" s="41" t="n"/>
      <c r="P346" s="27">
        <f>IF($B346="","",IFERROR(TRIM(LEFT($B346,FIND(" - ",$B346)-1)),"Others"))</f>
        <v/>
      </c>
      <c r="Q346" s="39">
        <f>IF($A346="","",SUM($F346:$H346))</f>
        <v/>
      </c>
      <c r="R346" s="39">
        <f>IF($A346="","",SUM($I346:$K346))</f>
        <v/>
      </c>
      <c r="S346" s="39">
        <f>IF($A346="","",($L346+$R346)-$Q346)</f>
        <v/>
      </c>
      <c r="T346" s="31">
        <f>IF(OR($A346="",$Q346=0),"",$S346/$Q346)</f>
        <v/>
      </c>
      <c r="U346" s="27">
        <f>IF($A346="","",IF($L346&gt;0,"Live","Exited"))</f>
        <v/>
      </c>
      <c r="V346" s="40">
        <f>IF($A346="","",IF($A346='Client Report'!$C$4,COUNTIFS($A$6:$A346,'Client Report'!$C$4),""))</f>
        <v/>
      </c>
    </row>
    <row r="347">
      <c r="A347" s="11" t="n"/>
      <c r="B347" s="11" t="n"/>
      <c r="C347" s="11" t="n"/>
      <c r="D347" s="11" t="n"/>
      <c r="E347" s="12" t="n"/>
      <c r="F347" s="34" t="n"/>
      <c r="G347" s="34" t="n"/>
      <c r="H347" s="34" t="n"/>
      <c r="I347" s="34" t="n"/>
      <c r="J347" s="34" t="n"/>
      <c r="K347" s="34" t="n"/>
      <c r="L347" s="34" t="n"/>
      <c r="M347" s="36" t="n"/>
      <c r="N347" s="36" t="n"/>
      <c r="O347" s="41" t="n"/>
      <c r="P347" s="27">
        <f>IF($B347="","",IFERROR(TRIM(LEFT($B347,FIND(" - ",$B347)-1)),"Others"))</f>
        <v/>
      </c>
      <c r="Q347" s="39">
        <f>IF($A347="","",SUM($F347:$H347))</f>
        <v/>
      </c>
      <c r="R347" s="39">
        <f>IF($A347="","",SUM($I347:$K347))</f>
        <v/>
      </c>
      <c r="S347" s="39">
        <f>IF($A347="","",($L347+$R347)-$Q347)</f>
        <v/>
      </c>
      <c r="T347" s="31">
        <f>IF(OR($A347="",$Q347=0),"",$S347/$Q347)</f>
        <v/>
      </c>
      <c r="U347" s="27">
        <f>IF($A347="","",IF($L347&gt;0,"Live","Exited"))</f>
        <v/>
      </c>
      <c r="V347" s="40">
        <f>IF($A347="","",IF($A347='Client Report'!$C$4,COUNTIFS($A$6:$A347,'Client Report'!$C$4),""))</f>
        <v/>
      </c>
    </row>
    <row r="348">
      <c r="A348" s="11" t="n"/>
      <c r="B348" s="11" t="n"/>
      <c r="C348" s="11" t="n"/>
      <c r="D348" s="11" t="n"/>
      <c r="E348" s="12" t="n"/>
      <c r="F348" s="34" t="n"/>
      <c r="G348" s="34" t="n"/>
      <c r="H348" s="34" t="n"/>
      <c r="I348" s="34" t="n"/>
      <c r="J348" s="34" t="n"/>
      <c r="K348" s="34" t="n"/>
      <c r="L348" s="34" t="n"/>
      <c r="M348" s="36" t="n"/>
      <c r="N348" s="36" t="n"/>
      <c r="O348" s="41" t="n"/>
      <c r="P348" s="27">
        <f>IF($B348="","",IFERROR(TRIM(LEFT($B348,FIND(" - ",$B348)-1)),"Others"))</f>
        <v/>
      </c>
      <c r="Q348" s="39">
        <f>IF($A348="","",SUM($F348:$H348))</f>
        <v/>
      </c>
      <c r="R348" s="39">
        <f>IF($A348="","",SUM($I348:$K348))</f>
        <v/>
      </c>
      <c r="S348" s="39">
        <f>IF($A348="","",($L348+$R348)-$Q348)</f>
        <v/>
      </c>
      <c r="T348" s="31">
        <f>IF(OR($A348="",$Q348=0),"",$S348/$Q348)</f>
        <v/>
      </c>
      <c r="U348" s="27">
        <f>IF($A348="","",IF($L348&gt;0,"Live","Exited"))</f>
        <v/>
      </c>
      <c r="V348" s="40">
        <f>IF($A348="","",IF($A348='Client Report'!$C$4,COUNTIFS($A$6:$A348,'Client Report'!$C$4),""))</f>
        <v/>
      </c>
    </row>
    <row r="349">
      <c r="A349" s="11" t="n"/>
      <c r="B349" s="11" t="n"/>
      <c r="C349" s="11" t="n"/>
      <c r="D349" s="11" t="n"/>
      <c r="E349" s="12" t="n"/>
      <c r="F349" s="34" t="n"/>
      <c r="G349" s="34" t="n"/>
      <c r="H349" s="34" t="n"/>
      <c r="I349" s="34" t="n"/>
      <c r="J349" s="34" t="n"/>
      <c r="K349" s="34" t="n"/>
      <c r="L349" s="34" t="n"/>
      <c r="M349" s="36" t="n"/>
      <c r="N349" s="36" t="n"/>
      <c r="O349" s="41" t="n"/>
      <c r="P349" s="27">
        <f>IF($B349="","",IFERROR(TRIM(LEFT($B349,FIND(" - ",$B349)-1)),"Others"))</f>
        <v/>
      </c>
      <c r="Q349" s="39">
        <f>IF($A349="","",SUM($F349:$H349))</f>
        <v/>
      </c>
      <c r="R349" s="39">
        <f>IF($A349="","",SUM($I349:$K349))</f>
        <v/>
      </c>
      <c r="S349" s="39">
        <f>IF($A349="","",($L349+$R349)-$Q349)</f>
        <v/>
      </c>
      <c r="T349" s="31">
        <f>IF(OR($A349="",$Q349=0),"",$S349/$Q349)</f>
        <v/>
      </c>
      <c r="U349" s="27">
        <f>IF($A349="","",IF($L349&gt;0,"Live","Exited"))</f>
        <v/>
      </c>
      <c r="V349" s="40">
        <f>IF($A349="","",IF($A349='Client Report'!$C$4,COUNTIFS($A$6:$A349,'Client Report'!$C$4),""))</f>
        <v/>
      </c>
    </row>
    <row r="350">
      <c r="A350" s="11" t="n"/>
      <c r="B350" s="11" t="n"/>
      <c r="C350" s="11" t="n"/>
      <c r="D350" s="11" t="n"/>
      <c r="E350" s="12" t="n"/>
      <c r="F350" s="34" t="n"/>
      <c r="G350" s="34" t="n"/>
      <c r="H350" s="34" t="n"/>
      <c r="I350" s="34" t="n"/>
      <c r="J350" s="34" t="n"/>
      <c r="K350" s="34" t="n"/>
      <c r="L350" s="34" t="n"/>
      <c r="M350" s="36" t="n"/>
      <c r="N350" s="36" t="n"/>
      <c r="O350" s="41" t="n"/>
      <c r="P350" s="27">
        <f>IF($B350="","",IFERROR(TRIM(LEFT($B350,FIND(" - ",$B350)-1)),"Others"))</f>
        <v/>
      </c>
      <c r="Q350" s="39">
        <f>IF($A350="","",SUM($F350:$H350))</f>
        <v/>
      </c>
      <c r="R350" s="39">
        <f>IF($A350="","",SUM($I350:$K350))</f>
        <v/>
      </c>
      <c r="S350" s="39">
        <f>IF($A350="","",($L350+$R350)-$Q350)</f>
        <v/>
      </c>
      <c r="T350" s="31">
        <f>IF(OR($A350="",$Q350=0),"",$S350/$Q350)</f>
        <v/>
      </c>
      <c r="U350" s="27">
        <f>IF($A350="","",IF($L350&gt;0,"Live","Exited"))</f>
        <v/>
      </c>
      <c r="V350" s="40">
        <f>IF($A350="","",IF($A350='Client Report'!$C$4,COUNTIFS($A$6:$A350,'Client Report'!$C$4),""))</f>
        <v/>
      </c>
    </row>
    <row r="351">
      <c r="A351" s="11" t="n"/>
      <c r="B351" s="11" t="n"/>
      <c r="C351" s="11" t="n"/>
      <c r="D351" s="11" t="n"/>
      <c r="E351" s="12" t="n"/>
      <c r="F351" s="34" t="n"/>
      <c r="G351" s="34" t="n"/>
      <c r="H351" s="34" t="n"/>
      <c r="I351" s="34" t="n"/>
      <c r="J351" s="34" t="n"/>
      <c r="K351" s="34" t="n"/>
      <c r="L351" s="34" t="n"/>
      <c r="M351" s="36" t="n"/>
      <c r="N351" s="36" t="n"/>
      <c r="O351" s="41" t="n"/>
      <c r="P351" s="27">
        <f>IF($B351="","",IFERROR(TRIM(LEFT($B351,FIND(" - ",$B351)-1)),"Others"))</f>
        <v/>
      </c>
      <c r="Q351" s="39">
        <f>IF($A351="","",SUM($F351:$H351))</f>
        <v/>
      </c>
      <c r="R351" s="39">
        <f>IF($A351="","",SUM($I351:$K351))</f>
        <v/>
      </c>
      <c r="S351" s="39">
        <f>IF($A351="","",($L351+$R351)-$Q351)</f>
        <v/>
      </c>
      <c r="T351" s="31">
        <f>IF(OR($A351="",$Q351=0),"",$S351/$Q351)</f>
        <v/>
      </c>
      <c r="U351" s="27">
        <f>IF($A351="","",IF($L351&gt;0,"Live","Exited"))</f>
        <v/>
      </c>
      <c r="V351" s="40">
        <f>IF($A351="","",IF($A351='Client Report'!$C$4,COUNTIFS($A$6:$A351,'Client Report'!$C$4),""))</f>
        <v/>
      </c>
    </row>
    <row r="352">
      <c r="A352" s="11" t="n"/>
      <c r="B352" s="11" t="n"/>
      <c r="C352" s="11" t="n"/>
      <c r="D352" s="11" t="n"/>
      <c r="E352" s="12" t="n"/>
      <c r="F352" s="34" t="n"/>
      <c r="G352" s="34" t="n"/>
      <c r="H352" s="34" t="n"/>
      <c r="I352" s="34" t="n"/>
      <c r="J352" s="34" t="n"/>
      <c r="K352" s="34" t="n"/>
      <c r="L352" s="34" t="n"/>
      <c r="M352" s="36" t="n"/>
      <c r="N352" s="36" t="n"/>
      <c r="O352" s="41" t="n"/>
      <c r="P352" s="27">
        <f>IF($B352="","",IFERROR(TRIM(LEFT($B352,FIND(" - ",$B352)-1)),"Others"))</f>
        <v/>
      </c>
      <c r="Q352" s="39">
        <f>IF($A352="","",SUM($F352:$H352))</f>
        <v/>
      </c>
      <c r="R352" s="39">
        <f>IF($A352="","",SUM($I352:$K352))</f>
        <v/>
      </c>
      <c r="S352" s="39">
        <f>IF($A352="","",($L352+$R352)-$Q352)</f>
        <v/>
      </c>
      <c r="T352" s="31">
        <f>IF(OR($A352="",$Q352=0),"",$S352/$Q352)</f>
        <v/>
      </c>
      <c r="U352" s="27">
        <f>IF($A352="","",IF($L352&gt;0,"Live","Exited"))</f>
        <v/>
      </c>
      <c r="V352" s="40">
        <f>IF($A352="","",IF($A352='Client Report'!$C$4,COUNTIFS($A$6:$A352,'Client Report'!$C$4),""))</f>
        <v/>
      </c>
    </row>
    <row r="353">
      <c r="A353" s="11" t="n"/>
      <c r="B353" s="11" t="n"/>
      <c r="C353" s="11" t="n"/>
      <c r="D353" s="11" t="n"/>
      <c r="E353" s="12" t="n"/>
      <c r="F353" s="34" t="n"/>
      <c r="G353" s="34" t="n"/>
      <c r="H353" s="34" t="n"/>
      <c r="I353" s="34" t="n"/>
      <c r="J353" s="34" t="n"/>
      <c r="K353" s="34" t="n"/>
      <c r="L353" s="34" t="n"/>
      <c r="M353" s="36" t="n"/>
      <c r="N353" s="36" t="n"/>
      <c r="O353" s="41" t="n"/>
      <c r="P353" s="27">
        <f>IF($B353="","",IFERROR(TRIM(LEFT($B353,FIND(" - ",$B353)-1)),"Others"))</f>
        <v/>
      </c>
      <c r="Q353" s="39">
        <f>IF($A353="","",SUM($F353:$H353))</f>
        <v/>
      </c>
      <c r="R353" s="39">
        <f>IF($A353="","",SUM($I353:$K353))</f>
        <v/>
      </c>
      <c r="S353" s="39">
        <f>IF($A353="","",($L353+$R353)-$Q353)</f>
        <v/>
      </c>
      <c r="T353" s="31">
        <f>IF(OR($A353="",$Q353=0),"",$S353/$Q353)</f>
        <v/>
      </c>
      <c r="U353" s="27">
        <f>IF($A353="","",IF($L353&gt;0,"Live","Exited"))</f>
        <v/>
      </c>
      <c r="V353" s="40">
        <f>IF($A353="","",IF($A353='Client Report'!$C$4,COUNTIFS($A$6:$A353,'Client Report'!$C$4),""))</f>
        <v/>
      </c>
    </row>
    <row r="354">
      <c r="A354" s="11" t="n"/>
      <c r="B354" s="11" t="n"/>
      <c r="C354" s="11" t="n"/>
      <c r="D354" s="11" t="n"/>
      <c r="E354" s="12" t="n"/>
      <c r="F354" s="34" t="n"/>
      <c r="G354" s="34" t="n"/>
      <c r="H354" s="34" t="n"/>
      <c r="I354" s="34" t="n"/>
      <c r="J354" s="34" t="n"/>
      <c r="K354" s="34" t="n"/>
      <c r="L354" s="34" t="n"/>
      <c r="M354" s="36" t="n"/>
      <c r="N354" s="36" t="n"/>
      <c r="O354" s="41" t="n"/>
      <c r="P354" s="27">
        <f>IF($B354="","",IFERROR(TRIM(LEFT($B354,FIND(" - ",$B354)-1)),"Others"))</f>
        <v/>
      </c>
      <c r="Q354" s="39">
        <f>IF($A354="","",SUM($F354:$H354))</f>
        <v/>
      </c>
      <c r="R354" s="39">
        <f>IF($A354="","",SUM($I354:$K354))</f>
        <v/>
      </c>
      <c r="S354" s="39">
        <f>IF($A354="","",($L354+$R354)-$Q354)</f>
        <v/>
      </c>
      <c r="T354" s="31">
        <f>IF(OR($A354="",$Q354=0),"",$S354/$Q354)</f>
        <v/>
      </c>
      <c r="U354" s="27">
        <f>IF($A354="","",IF($L354&gt;0,"Live","Exited"))</f>
        <v/>
      </c>
      <c r="V354" s="40">
        <f>IF($A354="","",IF($A354='Client Report'!$C$4,COUNTIFS($A$6:$A354,'Client Report'!$C$4),""))</f>
        <v/>
      </c>
    </row>
    <row r="355">
      <c r="A355" s="11" t="n"/>
      <c r="B355" s="11" t="n"/>
      <c r="C355" s="11" t="n"/>
      <c r="D355" s="11" t="n"/>
      <c r="E355" s="12" t="n"/>
      <c r="F355" s="34" t="n"/>
      <c r="G355" s="34" t="n"/>
      <c r="H355" s="34" t="n"/>
      <c r="I355" s="34" t="n"/>
      <c r="J355" s="34" t="n"/>
      <c r="K355" s="34" t="n"/>
      <c r="L355" s="34" t="n"/>
      <c r="M355" s="36" t="n"/>
      <c r="N355" s="36" t="n"/>
      <c r="O355" s="41" t="n"/>
      <c r="P355" s="27">
        <f>IF($B355="","",IFERROR(TRIM(LEFT($B355,FIND(" - ",$B355)-1)),"Others"))</f>
        <v/>
      </c>
      <c r="Q355" s="39">
        <f>IF($A355="","",SUM($F355:$H355))</f>
        <v/>
      </c>
      <c r="R355" s="39">
        <f>IF($A355="","",SUM($I355:$K355))</f>
        <v/>
      </c>
      <c r="S355" s="39">
        <f>IF($A355="","",($L355+$R355)-$Q355)</f>
        <v/>
      </c>
      <c r="T355" s="31">
        <f>IF(OR($A355="",$Q355=0),"",$S355/$Q355)</f>
        <v/>
      </c>
      <c r="U355" s="27">
        <f>IF($A355="","",IF($L355&gt;0,"Live","Exited"))</f>
        <v/>
      </c>
      <c r="V355" s="40">
        <f>IF($A355="","",IF($A355='Client Report'!$C$4,COUNTIFS($A$6:$A355,'Client Report'!$C$4),""))</f>
        <v/>
      </c>
    </row>
    <row r="356">
      <c r="A356" s="11" t="n"/>
      <c r="B356" s="11" t="n"/>
      <c r="C356" s="11" t="n"/>
      <c r="D356" s="11" t="n"/>
      <c r="E356" s="12" t="n"/>
      <c r="F356" s="34" t="n"/>
      <c r="G356" s="34" t="n"/>
      <c r="H356" s="34" t="n"/>
      <c r="I356" s="34" t="n"/>
      <c r="J356" s="34" t="n"/>
      <c r="K356" s="34" t="n"/>
      <c r="L356" s="34" t="n"/>
      <c r="M356" s="36" t="n"/>
      <c r="N356" s="36" t="n"/>
      <c r="O356" s="41" t="n"/>
      <c r="P356" s="27">
        <f>IF($B356="","",IFERROR(TRIM(LEFT($B356,FIND(" - ",$B356)-1)),"Others"))</f>
        <v/>
      </c>
      <c r="Q356" s="39">
        <f>IF($A356="","",SUM($F356:$H356))</f>
        <v/>
      </c>
      <c r="R356" s="39">
        <f>IF($A356="","",SUM($I356:$K356))</f>
        <v/>
      </c>
      <c r="S356" s="39">
        <f>IF($A356="","",($L356+$R356)-$Q356)</f>
        <v/>
      </c>
      <c r="T356" s="31">
        <f>IF(OR($A356="",$Q356=0),"",$S356/$Q356)</f>
        <v/>
      </c>
      <c r="U356" s="27">
        <f>IF($A356="","",IF($L356&gt;0,"Live","Exited"))</f>
        <v/>
      </c>
      <c r="V356" s="40">
        <f>IF($A356="","",IF($A356='Client Report'!$C$4,COUNTIFS($A$6:$A356,'Client Report'!$C$4),""))</f>
        <v/>
      </c>
    </row>
    <row r="357">
      <c r="A357" s="11" t="n"/>
      <c r="B357" s="11" t="n"/>
      <c r="C357" s="11" t="n"/>
      <c r="D357" s="11" t="n"/>
      <c r="E357" s="12" t="n"/>
      <c r="F357" s="34" t="n"/>
      <c r="G357" s="34" t="n"/>
      <c r="H357" s="34" t="n"/>
      <c r="I357" s="34" t="n"/>
      <c r="J357" s="34" t="n"/>
      <c r="K357" s="34" t="n"/>
      <c r="L357" s="34" t="n"/>
      <c r="M357" s="36" t="n"/>
      <c r="N357" s="36" t="n"/>
      <c r="O357" s="41" t="n"/>
      <c r="P357" s="27">
        <f>IF($B357="","",IFERROR(TRIM(LEFT($B357,FIND(" - ",$B357)-1)),"Others"))</f>
        <v/>
      </c>
      <c r="Q357" s="39">
        <f>IF($A357="","",SUM($F357:$H357))</f>
        <v/>
      </c>
      <c r="R357" s="39">
        <f>IF($A357="","",SUM($I357:$K357))</f>
        <v/>
      </c>
      <c r="S357" s="39">
        <f>IF($A357="","",($L357+$R357)-$Q357)</f>
        <v/>
      </c>
      <c r="T357" s="31">
        <f>IF(OR($A357="",$Q357=0),"",$S357/$Q357)</f>
        <v/>
      </c>
      <c r="U357" s="27">
        <f>IF($A357="","",IF($L357&gt;0,"Live","Exited"))</f>
        <v/>
      </c>
      <c r="V357" s="40">
        <f>IF($A357="","",IF($A357='Client Report'!$C$4,COUNTIFS($A$6:$A357,'Client Report'!$C$4),""))</f>
        <v/>
      </c>
    </row>
    <row r="358">
      <c r="A358" s="11" t="n"/>
      <c r="B358" s="11" t="n"/>
      <c r="C358" s="11" t="n"/>
      <c r="D358" s="11" t="n"/>
      <c r="E358" s="12" t="n"/>
      <c r="F358" s="34" t="n"/>
      <c r="G358" s="34" t="n"/>
      <c r="H358" s="34" t="n"/>
      <c r="I358" s="34" t="n"/>
      <c r="J358" s="34" t="n"/>
      <c r="K358" s="34" t="n"/>
      <c r="L358" s="34" t="n"/>
      <c r="M358" s="36" t="n"/>
      <c r="N358" s="36" t="n"/>
      <c r="O358" s="41" t="n"/>
      <c r="P358" s="27">
        <f>IF($B358="","",IFERROR(TRIM(LEFT($B358,FIND(" - ",$B358)-1)),"Others"))</f>
        <v/>
      </c>
      <c r="Q358" s="39">
        <f>IF($A358="","",SUM($F358:$H358))</f>
        <v/>
      </c>
      <c r="R358" s="39">
        <f>IF($A358="","",SUM($I358:$K358))</f>
        <v/>
      </c>
      <c r="S358" s="39">
        <f>IF($A358="","",($L358+$R358)-$Q358)</f>
        <v/>
      </c>
      <c r="T358" s="31">
        <f>IF(OR($A358="",$Q358=0),"",$S358/$Q358)</f>
        <v/>
      </c>
      <c r="U358" s="27">
        <f>IF($A358="","",IF($L358&gt;0,"Live","Exited"))</f>
        <v/>
      </c>
      <c r="V358" s="40">
        <f>IF($A358="","",IF($A358='Client Report'!$C$4,COUNTIFS($A$6:$A358,'Client Report'!$C$4),""))</f>
        <v/>
      </c>
    </row>
    <row r="359">
      <c r="A359" s="11" t="n"/>
      <c r="B359" s="11" t="n"/>
      <c r="C359" s="11" t="n"/>
      <c r="D359" s="11" t="n"/>
      <c r="E359" s="12" t="n"/>
      <c r="F359" s="34" t="n"/>
      <c r="G359" s="34" t="n"/>
      <c r="H359" s="34" t="n"/>
      <c r="I359" s="34" t="n"/>
      <c r="J359" s="34" t="n"/>
      <c r="K359" s="34" t="n"/>
      <c r="L359" s="34" t="n"/>
      <c r="M359" s="36" t="n"/>
      <c r="N359" s="36" t="n"/>
      <c r="O359" s="41" t="n"/>
      <c r="P359" s="27">
        <f>IF($B359="","",IFERROR(TRIM(LEFT($B359,FIND(" - ",$B359)-1)),"Others"))</f>
        <v/>
      </c>
      <c r="Q359" s="39">
        <f>IF($A359="","",SUM($F359:$H359))</f>
        <v/>
      </c>
      <c r="R359" s="39">
        <f>IF($A359="","",SUM($I359:$K359))</f>
        <v/>
      </c>
      <c r="S359" s="39">
        <f>IF($A359="","",($L359+$R359)-$Q359)</f>
        <v/>
      </c>
      <c r="T359" s="31">
        <f>IF(OR($A359="",$Q359=0),"",$S359/$Q359)</f>
        <v/>
      </c>
      <c r="U359" s="27">
        <f>IF($A359="","",IF($L359&gt;0,"Live","Exited"))</f>
        <v/>
      </c>
      <c r="V359" s="40">
        <f>IF($A359="","",IF($A359='Client Report'!$C$4,COUNTIFS($A$6:$A359,'Client Report'!$C$4),""))</f>
        <v/>
      </c>
    </row>
    <row r="360">
      <c r="A360" s="11" t="n"/>
      <c r="B360" s="11" t="n"/>
      <c r="C360" s="11" t="n"/>
      <c r="D360" s="11" t="n"/>
      <c r="E360" s="12" t="n"/>
      <c r="F360" s="34" t="n"/>
      <c r="G360" s="34" t="n"/>
      <c r="H360" s="34" t="n"/>
      <c r="I360" s="34" t="n"/>
      <c r="J360" s="34" t="n"/>
      <c r="K360" s="34" t="n"/>
      <c r="L360" s="34" t="n"/>
      <c r="M360" s="36" t="n"/>
      <c r="N360" s="36" t="n"/>
      <c r="O360" s="41" t="n"/>
      <c r="P360" s="27">
        <f>IF($B360="","",IFERROR(TRIM(LEFT($B360,FIND(" - ",$B360)-1)),"Others"))</f>
        <v/>
      </c>
      <c r="Q360" s="39">
        <f>IF($A360="","",SUM($F360:$H360))</f>
        <v/>
      </c>
      <c r="R360" s="39">
        <f>IF($A360="","",SUM($I360:$K360))</f>
        <v/>
      </c>
      <c r="S360" s="39">
        <f>IF($A360="","",($L360+$R360)-$Q360)</f>
        <v/>
      </c>
      <c r="T360" s="31">
        <f>IF(OR($A360="",$Q360=0),"",$S360/$Q360)</f>
        <v/>
      </c>
      <c r="U360" s="27">
        <f>IF($A360="","",IF($L360&gt;0,"Live","Exited"))</f>
        <v/>
      </c>
      <c r="V360" s="40">
        <f>IF($A360="","",IF($A360='Client Report'!$C$4,COUNTIFS($A$6:$A360,'Client Report'!$C$4),""))</f>
        <v/>
      </c>
    </row>
    <row r="361">
      <c r="A361" s="11" t="n"/>
      <c r="B361" s="11" t="n"/>
      <c r="C361" s="11" t="n"/>
      <c r="D361" s="11" t="n"/>
      <c r="E361" s="12" t="n"/>
      <c r="F361" s="34" t="n"/>
      <c r="G361" s="34" t="n"/>
      <c r="H361" s="34" t="n"/>
      <c r="I361" s="34" t="n"/>
      <c r="J361" s="34" t="n"/>
      <c r="K361" s="34" t="n"/>
      <c r="L361" s="34" t="n"/>
      <c r="M361" s="36" t="n"/>
      <c r="N361" s="36" t="n"/>
      <c r="O361" s="41" t="n"/>
      <c r="P361" s="27">
        <f>IF($B361="","",IFERROR(TRIM(LEFT($B361,FIND(" - ",$B361)-1)),"Others"))</f>
        <v/>
      </c>
      <c r="Q361" s="39">
        <f>IF($A361="","",SUM($F361:$H361))</f>
        <v/>
      </c>
      <c r="R361" s="39">
        <f>IF($A361="","",SUM($I361:$K361))</f>
        <v/>
      </c>
      <c r="S361" s="39">
        <f>IF($A361="","",($L361+$R361)-$Q361)</f>
        <v/>
      </c>
      <c r="T361" s="31">
        <f>IF(OR($A361="",$Q361=0),"",$S361/$Q361)</f>
        <v/>
      </c>
      <c r="U361" s="27">
        <f>IF($A361="","",IF($L361&gt;0,"Live","Exited"))</f>
        <v/>
      </c>
      <c r="V361" s="40">
        <f>IF($A361="","",IF($A361='Client Report'!$C$4,COUNTIFS($A$6:$A361,'Client Report'!$C$4),""))</f>
        <v/>
      </c>
    </row>
    <row r="362">
      <c r="A362" s="11" t="n"/>
      <c r="B362" s="11" t="n"/>
      <c r="C362" s="11" t="n"/>
      <c r="D362" s="11" t="n"/>
      <c r="E362" s="12" t="n"/>
      <c r="F362" s="34" t="n"/>
      <c r="G362" s="34" t="n"/>
      <c r="H362" s="34" t="n"/>
      <c r="I362" s="34" t="n"/>
      <c r="J362" s="34" t="n"/>
      <c r="K362" s="34" t="n"/>
      <c r="L362" s="34" t="n"/>
      <c r="M362" s="36" t="n"/>
      <c r="N362" s="36" t="n"/>
      <c r="O362" s="41" t="n"/>
      <c r="P362" s="27">
        <f>IF($B362="","",IFERROR(TRIM(LEFT($B362,FIND(" - ",$B362)-1)),"Others"))</f>
        <v/>
      </c>
      <c r="Q362" s="39">
        <f>IF($A362="","",SUM($F362:$H362))</f>
        <v/>
      </c>
      <c r="R362" s="39">
        <f>IF($A362="","",SUM($I362:$K362))</f>
        <v/>
      </c>
      <c r="S362" s="39">
        <f>IF($A362="","",($L362+$R362)-$Q362)</f>
        <v/>
      </c>
      <c r="T362" s="31">
        <f>IF(OR($A362="",$Q362=0),"",$S362/$Q362)</f>
        <v/>
      </c>
      <c r="U362" s="27">
        <f>IF($A362="","",IF($L362&gt;0,"Live","Exited"))</f>
        <v/>
      </c>
      <c r="V362" s="40">
        <f>IF($A362="","",IF($A362='Client Report'!$C$4,COUNTIFS($A$6:$A362,'Client Report'!$C$4),""))</f>
        <v/>
      </c>
    </row>
    <row r="363">
      <c r="A363" s="11" t="n"/>
      <c r="B363" s="11" t="n"/>
      <c r="C363" s="11" t="n"/>
      <c r="D363" s="11" t="n"/>
      <c r="E363" s="12" t="n"/>
      <c r="F363" s="34" t="n"/>
      <c r="G363" s="34" t="n"/>
      <c r="H363" s="34" t="n"/>
      <c r="I363" s="34" t="n"/>
      <c r="J363" s="34" t="n"/>
      <c r="K363" s="34" t="n"/>
      <c r="L363" s="34" t="n"/>
      <c r="M363" s="36" t="n"/>
      <c r="N363" s="36" t="n"/>
      <c r="O363" s="41" t="n"/>
      <c r="P363" s="27">
        <f>IF($B363="","",IFERROR(TRIM(LEFT($B363,FIND(" - ",$B363)-1)),"Others"))</f>
        <v/>
      </c>
      <c r="Q363" s="39">
        <f>IF($A363="","",SUM($F363:$H363))</f>
        <v/>
      </c>
      <c r="R363" s="39">
        <f>IF($A363="","",SUM($I363:$K363))</f>
        <v/>
      </c>
      <c r="S363" s="39">
        <f>IF($A363="","",($L363+$R363)-$Q363)</f>
        <v/>
      </c>
      <c r="T363" s="31">
        <f>IF(OR($A363="",$Q363=0),"",$S363/$Q363)</f>
        <v/>
      </c>
      <c r="U363" s="27">
        <f>IF($A363="","",IF($L363&gt;0,"Live","Exited"))</f>
        <v/>
      </c>
      <c r="V363" s="40">
        <f>IF($A363="","",IF($A363='Client Report'!$C$4,COUNTIFS($A$6:$A363,'Client Report'!$C$4),""))</f>
        <v/>
      </c>
    </row>
    <row r="364">
      <c r="A364" s="11" t="n"/>
      <c r="B364" s="11" t="n"/>
      <c r="C364" s="11" t="n"/>
      <c r="D364" s="11" t="n"/>
      <c r="E364" s="12" t="n"/>
      <c r="F364" s="34" t="n"/>
      <c r="G364" s="34" t="n"/>
      <c r="H364" s="34" t="n"/>
      <c r="I364" s="34" t="n"/>
      <c r="J364" s="34" t="n"/>
      <c r="K364" s="34" t="n"/>
      <c r="L364" s="34" t="n"/>
      <c r="M364" s="36" t="n"/>
      <c r="N364" s="36" t="n"/>
      <c r="O364" s="41" t="n"/>
      <c r="P364" s="27">
        <f>IF($B364="","",IFERROR(TRIM(LEFT($B364,FIND(" - ",$B364)-1)),"Others"))</f>
        <v/>
      </c>
      <c r="Q364" s="39">
        <f>IF($A364="","",SUM($F364:$H364))</f>
        <v/>
      </c>
      <c r="R364" s="39">
        <f>IF($A364="","",SUM($I364:$K364))</f>
        <v/>
      </c>
      <c r="S364" s="39">
        <f>IF($A364="","",($L364+$R364)-$Q364)</f>
        <v/>
      </c>
      <c r="T364" s="31">
        <f>IF(OR($A364="",$Q364=0),"",$S364/$Q364)</f>
        <v/>
      </c>
      <c r="U364" s="27">
        <f>IF($A364="","",IF($L364&gt;0,"Live","Exited"))</f>
        <v/>
      </c>
      <c r="V364" s="40">
        <f>IF($A364="","",IF($A364='Client Report'!$C$4,COUNTIFS($A$6:$A364,'Client Report'!$C$4),""))</f>
        <v/>
      </c>
    </row>
    <row r="365">
      <c r="A365" s="11" t="n"/>
      <c r="B365" s="11" t="n"/>
      <c r="C365" s="11" t="n"/>
      <c r="D365" s="11" t="n"/>
      <c r="E365" s="12" t="n"/>
      <c r="F365" s="34" t="n"/>
      <c r="G365" s="34" t="n"/>
      <c r="H365" s="34" t="n"/>
      <c r="I365" s="34" t="n"/>
      <c r="J365" s="34" t="n"/>
      <c r="K365" s="34" t="n"/>
      <c r="L365" s="34" t="n"/>
      <c r="M365" s="36" t="n"/>
      <c r="N365" s="36" t="n"/>
      <c r="O365" s="41" t="n"/>
      <c r="P365" s="27">
        <f>IF($B365="","",IFERROR(TRIM(LEFT($B365,FIND(" - ",$B365)-1)),"Others"))</f>
        <v/>
      </c>
      <c r="Q365" s="39">
        <f>IF($A365="","",SUM($F365:$H365))</f>
        <v/>
      </c>
      <c r="R365" s="39">
        <f>IF($A365="","",SUM($I365:$K365))</f>
        <v/>
      </c>
      <c r="S365" s="39">
        <f>IF($A365="","",($L365+$R365)-$Q365)</f>
        <v/>
      </c>
      <c r="T365" s="31">
        <f>IF(OR($A365="",$Q365=0),"",$S365/$Q365)</f>
        <v/>
      </c>
      <c r="U365" s="27">
        <f>IF($A365="","",IF($L365&gt;0,"Live","Exited"))</f>
        <v/>
      </c>
      <c r="V365" s="40">
        <f>IF($A365="","",IF($A365='Client Report'!$C$4,COUNTIFS($A$6:$A365,'Client Report'!$C$4),""))</f>
        <v/>
      </c>
    </row>
    <row r="366">
      <c r="A366" s="11" t="n"/>
      <c r="B366" s="11" t="n"/>
      <c r="C366" s="11" t="n"/>
      <c r="D366" s="11" t="n"/>
      <c r="E366" s="12" t="n"/>
      <c r="F366" s="34" t="n"/>
      <c r="G366" s="34" t="n"/>
      <c r="H366" s="34" t="n"/>
      <c r="I366" s="34" t="n"/>
      <c r="J366" s="34" t="n"/>
      <c r="K366" s="34" t="n"/>
      <c r="L366" s="34" t="n"/>
      <c r="M366" s="36" t="n"/>
      <c r="N366" s="36" t="n"/>
      <c r="O366" s="41" t="n"/>
      <c r="P366" s="27">
        <f>IF($B366="","",IFERROR(TRIM(LEFT($B366,FIND(" - ",$B366)-1)),"Others"))</f>
        <v/>
      </c>
      <c r="Q366" s="39">
        <f>IF($A366="","",SUM($F366:$H366))</f>
        <v/>
      </c>
      <c r="R366" s="39">
        <f>IF($A366="","",SUM($I366:$K366))</f>
        <v/>
      </c>
      <c r="S366" s="39">
        <f>IF($A366="","",($L366+$R366)-$Q366)</f>
        <v/>
      </c>
      <c r="T366" s="31">
        <f>IF(OR($A366="",$Q366=0),"",$S366/$Q366)</f>
        <v/>
      </c>
      <c r="U366" s="27">
        <f>IF($A366="","",IF($L366&gt;0,"Live","Exited"))</f>
        <v/>
      </c>
      <c r="V366" s="40">
        <f>IF($A366="","",IF($A366='Client Report'!$C$4,COUNTIFS($A$6:$A366,'Client Report'!$C$4),""))</f>
        <v/>
      </c>
    </row>
    <row r="367">
      <c r="A367" s="11" t="n"/>
      <c r="B367" s="11" t="n"/>
      <c r="C367" s="11" t="n"/>
      <c r="D367" s="11" t="n"/>
      <c r="E367" s="12" t="n"/>
      <c r="F367" s="34" t="n"/>
      <c r="G367" s="34" t="n"/>
      <c r="H367" s="34" t="n"/>
      <c r="I367" s="34" t="n"/>
      <c r="J367" s="34" t="n"/>
      <c r="K367" s="34" t="n"/>
      <c r="L367" s="34" t="n"/>
      <c r="M367" s="36" t="n"/>
      <c r="N367" s="36" t="n"/>
      <c r="O367" s="41" t="n"/>
      <c r="P367" s="27">
        <f>IF($B367="","",IFERROR(TRIM(LEFT($B367,FIND(" - ",$B367)-1)),"Others"))</f>
        <v/>
      </c>
      <c r="Q367" s="39">
        <f>IF($A367="","",SUM($F367:$H367))</f>
        <v/>
      </c>
      <c r="R367" s="39">
        <f>IF($A367="","",SUM($I367:$K367))</f>
        <v/>
      </c>
      <c r="S367" s="39">
        <f>IF($A367="","",($L367+$R367)-$Q367)</f>
        <v/>
      </c>
      <c r="T367" s="31">
        <f>IF(OR($A367="",$Q367=0),"",$S367/$Q367)</f>
        <v/>
      </c>
      <c r="U367" s="27">
        <f>IF($A367="","",IF($L367&gt;0,"Live","Exited"))</f>
        <v/>
      </c>
      <c r="V367" s="40">
        <f>IF($A367="","",IF($A367='Client Report'!$C$4,COUNTIFS($A$6:$A367,'Client Report'!$C$4),""))</f>
        <v/>
      </c>
    </row>
    <row r="368">
      <c r="A368" s="11" t="n"/>
      <c r="B368" s="11" t="n"/>
      <c r="C368" s="11" t="n"/>
      <c r="D368" s="11" t="n"/>
      <c r="E368" s="12" t="n"/>
      <c r="F368" s="34" t="n"/>
      <c r="G368" s="34" t="n"/>
      <c r="H368" s="34" t="n"/>
      <c r="I368" s="34" t="n"/>
      <c r="J368" s="34" t="n"/>
      <c r="K368" s="34" t="n"/>
      <c r="L368" s="34" t="n"/>
      <c r="M368" s="36" t="n"/>
      <c r="N368" s="36" t="n"/>
      <c r="O368" s="41" t="n"/>
      <c r="P368" s="27">
        <f>IF($B368="","",IFERROR(TRIM(LEFT($B368,FIND(" - ",$B368)-1)),"Others"))</f>
        <v/>
      </c>
      <c r="Q368" s="39">
        <f>IF($A368="","",SUM($F368:$H368))</f>
        <v/>
      </c>
      <c r="R368" s="39">
        <f>IF($A368="","",SUM($I368:$K368))</f>
        <v/>
      </c>
      <c r="S368" s="39">
        <f>IF($A368="","",($L368+$R368)-$Q368)</f>
        <v/>
      </c>
      <c r="T368" s="31">
        <f>IF(OR($A368="",$Q368=0),"",$S368/$Q368)</f>
        <v/>
      </c>
      <c r="U368" s="27">
        <f>IF($A368="","",IF($L368&gt;0,"Live","Exited"))</f>
        <v/>
      </c>
      <c r="V368" s="40">
        <f>IF($A368="","",IF($A368='Client Report'!$C$4,COUNTIFS($A$6:$A368,'Client Report'!$C$4),""))</f>
        <v/>
      </c>
    </row>
    <row r="369">
      <c r="A369" s="11" t="n"/>
      <c r="B369" s="11" t="n"/>
      <c r="C369" s="11" t="n"/>
      <c r="D369" s="11" t="n"/>
      <c r="E369" s="12" t="n"/>
      <c r="F369" s="34" t="n"/>
      <c r="G369" s="34" t="n"/>
      <c r="H369" s="34" t="n"/>
      <c r="I369" s="34" t="n"/>
      <c r="J369" s="34" t="n"/>
      <c r="K369" s="34" t="n"/>
      <c r="L369" s="34" t="n"/>
      <c r="M369" s="36" t="n"/>
      <c r="N369" s="36" t="n"/>
      <c r="O369" s="41" t="n"/>
      <c r="P369" s="27">
        <f>IF($B369="","",IFERROR(TRIM(LEFT($B369,FIND(" - ",$B369)-1)),"Others"))</f>
        <v/>
      </c>
      <c r="Q369" s="39">
        <f>IF($A369="","",SUM($F369:$H369))</f>
        <v/>
      </c>
      <c r="R369" s="39">
        <f>IF($A369="","",SUM($I369:$K369))</f>
        <v/>
      </c>
      <c r="S369" s="39">
        <f>IF($A369="","",($L369+$R369)-$Q369)</f>
        <v/>
      </c>
      <c r="T369" s="31">
        <f>IF(OR($A369="",$Q369=0),"",$S369/$Q369)</f>
        <v/>
      </c>
      <c r="U369" s="27">
        <f>IF($A369="","",IF($L369&gt;0,"Live","Exited"))</f>
        <v/>
      </c>
      <c r="V369" s="40">
        <f>IF($A369="","",IF($A369='Client Report'!$C$4,COUNTIFS($A$6:$A369,'Client Report'!$C$4),""))</f>
        <v/>
      </c>
    </row>
    <row r="370">
      <c r="A370" s="11" t="n"/>
      <c r="B370" s="11" t="n"/>
      <c r="C370" s="11" t="n"/>
      <c r="D370" s="11" t="n"/>
      <c r="E370" s="12" t="n"/>
      <c r="F370" s="34" t="n"/>
      <c r="G370" s="34" t="n"/>
      <c r="H370" s="34" t="n"/>
      <c r="I370" s="34" t="n"/>
      <c r="J370" s="34" t="n"/>
      <c r="K370" s="34" t="n"/>
      <c r="L370" s="34" t="n"/>
      <c r="M370" s="36" t="n"/>
      <c r="N370" s="36" t="n"/>
      <c r="O370" s="41" t="n"/>
      <c r="P370" s="27">
        <f>IF($B370="","",IFERROR(TRIM(LEFT($B370,FIND(" - ",$B370)-1)),"Others"))</f>
        <v/>
      </c>
      <c r="Q370" s="39">
        <f>IF($A370="","",SUM($F370:$H370))</f>
        <v/>
      </c>
      <c r="R370" s="39">
        <f>IF($A370="","",SUM($I370:$K370))</f>
        <v/>
      </c>
      <c r="S370" s="39">
        <f>IF($A370="","",($L370+$R370)-$Q370)</f>
        <v/>
      </c>
      <c r="T370" s="31">
        <f>IF(OR($A370="",$Q370=0),"",$S370/$Q370)</f>
        <v/>
      </c>
      <c r="U370" s="27">
        <f>IF($A370="","",IF($L370&gt;0,"Live","Exited"))</f>
        <v/>
      </c>
      <c r="V370" s="40">
        <f>IF($A370="","",IF($A370='Client Report'!$C$4,COUNTIFS($A$6:$A370,'Client Report'!$C$4),""))</f>
        <v/>
      </c>
    </row>
    <row r="371">
      <c r="A371" s="11" t="n"/>
      <c r="B371" s="11" t="n"/>
      <c r="C371" s="11" t="n"/>
      <c r="D371" s="11" t="n"/>
      <c r="E371" s="12" t="n"/>
      <c r="F371" s="34" t="n"/>
      <c r="G371" s="34" t="n"/>
      <c r="H371" s="34" t="n"/>
      <c r="I371" s="34" t="n"/>
      <c r="J371" s="34" t="n"/>
      <c r="K371" s="34" t="n"/>
      <c r="L371" s="34" t="n"/>
      <c r="M371" s="36" t="n"/>
      <c r="N371" s="36" t="n"/>
      <c r="O371" s="41" t="n"/>
      <c r="P371" s="27">
        <f>IF($B371="","",IFERROR(TRIM(LEFT($B371,FIND(" - ",$B371)-1)),"Others"))</f>
        <v/>
      </c>
      <c r="Q371" s="39">
        <f>IF($A371="","",SUM($F371:$H371))</f>
        <v/>
      </c>
      <c r="R371" s="39">
        <f>IF($A371="","",SUM($I371:$K371))</f>
        <v/>
      </c>
      <c r="S371" s="39">
        <f>IF($A371="","",($L371+$R371)-$Q371)</f>
        <v/>
      </c>
      <c r="T371" s="31">
        <f>IF(OR($A371="",$Q371=0),"",$S371/$Q371)</f>
        <v/>
      </c>
      <c r="U371" s="27">
        <f>IF($A371="","",IF($L371&gt;0,"Live","Exited"))</f>
        <v/>
      </c>
      <c r="V371" s="40">
        <f>IF($A371="","",IF($A371='Client Report'!$C$4,COUNTIFS($A$6:$A371,'Client Report'!$C$4),""))</f>
        <v/>
      </c>
    </row>
    <row r="372">
      <c r="A372" s="11" t="n"/>
      <c r="B372" s="11" t="n"/>
      <c r="C372" s="11" t="n"/>
      <c r="D372" s="11" t="n"/>
      <c r="E372" s="12" t="n"/>
      <c r="F372" s="34" t="n"/>
      <c r="G372" s="34" t="n"/>
      <c r="H372" s="34" t="n"/>
      <c r="I372" s="34" t="n"/>
      <c r="J372" s="34" t="n"/>
      <c r="K372" s="34" t="n"/>
      <c r="L372" s="34" t="n"/>
      <c r="M372" s="36" t="n"/>
      <c r="N372" s="36" t="n"/>
      <c r="O372" s="41" t="n"/>
      <c r="P372" s="27">
        <f>IF($B372="","",IFERROR(TRIM(LEFT($B372,FIND(" - ",$B372)-1)),"Others"))</f>
        <v/>
      </c>
      <c r="Q372" s="39">
        <f>IF($A372="","",SUM($F372:$H372))</f>
        <v/>
      </c>
      <c r="R372" s="39">
        <f>IF($A372="","",SUM($I372:$K372))</f>
        <v/>
      </c>
      <c r="S372" s="39">
        <f>IF($A372="","",($L372+$R372)-$Q372)</f>
        <v/>
      </c>
      <c r="T372" s="31">
        <f>IF(OR($A372="",$Q372=0),"",$S372/$Q372)</f>
        <v/>
      </c>
      <c r="U372" s="27">
        <f>IF($A372="","",IF($L372&gt;0,"Live","Exited"))</f>
        <v/>
      </c>
      <c r="V372" s="40">
        <f>IF($A372="","",IF($A372='Client Report'!$C$4,COUNTIFS($A$6:$A372,'Client Report'!$C$4),""))</f>
        <v/>
      </c>
    </row>
    <row r="373">
      <c r="A373" s="11" t="n"/>
      <c r="B373" s="11" t="n"/>
      <c r="C373" s="11" t="n"/>
      <c r="D373" s="11" t="n"/>
      <c r="E373" s="12" t="n"/>
      <c r="F373" s="34" t="n"/>
      <c r="G373" s="34" t="n"/>
      <c r="H373" s="34" t="n"/>
      <c r="I373" s="34" t="n"/>
      <c r="J373" s="34" t="n"/>
      <c r="K373" s="34" t="n"/>
      <c r="L373" s="34" t="n"/>
      <c r="M373" s="36" t="n"/>
      <c r="N373" s="36" t="n"/>
      <c r="O373" s="41" t="n"/>
      <c r="P373" s="27">
        <f>IF($B373="","",IFERROR(TRIM(LEFT($B373,FIND(" - ",$B373)-1)),"Others"))</f>
        <v/>
      </c>
      <c r="Q373" s="39">
        <f>IF($A373="","",SUM($F373:$H373))</f>
        <v/>
      </c>
      <c r="R373" s="39">
        <f>IF($A373="","",SUM($I373:$K373))</f>
        <v/>
      </c>
      <c r="S373" s="39">
        <f>IF($A373="","",($L373+$R373)-$Q373)</f>
        <v/>
      </c>
      <c r="T373" s="31">
        <f>IF(OR($A373="",$Q373=0),"",$S373/$Q373)</f>
        <v/>
      </c>
      <c r="U373" s="27">
        <f>IF($A373="","",IF($L373&gt;0,"Live","Exited"))</f>
        <v/>
      </c>
      <c r="V373" s="40">
        <f>IF($A373="","",IF($A373='Client Report'!$C$4,COUNTIFS($A$6:$A373,'Client Report'!$C$4),""))</f>
        <v/>
      </c>
    </row>
    <row r="374">
      <c r="A374" s="11" t="n"/>
      <c r="B374" s="11" t="n"/>
      <c r="C374" s="11" t="n"/>
      <c r="D374" s="11" t="n"/>
      <c r="E374" s="12" t="n"/>
      <c r="F374" s="34" t="n"/>
      <c r="G374" s="34" t="n"/>
      <c r="H374" s="34" t="n"/>
      <c r="I374" s="34" t="n"/>
      <c r="J374" s="34" t="n"/>
      <c r="K374" s="34" t="n"/>
      <c r="L374" s="34" t="n"/>
      <c r="M374" s="36" t="n"/>
      <c r="N374" s="36" t="n"/>
      <c r="O374" s="41" t="n"/>
      <c r="P374" s="27">
        <f>IF($B374="","",IFERROR(TRIM(LEFT($B374,FIND(" - ",$B374)-1)),"Others"))</f>
        <v/>
      </c>
      <c r="Q374" s="39">
        <f>IF($A374="","",SUM($F374:$H374))</f>
        <v/>
      </c>
      <c r="R374" s="39">
        <f>IF($A374="","",SUM($I374:$K374))</f>
        <v/>
      </c>
      <c r="S374" s="39">
        <f>IF($A374="","",($L374+$R374)-$Q374)</f>
        <v/>
      </c>
      <c r="T374" s="31">
        <f>IF(OR($A374="",$Q374=0),"",$S374/$Q374)</f>
        <v/>
      </c>
      <c r="U374" s="27">
        <f>IF($A374="","",IF($L374&gt;0,"Live","Exited"))</f>
        <v/>
      </c>
      <c r="V374" s="40">
        <f>IF($A374="","",IF($A374='Client Report'!$C$4,COUNTIFS($A$6:$A374,'Client Report'!$C$4),""))</f>
        <v/>
      </c>
    </row>
    <row r="375">
      <c r="A375" s="11" t="n"/>
      <c r="B375" s="11" t="n"/>
      <c r="C375" s="11" t="n"/>
      <c r="D375" s="11" t="n"/>
      <c r="E375" s="12" t="n"/>
      <c r="F375" s="34" t="n"/>
      <c r="G375" s="34" t="n"/>
      <c r="H375" s="34" t="n"/>
      <c r="I375" s="34" t="n"/>
      <c r="J375" s="34" t="n"/>
      <c r="K375" s="34" t="n"/>
      <c r="L375" s="34" t="n"/>
      <c r="M375" s="36" t="n"/>
      <c r="N375" s="36" t="n"/>
      <c r="O375" s="41" t="n"/>
      <c r="P375" s="27">
        <f>IF($B375="","",IFERROR(TRIM(LEFT($B375,FIND(" - ",$B375)-1)),"Others"))</f>
        <v/>
      </c>
      <c r="Q375" s="39">
        <f>IF($A375="","",SUM($F375:$H375))</f>
        <v/>
      </c>
      <c r="R375" s="39">
        <f>IF($A375="","",SUM($I375:$K375))</f>
        <v/>
      </c>
      <c r="S375" s="39">
        <f>IF($A375="","",($L375+$R375)-$Q375)</f>
        <v/>
      </c>
      <c r="T375" s="31">
        <f>IF(OR($A375="",$Q375=0),"",$S375/$Q375)</f>
        <v/>
      </c>
      <c r="U375" s="27">
        <f>IF($A375="","",IF($L375&gt;0,"Live","Exited"))</f>
        <v/>
      </c>
      <c r="V375" s="40">
        <f>IF($A375="","",IF($A375='Client Report'!$C$4,COUNTIFS($A$6:$A375,'Client Report'!$C$4),""))</f>
        <v/>
      </c>
    </row>
    <row r="376">
      <c r="A376" s="11" t="n"/>
      <c r="B376" s="11" t="n"/>
      <c r="C376" s="11" t="n"/>
      <c r="D376" s="11" t="n"/>
      <c r="E376" s="12" t="n"/>
      <c r="F376" s="34" t="n"/>
      <c r="G376" s="34" t="n"/>
      <c r="H376" s="34" t="n"/>
      <c r="I376" s="34" t="n"/>
      <c r="J376" s="34" t="n"/>
      <c r="K376" s="34" t="n"/>
      <c r="L376" s="34" t="n"/>
      <c r="M376" s="36" t="n"/>
      <c r="N376" s="36" t="n"/>
      <c r="O376" s="41" t="n"/>
      <c r="P376" s="27">
        <f>IF($B376="","",IFERROR(TRIM(LEFT($B376,FIND(" - ",$B376)-1)),"Others"))</f>
        <v/>
      </c>
      <c r="Q376" s="39">
        <f>IF($A376="","",SUM($F376:$H376))</f>
        <v/>
      </c>
      <c r="R376" s="39">
        <f>IF($A376="","",SUM($I376:$K376))</f>
        <v/>
      </c>
      <c r="S376" s="39">
        <f>IF($A376="","",($L376+$R376)-$Q376)</f>
        <v/>
      </c>
      <c r="T376" s="31">
        <f>IF(OR($A376="",$Q376=0),"",$S376/$Q376)</f>
        <v/>
      </c>
      <c r="U376" s="27">
        <f>IF($A376="","",IF($L376&gt;0,"Live","Exited"))</f>
        <v/>
      </c>
      <c r="V376" s="40">
        <f>IF($A376="","",IF($A376='Client Report'!$C$4,COUNTIFS($A$6:$A376,'Client Report'!$C$4),""))</f>
        <v/>
      </c>
    </row>
    <row r="377">
      <c r="A377" s="11" t="n"/>
      <c r="B377" s="11" t="n"/>
      <c r="C377" s="11" t="n"/>
      <c r="D377" s="11" t="n"/>
      <c r="E377" s="12" t="n"/>
      <c r="F377" s="34" t="n"/>
      <c r="G377" s="34" t="n"/>
      <c r="H377" s="34" t="n"/>
      <c r="I377" s="34" t="n"/>
      <c r="J377" s="34" t="n"/>
      <c r="K377" s="34" t="n"/>
      <c r="L377" s="34" t="n"/>
      <c r="M377" s="36" t="n"/>
      <c r="N377" s="36" t="n"/>
      <c r="O377" s="41" t="n"/>
      <c r="P377" s="27">
        <f>IF($B377="","",IFERROR(TRIM(LEFT($B377,FIND(" - ",$B377)-1)),"Others"))</f>
        <v/>
      </c>
      <c r="Q377" s="39">
        <f>IF($A377="","",SUM($F377:$H377))</f>
        <v/>
      </c>
      <c r="R377" s="39">
        <f>IF($A377="","",SUM($I377:$K377))</f>
        <v/>
      </c>
      <c r="S377" s="39">
        <f>IF($A377="","",($L377+$R377)-$Q377)</f>
        <v/>
      </c>
      <c r="T377" s="31">
        <f>IF(OR($A377="",$Q377=0),"",$S377/$Q377)</f>
        <v/>
      </c>
      <c r="U377" s="27">
        <f>IF($A377="","",IF($L377&gt;0,"Live","Exited"))</f>
        <v/>
      </c>
      <c r="V377" s="40">
        <f>IF($A377="","",IF($A377='Client Report'!$C$4,COUNTIFS($A$6:$A377,'Client Report'!$C$4),""))</f>
        <v/>
      </c>
    </row>
    <row r="378">
      <c r="A378" s="11" t="n"/>
      <c r="B378" s="11" t="n"/>
      <c r="C378" s="11" t="n"/>
      <c r="D378" s="11" t="n"/>
      <c r="E378" s="12" t="n"/>
      <c r="F378" s="34" t="n"/>
      <c r="G378" s="34" t="n"/>
      <c r="H378" s="34" t="n"/>
      <c r="I378" s="34" t="n"/>
      <c r="J378" s="34" t="n"/>
      <c r="K378" s="34" t="n"/>
      <c r="L378" s="34" t="n"/>
      <c r="M378" s="36" t="n"/>
      <c r="N378" s="36" t="n"/>
      <c r="O378" s="41" t="n"/>
      <c r="P378" s="27">
        <f>IF($B378="","",IFERROR(TRIM(LEFT($B378,FIND(" - ",$B378)-1)),"Others"))</f>
        <v/>
      </c>
      <c r="Q378" s="39">
        <f>IF($A378="","",SUM($F378:$H378))</f>
        <v/>
      </c>
      <c r="R378" s="39">
        <f>IF($A378="","",SUM($I378:$K378))</f>
        <v/>
      </c>
      <c r="S378" s="39">
        <f>IF($A378="","",($L378+$R378)-$Q378)</f>
        <v/>
      </c>
      <c r="T378" s="31">
        <f>IF(OR($A378="",$Q378=0),"",$S378/$Q378)</f>
        <v/>
      </c>
      <c r="U378" s="27">
        <f>IF($A378="","",IF($L378&gt;0,"Live","Exited"))</f>
        <v/>
      </c>
      <c r="V378" s="40">
        <f>IF($A378="","",IF($A378='Client Report'!$C$4,COUNTIFS($A$6:$A378,'Client Report'!$C$4),""))</f>
        <v/>
      </c>
    </row>
    <row r="379">
      <c r="A379" s="11" t="n"/>
      <c r="B379" s="11" t="n"/>
      <c r="C379" s="11" t="n"/>
      <c r="D379" s="11" t="n"/>
      <c r="E379" s="12" t="n"/>
      <c r="F379" s="34" t="n"/>
      <c r="G379" s="34" t="n"/>
      <c r="H379" s="34" t="n"/>
      <c r="I379" s="34" t="n"/>
      <c r="J379" s="34" t="n"/>
      <c r="K379" s="34" t="n"/>
      <c r="L379" s="34" t="n"/>
      <c r="M379" s="36" t="n"/>
      <c r="N379" s="36" t="n"/>
      <c r="O379" s="41" t="n"/>
      <c r="P379" s="27">
        <f>IF($B379="","",IFERROR(TRIM(LEFT($B379,FIND(" - ",$B379)-1)),"Others"))</f>
        <v/>
      </c>
      <c r="Q379" s="39">
        <f>IF($A379="","",SUM($F379:$H379))</f>
        <v/>
      </c>
      <c r="R379" s="39">
        <f>IF($A379="","",SUM($I379:$K379))</f>
        <v/>
      </c>
      <c r="S379" s="39">
        <f>IF($A379="","",($L379+$R379)-$Q379)</f>
        <v/>
      </c>
      <c r="T379" s="31">
        <f>IF(OR($A379="",$Q379=0),"",$S379/$Q379)</f>
        <v/>
      </c>
      <c r="U379" s="27">
        <f>IF($A379="","",IF($L379&gt;0,"Live","Exited"))</f>
        <v/>
      </c>
      <c r="V379" s="40">
        <f>IF($A379="","",IF($A379='Client Report'!$C$4,COUNTIFS($A$6:$A379,'Client Report'!$C$4),""))</f>
        <v/>
      </c>
    </row>
    <row r="380">
      <c r="A380" s="11" t="n"/>
      <c r="B380" s="11" t="n"/>
      <c r="C380" s="11" t="n"/>
      <c r="D380" s="11" t="n"/>
      <c r="E380" s="12" t="n"/>
      <c r="F380" s="34" t="n"/>
      <c r="G380" s="34" t="n"/>
      <c r="H380" s="34" t="n"/>
      <c r="I380" s="34" t="n"/>
      <c r="J380" s="34" t="n"/>
      <c r="K380" s="34" t="n"/>
      <c r="L380" s="34" t="n"/>
      <c r="M380" s="36" t="n"/>
      <c r="N380" s="36" t="n"/>
      <c r="O380" s="41" t="n"/>
      <c r="P380" s="27">
        <f>IF($B380="","",IFERROR(TRIM(LEFT($B380,FIND(" - ",$B380)-1)),"Others"))</f>
        <v/>
      </c>
      <c r="Q380" s="39">
        <f>IF($A380="","",SUM($F380:$H380))</f>
        <v/>
      </c>
      <c r="R380" s="39">
        <f>IF($A380="","",SUM($I380:$K380))</f>
        <v/>
      </c>
      <c r="S380" s="39">
        <f>IF($A380="","",($L380+$R380)-$Q380)</f>
        <v/>
      </c>
      <c r="T380" s="31">
        <f>IF(OR($A380="",$Q380=0),"",$S380/$Q380)</f>
        <v/>
      </c>
      <c r="U380" s="27">
        <f>IF($A380="","",IF($L380&gt;0,"Live","Exited"))</f>
        <v/>
      </c>
      <c r="V380" s="40">
        <f>IF($A380="","",IF($A380='Client Report'!$C$4,COUNTIFS($A$6:$A380,'Client Report'!$C$4),""))</f>
        <v/>
      </c>
    </row>
    <row r="381">
      <c r="A381" s="11" t="n"/>
      <c r="B381" s="11" t="n"/>
      <c r="C381" s="11" t="n"/>
      <c r="D381" s="11" t="n"/>
      <c r="E381" s="12" t="n"/>
      <c r="F381" s="34" t="n"/>
      <c r="G381" s="34" t="n"/>
      <c r="H381" s="34" t="n"/>
      <c r="I381" s="34" t="n"/>
      <c r="J381" s="34" t="n"/>
      <c r="K381" s="34" t="n"/>
      <c r="L381" s="34" t="n"/>
      <c r="M381" s="36" t="n"/>
      <c r="N381" s="36" t="n"/>
      <c r="O381" s="41" t="n"/>
      <c r="P381" s="27">
        <f>IF($B381="","",IFERROR(TRIM(LEFT($B381,FIND(" - ",$B381)-1)),"Others"))</f>
        <v/>
      </c>
      <c r="Q381" s="39">
        <f>IF($A381="","",SUM($F381:$H381))</f>
        <v/>
      </c>
      <c r="R381" s="39">
        <f>IF($A381="","",SUM($I381:$K381))</f>
        <v/>
      </c>
      <c r="S381" s="39">
        <f>IF($A381="","",($L381+$R381)-$Q381)</f>
        <v/>
      </c>
      <c r="T381" s="31">
        <f>IF(OR($A381="",$Q381=0),"",$S381/$Q381)</f>
        <v/>
      </c>
      <c r="U381" s="27">
        <f>IF($A381="","",IF($L381&gt;0,"Live","Exited"))</f>
        <v/>
      </c>
      <c r="V381" s="40">
        <f>IF($A381="","",IF($A381='Client Report'!$C$4,COUNTIFS($A$6:$A381,'Client Report'!$C$4),""))</f>
        <v/>
      </c>
    </row>
    <row r="382">
      <c r="A382" s="11" t="n"/>
      <c r="B382" s="11" t="n"/>
      <c r="C382" s="11" t="n"/>
      <c r="D382" s="11" t="n"/>
      <c r="E382" s="12" t="n"/>
      <c r="F382" s="34" t="n"/>
      <c r="G382" s="34" t="n"/>
      <c r="H382" s="34" t="n"/>
      <c r="I382" s="34" t="n"/>
      <c r="J382" s="34" t="n"/>
      <c r="K382" s="34" t="n"/>
      <c r="L382" s="34" t="n"/>
      <c r="M382" s="36" t="n"/>
      <c r="N382" s="36" t="n"/>
      <c r="O382" s="41" t="n"/>
      <c r="P382" s="27">
        <f>IF($B382="","",IFERROR(TRIM(LEFT($B382,FIND(" - ",$B382)-1)),"Others"))</f>
        <v/>
      </c>
      <c r="Q382" s="39">
        <f>IF($A382="","",SUM($F382:$H382))</f>
        <v/>
      </c>
      <c r="R382" s="39">
        <f>IF($A382="","",SUM($I382:$K382))</f>
        <v/>
      </c>
      <c r="S382" s="39">
        <f>IF($A382="","",($L382+$R382)-$Q382)</f>
        <v/>
      </c>
      <c r="T382" s="31">
        <f>IF(OR($A382="",$Q382=0),"",$S382/$Q382)</f>
        <v/>
      </c>
      <c r="U382" s="27">
        <f>IF($A382="","",IF($L382&gt;0,"Live","Exited"))</f>
        <v/>
      </c>
      <c r="V382" s="40">
        <f>IF($A382="","",IF($A382='Client Report'!$C$4,COUNTIFS($A$6:$A382,'Client Report'!$C$4),""))</f>
        <v/>
      </c>
    </row>
    <row r="383">
      <c r="A383" s="11" t="n"/>
      <c r="B383" s="11" t="n"/>
      <c r="C383" s="11" t="n"/>
      <c r="D383" s="11" t="n"/>
      <c r="E383" s="12" t="n"/>
      <c r="F383" s="34" t="n"/>
      <c r="G383" s="34" t="n"/>
      <c r="H383" s="34" t="n"/>
      <c r="I383" s="34" t="n"/>
      <c r="J383" s="34" t="n"/>
      <c r="K383" s="34" t="n"/>
      <c r="L383" s="34" t="n"/>
      <c r="M383" s="36" t="n"/>
      <c r="N383" s="36" t="n"/>
      <c r="O383" s="41" t="n"/>
      <c r="P383" s="27">
        <f>IF($B383="","",IFERROR(TRIM(LEFT($B383,FIND(" - ",$B383)-1)),"Others"))</f>
        <v/>
      </c>
      <c r="Q383" s="39">
        <f>IF($A383="","",SUM($F383:$H383))</f>
        <v/>
      </c>
      <c r="R383" s="39">
        <f>IF($A383="","",SUM($I383:$K383))</f>
        <v/>
      </c>
      <c r="S383" s="39">
        <f>IF($A383="","",($L383+$R383)-$Q383)</f>
        <v/>
      </c>
      <c r="T383" s="31">
        <f>IF(OR($A383="",$Q383=0),"",$S383/$Q383)</f>
        <v/>
      </c>
      <c r="U383" s="27">
        <f>IF($A383="","",IF($L383&gt;0,"Live","Exited"))</f>
        <v/>
      </c>
      <c r="V383" s="40">
        <f>IF($A383="","",IF($A383='Client Report'!$C$4,COUNTIFS($A$6:$A383,'Client Report'!$C$4),""))</f>
        <v/>
      </c>
    </row>
    <row r="384">
      <c r="A384" s="11" t="n"/>
      <c r="B384" s="11" t="n"/>
      <c r="C384" s="11" t="n"/>
      <c r="D384" s="11" t="n"/>
      <c r="E384" s="12" t="n"/>
      <c r="F384" s="34" t="n"/>
      <c r="G384" s="34" t="n"/>
      <c r="H384" s="34" t="n"/>
      <c r="I384" s="34" t="n"/>
      <c r="J384" s="34" t="n"/>
      <c r="K384" s="34" t="n"/>
      <c r="L384" s="34" t="n"/>
      <c r="M384" s="36" t="n"/>
      <c r="N384" s="36" t="n"/>
      <c r="O384" s="41" t="n"/>
      <c r="P384" s="27">
        <f>IF($B384="","",IFERROR(TRIM(LEFT($B384,FIND(" - ",$B384)-1)),"Others"))</f>
        <v/>
      </c>
      <c r="Q384" s="39">
        <f>IF($A384="","",SUM($F384:$H384))</f>
        <v/>
      </c>
      <c r="R384" s="39">
        <f>IF($A384="","",SUM($I384:$K384))</f>
        <v/>
      </c>
      <c r="S384" s="39">
        <f>IF($A384="","",($L384+$R384)-$Q384)</f>
        <v/>
      </c>
      <c r="T384" s="31">
        <f>IF(OR($A384="",$Q384=0),"",$S384/$Q384)</f>
        <v/>
      </c>
      <c r="U384" s="27">
        <f>IF($A384="","",IF($L384&gt;0,"Live","Exited"))</f>
        <v/>
      </c>
      <c r="V384" s="40">
        <f>IF($A384="","",IF($A384='Client Report'!$C$4,COUNTIFS($A$6:$A384,'Client Report'!$C$4),""))</f>
        <v/>
      </c>
    </row>
    <row r="385">
      <c r="A385" s="11" t="n"/>
      <c r="B385" s="11" t="n"/>
      <c r="C385" s="11" t="n"/>
      <c r="D385" s="11" t="n"/>
      <c r="E385" s="12" t="n"/>
      <c r="F385" s="34" t="n"/>
      <c r="G385" s="34" t="n"/>
      <c r="H385" s="34" t="n"/>
      <c r="I385" s="34" t="n"/>
      <c r="J385" s="34" t="n"/>
      <c r="K385" s="34" t="n"/>
      <c r="L385" s="34" t="n"/>
      <c r="M385" s="36" t="n"/>
      <c r="N385" s="36" t="n"/>
      <c r="O385" s="41" t="n"/>
      <c r="P385" s="27">
        <f>IF($B385="","",IFERROR(TRIM(LEFT($B385,FIND(" - ",$B385)-1)),"Others"))</f>
        <v/>
      </c>
      <c r="Q385" s="39">
        <f>IF($A385="","",SUM($F385:$H385))</f>
        <v/>
      </c>
      <c r="R385" s="39">
        <f>IF($A385="","",SUM($I385:$K385))</f>
        <v/>
      </c>
      <c r="S385" s="39">
        <f>IF($A385="","",($L385+$R385)-$Q385)</f>
        <v/>
      </c>
      <c r="T385" s="31">
        <f>IF(OR($A385="",$Q385=0),"",$S385/$Q385)</f>
        <v/>
      </c>
      <c r="U385" s="27">
        <f>IF($A385="","",IF($L385&gt;0,"Live","Exited"))</f>
        <v/>
      </c>
      <c r="V385" s="40">
        <f>IF($A385="","",IF($A385='Client Report'!$C$4,COUNTIFS($A$6:$A385,'Client Report'!$C$4),""))</f>
        <v/>
      </c>
    </row>
    <row r="386">
      <c r="A386" s="11" t="n"/>
      <c r="B386" s="11" t="n"/>
      <c r="C386" s="11" t="n"/>
      <c r="D386" s="11" t="n"/>
      <c r="E386" s="12" t="n"/>
      <c r="F386" s="34" t="n"/>
      <c r="G386" s="34" t="n"/>
      <c r="H386" s="34" t="n"/>
      <c r="I386" s="34" t="n"/>
      <c r="J386" s="34" t="n"/>
      <c r="K386" s="34" t="n"/>
      <c r="L386" s="34" t="n"/>
      <c r="M386" s="36" t="n"/>
      <c r="N386" s="36" t="n"/>
      <c r="O386" s="41" t="n"/>
      <c r="P386" s="27">
        <f>IF($B386="","",IFERROR(TRIM(LEFT($B386,FIND(" - ",$B386)-1)),"Others"))</f>
        <v/>
      </c>
      <c r="Q386" s="39">
        <f>IF($A386="","",SUM($F386:$H386))</f>
        <v/>
      </c>
      <c r="R386" s="39">
        <f>IF($A386="","",SUM($I386:$K386))</f>
        <v/>
      </c>
      <c r="S386" s="39">
        <f>IF($A386="","",($L386+$R386)-$Q386)</f>
        <v/>
      </c>
      <c r="T386" s="31">
        <f>IF(OR($A386="",$Q386=0),"",$S386/$Q386)</f>
        <v/>
      </c>
      <c r="U386" s="27">
        <f>IF($A386="","",IF($L386&gt;0,"Live","Exited"))</f>
        <v/>
      </c>
      <c r="V386" s="40">
        <f>IF($A386="","",IF($A386='Client Report'!$C$4,COUNTIFS($A$6:$A386,'Client Report'!$C$4),""))</f>
        <v/>
      </c>
    </row>
    <row r="387">
      <c r="A387" s="11" t="n"/>
      <c r="B387" s="11" t="n"/>
      <c r="C387" s="11" t="n"/>
      <c r="D387" s="11" t="n"/>
      <c r="E387" s="12" t="n"/>
      <c r="F387" s="34" t="n"/>
      <c r="G387" s="34" t="n"/>
      <c r="H387" s="34" t="n"/>
      <c r="I387" s="34" t="n"/>
      <c r="J387" s="34" t="n"/>
      <c r="K387" s="34" t="n"/>
      <c r="L387" s="34" t="n"/>
      <c r="M387" s="36" t="n"/>
      <c r="N387" s="36" t="n"/>
      <c r="O387" s="41" t="n"/>
      <c r="P387" s="27">
        <f>IF($B387="","",IFERROR(TRIM(LEFT($B387,FIND(" - ",$B387)-1)),"Others"))</f>
        <v/>
      </c>
      <c r="Q387" s="39">
        <f>IF($A387="","",SUM($F387:$H387))</f>
        <v/>
      </c>
      <c r="R387" s="39">
        <f>IF($A387="","",SUM($I387:$K387))</f>
        <v/>
      </c>
      <c r="S387" s="39">
        <f>IF($A387="","",($L387+$R387)-$Q387)</f>
        <v/>
      </c>
      <c r="T387" s="31">
        <f>IF(OR($A387="",$Q387=0),"",$S387/$Q387)</f>
        <v/>
      </c>
      <c r="U387" s="27">
        <f>IF($A387="","",IF($L387&gt;0,"Live","Exited"))</f>
        <v/>
      </c>
      <c r="V387" s="40">
        <f>IF($A387="","",IF($A387='Client Report'!$C$4,COUNTIFS($A$6:$A387,'Client Report'!$C$4),""))</f>
        <v/>
      </c>
    </row>
    <row r="388">
      <c r="A388" s="11" t="n"/>
      <c r="B388" s="11" t="n"/>
      <c r="C388" s="11" t="n"/>
      <c r="D388" s="11" t="n"/>
      <c r="E388" s="12" t="n"/>
      <c r="F388" s="34" t="n"/>
      <c r="G388" s="34" t="n"/>
      <c r="H388" s="34" t="n"/>
      <c r="I388" s="34" t="n"/>
      <c r="J388" s="34" t="n"/>
      <c r="K388" s="34" t="n"/>
      <c r="L388" s="34" t="n"/>
      <c r="M388" s="36" t="n"/>
      <c r="N388" s="36" t="n"/>
      <c r="O388" s="41" t="n"/>
      <c r="P388" s="27">
        <f>IF($B388="","",IFERROR(TRIM(LEFT($B388,FIND(" - ",$B388)-1)),"Others"))</f>
        <v/>
      </c>
      <c r="Q388" s="39">
        <f>IF($A388="","",SUM($F388:$H388))</f>
        <v/>
      </c>
      <c r="R388" s="39">
        <f>IF($A388="","",SUM($I388:$K388))</f>
        <v/>
      </c>
      <c r="S388" s="39">
        <f>IF($A388="","",($L388+$R388)-$Q388)</f>
        <v/>
      </c>
      <c r="T388" s="31">
        <f>IF(OR($A388="",$Q388=0),"",$S388/$Q388)</f>
        <v/>
      </c>
      <c r="U388" s="27">
        <f>IF($A388="","",IF($L388&gt;0,"Live","Exited"))</f>
        <v/>
      </c>
      <c r="V388" s="40">
        <f>IF($A388="","",IF($A388='Client Report'!$C$4,COUNTIFS($A$6:$A388,'Client Report'!$C$4),""))</f>
        <v/>
      </c>
    </row>
    <row r="389">
      <c r="A389" s="11" t="n"/>
      <c r="B389" s="11" t="n"/>
      <c r="C389" s="11" t="n"/>
      <c r="D389" s="11" t="n"/>
      <c r="E389" s="12" t="n"/>
      <c r="F389" s="34" t="n"/>
      <c r="G389" s="34" t="n"/>
      <c r="H389" s="34" t="n"/>
      <c r="I389" s="34" t="n"/>
      <c r="J389" s="34" t="n"/>
      <c r="K389" s="34" t="n"/>
      <c r="L389" s="34" t="n"/>
      <c r="M389" s="36" t="n"/>
      <c r="N389" s="36" t="n"/>
      <c r="O389" s="41" t="n"/>
      <c r="P389" s="27">
        <f>IF($B389="","",IFERROR(TRIM(LEFT($B389,FIND(" - ",$B389)-1)),"Others"))</f>
        <v/>
      </c>
      <c r="Q389" s="39">
        <f>IF($A389="","",SUM($F389:$H389))</f>
        <v/>
      </c>
      <c r="R389" s="39">
        <f>IF($A389="","",SUM($I389:$K389))</f>
        <v/>
      </c>
      <c r="S389" s="39">
        <f>IF($A389="","",($L389+$R389)-$Q389)</f>
        <v/>
      </c>
      <c r="T389" s="31">
        <f>IF(OR($A389="",$Q389=0),"",$S389/$Q389)</f>
        <v/>
      </c>
      <c r="U389" s="27">
        <f>IF($A389="","",IF($L389&gt;0,"Live","Exited"))</f>
        <v/>
      </c>
      <c r="V389" s="40">
        <f>IF($A389="","",IF($A389='Client Report'!$C$4,COUNTIFS($A$6:$A389,'Client Report'!$C$4),""))</f>
        <v/>
      </c>
    </row>
    <row r="390">
      <c r="A390" s="11" t="n"/>
      <c r="B390" s="11" t="n"/>
      <c r="C390" s="11" t="n"/>
      <c r="D390" s="11" t="n"/>
      <c r="E390" s="12" t="n"/>
      <c r="F390" s="34" t="n"/>
      <c r="G390" s="34" t="n"/>
      <c r="H390" s="34" t="n"/>
      <c r="I390" s="34" t="n"/>
      <c r="J390" s="34" t="n"/>
      <c r="K390" s="34" t="n"/>
      <c r="L390" s="34" t="n"/>
      <c r="M390" s="36" t="n"/>
      <c r="N390" s="36" t="n"/>
      <c r="O390" s="41" t="n"/>
      <c r="P390" s="27">
        <f>IF($B390="","",IFERROR(TRIM(LEFT($B390,FIND(" - ",$B390)-1)),"Others"))</f>
        <v/>
      </c>
      <c r="Q390" s="39">
        <f>IF($A390="","",SUM($F390:$H390))</f>
        <v/>
      </c>
      <c r="R390" s="39">
        <f>IF($A390="","",SUM($I390:$K390))</f>
        <v/>
      </c>
      <c r="S390" s="39">
        <f>IF($A390="","",($L390+$R390)-$Q390)</f>
        <v/>
      </c>
      <c r="T390" s="31">
        <f>IF(OR($A390="",$Q390=0),"",$S390/$Q390)</f>
        <v/>
      </c>
      <c r="U390" s="27">
        <f>IF($A390="","",IF($L390&gt;0,"Live","Exited"))</f>
        <v/>
      </c>
      <c r="V390" s="40">
        <f>IF($A390="","",IF($A390='Client Report'!$C$4,COUNTIFS($A$6:$A390,'Client Report'!$C$4),""))</f>
        <v/>
      </c>
    </row>
    <row r="391">
      <c r="A391" s="11" t="n"/>
      <c r="B391" s="11" t="n"/>
      <c r="C391" s="11" t="n"/>
      <c r="D391" s="11" t="n"/>
      <c r="E391" s="12" t="n"/>
      <c r="F391" s="34" t="n"/>
      <c r="G391" s="34" t="n"/>
      <c r="H391" s="34" t="n"/>
      <c r="I391" s="34" t="n"/>
      <c r="J391" s="34" t="n"/>
      <c r="K391" s="34" t="n"/>
      <c r="L391" s="34" t="n"/>
      <c r="M391" s="36" t="n"/>
      <c r="N391" s="36" t="n"/>
      <c r="O391" s="41" t="n"/>
      <c r="P391" s="27">
        <f>IF($B391="","",IFERROR(TRIM(LEFT($B391,FIND(" - ",$B391)-1)),"Others"))</f>
        <v/>
      </c>
      <c r="Q391" s="39">
        <f>IF($A391="","",SUM($F391:$H391))</f>
        <v/>
      </c>
      <c r="R391" s="39">
        <f>IF($A391="","",SUM($I391:$K391))</f>
        <v/>
      </c>
      <c r="S391" s="39">
        <f>IF($A391="","",($L391+$R391)-$Q391)</f>
        <v/>
      </c>
      <c r="T391" s="31">
        <f>IF(OR($A391="",$Q391=0),"",$S391/$Q391)</f>
        <v/>
      </c>
      <c r="U391" s="27">
        <f>IF($A391="","",IF($L391&gt;0,"Live","Exited"))</f>
        <v/>
      </c>
      <c r="V391" s="40">
        <f>IF($A391="","",IF($A391='Client Report'!$C$4,COUNTIFS($A$6:$A391,'Client Report'!$C$4),""))</f>
        <v/>
      </c>
    </row>
    <row r="392">
      <c r="A392" s="11" t="n"/>
      <c r="B392" s="11" t="n"/>
      <c r="C392" s="11" t="n"/>
      <c r="D392" s="11" t="n"/>
      <c r="E392" s="12" t="n"/>
      <c r="F392" s="34" t="n"/>
      <c r="G392" s="34" t="n"/>
      <c r="H392" s="34" t="n"/>
      <c r="I392" s="34" t="n"/>
      <c r="J392" s="34" t="n"/>
      <c r="K392" s="34" t="n"/>
      <c r="L392" s="34" t="n"/>
      <c r="M392" s="36" t="n"/>
      <c r="N392" s="36" t="n"/>
      <c r="O392" s="41" t="n"/>
      <c r="P392" s="27">
        <f>IF($B392="","",IFERROR(TRIM(LEFT($B392,FIND(" - ",$B392)-1)),"Others"))</f>
        <v/>
      </c>
      <c r="Q392" s="39">
        <f>IF($A392="","",SUM($F392:$H392))</f>
        <v/>
      </c>
      <c r="R392" s="39">
        <f>IF($A392="","",SUM($I392:$K392))</f>
        <v/>
      </c>
      <c r="S392" s="39">
        <f>IF($A392="","",($L392+$R392)-$Q392)</f>
        <v/>
      </c>
      <c r="T392" s="31">
        <f>IF(OR($A392="",$Q392=0),"",$S392/$Q392)</f>
        <v/>
      </c>
      <c r="U392" s="27">
        <f>IF($A392="","",IF($L392&gt;0,"Live","Exited"))</f>
        <v/>
      </c>
      <c r="V392" s="40">
        <f>IF($A392="","",IF($A392='Client Report'!$C$4,COUNTIFS($A$6:$A392,'Client Report'!$C$4),""))</f>
        <v/>
      </c>
    </row>
    <row r="393">
      <c r="A393" s="11" t="n"/>
      <c r="B393" s="11" t="n"/>
      <c r="C393" s="11" t="n"/>
      <c r="D393" s="11" t="n"/>
      <c r="E393" s="12" t="n"/>
      <c r="F393" s="34" t="n"/>
      <c r="G393" s="34" t="n"/>
      <c r="H393" s="34" t="n"/>
      <c r="I393" s="34" t="n"/>
      <c r="J393" s="34" t="n"/>
      <c r="K393" s="34" t="n"/>
      <c r="L393" s="34" t="n"/>
      <c r="M393" s="36" t="n"/>
      <c r="N393" s="36" t="n"/>
      <c r="O393" s="41" t="n"/>
      <c r="P393" s="27">
        <f>IF($B393="","",IFERROR(TRIM(LEFT($B393,FIND(" - ",$B393)-1)),"Others"))</f>
        <v/>
      </c>
      <c r="Q393" s="39">
        <f>IF($A393="","",SUM($F393:$H393))</f>
        <v/>
      </c>
      <c r="R393" s="39">
        <f>IF($A393="","",SUM($I393:$K393))</f>
        <v/>
      </c>
      <c r="S393" s="39">
        <f>IF($A393="","",($L393+$R393)-$Q393)</f>
        <v/>
      </c>
      <c r="T393" s="31">
        <f>IF(OR($A393="",$Q393=0),"",$S393/$Q393)</f>
        <v/>
      </c>
      <c r="U393" s="27">
        <f>IF($A393="","",IF($L393&gt;0,"Live","Exited"))</f>
        <v/>
      </c>
      <c r="V393" s="40">
        <f>IF($A393="","",IF($A393='Client Report'!$C$4,COUNTIFS($A$6:$A393,'Client Report'!$C$4),""))</f>
        <v/>
      </c>
    </row>
    <row r="394">
      <c r="A394" s="11" t="n"/>
      <c r="B394" s="11" t="n"/>
      <c r="C394" s="11" t="n"/>
      <c r="D394" s="11" t="n"/>
      <c r="E394" s="12" t="n"/>
      <c r="F394" s="34" t="n"/>
      <c r="G394" s="34" t="n"/>
      <c r="H394" s="34" t="n"/>
      <c r="I394" s="34" t="n"/>
      <c r="J394" s="34" t="n"/>
      <c r="K394" s="34" t="n"/>
      <c r="L394" s="34" t="n"/>
      <c r="M394" s="36" t="n"/>
      <c r="N394" s="36" t="n"/>
      <c r="O394" s="41" t="n"/>
      <c r="P394" s="27">
        <f>IF($B394="","",IFERROR(TRIM(LEFT($B394,FIND(" - ",$B394)-1)),"Others"))</f>
        <v/>
      </c>
      <c r="Q394" s="39">
        <f>IF($A394="","",SUM($F394:$H394))</f>
        <v/>
      </c>
      <c r="R394" s="39">
        <f>IF($A394="","",SUM($I394:$K394))</f>
        <v/>
      </c>
      <c r="S394" s="39">
        <f>IF($A394="","",($L394+$R394)-$Q394)</f>
        <v/>
      </c>
      <c r="T394" s="31">
        <f>IF(OR($A394="",$Q394=0),"",$S394/$Q394)</f>
        <v/>
      </c>
      <c r="U394" s="27">
        <f>IF($A394="","",IF($L394&gt;0,"Live","Exited"))</f>
        <v/>
      </c>
      <c r="V394" s="40">
        <f>IF($A394="","",IF($A394='Client Report'!$C$4,COUNTIFS($A$6:$A394,'Client Report'!$C$4),""))</f>
        <v/>
      </c>
    </row>
    <row r="395">
      <c r="A395" s="11" t="n"/>
      <c r="B395" s="11" t="n"/>
      <c r="C395" s="11" t="n"/>
      <c r="D395" s="11" t="n"/>
      <c r="E395" s="12" t="n"/>
      <c r="F395" s="34" t="n"/>
      <c r="G395" s="34" t="n"/>
      <c r="H395" s="34" t="n"/>
      <c r="I395" s="34" t="n"/>
      <c r="J395" s="34" t="n"/>
      <c r="K395" s="34" t="n"/>
      <c r="L395" s="34" t="n"/>
      <c r="M395" s="36" t="n"/>
      <c r="N395" s="36" t="n"/>
      <c r="O395" s="41" t="n"/>
      <c r="P395" s="27">
        <f>IF($B395="","",IFERROR(TRIM(LEFT($B395,FIND(" - ",$B395)-1)),"Others"))</f>
        <v/>
      </c>
      <c r="Q395" s="39">
        <f>IF($A395="","",SUM($F395:$H395))</f>
        <v/>
      </c>
      <c r="R395" s="39">
        <f>IF($A395="","",SUM($I395:$K395))</f>
        <v/>
      </c>
      <c r="S395" s="39">
        <f>IF($A395="","",($L395+$R395)-$Q395)</f>
        <v/>
      </c>
      <c r="T395" s="31">
        <f>IF(OR($A395="",$Q395=0),"",$S395/$Q395)</f>
        <v/>
      </c>
      <c r="U395" s="27">
        <f>IF($A395="","",IF($L395&gt;0,"Live","Exited"))</f>
        <v/>
      </c>
      <c r="V395" s="40">
        <f>IF($A395="","",IF($A395='Client Report'!$C$4,COUNTIFS($A$6:$A395,'Client Report'!$C$4),""))</f>
        <v/>
      </c>
    </row>
    <row r="396">
      <c r="A396" s="11" t="n"/>
      <c r="B396" s="11" t="n"/>
      <c r="C396" s="11" t="n"/>
      <c r="D396" s="11" t="n"/>
      <c r="E396" s="12" t="n"/>
      <c r="F396" s="34" t="n"/>
      <c r="G396" s="34" t="n"/>
      <c r="H396" s="34" t="n"/>
      <c r="I396" s="34" t="n"/>
      <c r="J396" s="34" t="n"/>
      <c r="K396" s="34" t="n"/>
      <c r="L396" s="34" t="n"/>
      <c r="M396" s="36" t="n"/>
      <c r="N396" s="36" t="n"/>
      <c r="O396" s="41" t="n"/>
      <c r="P396" s="27">
        <f>IF($B396="","",IFERROR(TRIM(LEFT($B396,FIND(" - ",$B396)-1)),"Others"))</f>
        <v/>
      </c>
      <c r="Q396" s="39">
        <f>IF($A396="","",SUM($F396:$H396))</f>
        <v/>
      </c>
      <c r="R396" s="39">
        <f>IF($A396="","",SUM($I396:$K396))</f>
        <v/>
      </c>
      <c r="S396" s="39">
        <f>IF($A396="","",($L396+$R396)-$Q396)</f>
        <v/>
      </c>
      <c r="T396" s="31">
        <f>IF(OR($A396="",$Q396=0),"",$S396/$Q396)</f>
        <v/>
      </c>
      <c r="U396" s="27">
        <f>IF($A396="","",IF($L396&gt;0,"Live","Exited"))</f>
        <v/>
      </c>
      <c r="V396" s="40">
        <f>IF($A396="","",IF($A396='Client Report'!$C$4,COUNTIFS($A$6:$A396,'Client Report'!$C$4),""))</f>
        <v/>
      </c>
    </row>
    <row r="397">
      <c r="A397" s="11" t="n"/>
      <c r="B397" s="11" t="n"/>
      <c r="C397" s="11" t="n"/>
      <c r="D397" s="11" t="n"/>
      <c r="E397" s="12" t="n"/>
      <c r="F397" s="34" t="n"/>
      <c r="G397" s="34" t="n"/>
      <c r="H397" s="34" t="n"/>
      <c r="I397" s="34" t="n"/>
      <c r="J397" s="34" t="n"/>
      <c r="K397" s="34" t="n"/>
      <c r="L397" s="34" t="n"/>
      <c r="M397" s="36" t="n"/>
      <c r="N397" s="36" t="n"/>
      <c r="O397" s="41" t="n"/>
      <c r="P397" s="27">
        <f>IF($B397="","",IFERROR(TRIM(LEFT($B397,FIND(" - ",$B397)-1)),"Others"))</f>
        <v/>
      </c>
      <c r="Q397" s="39">
        <f>IF($A397="","",SUM($F397:$H397))</f>
        <v/>
      </c>
      <c r="R397" s="39">
        <f>IF($A397="","",SUM($I397:$K397))</f>
        <v/>
      </c>
      <c r="S397" s="39">
        <f>IF($A397="","",($L397+$R397)-$Q397)</f>
        <v/>
      </c>
      <c r="T397" s="31">
        <f>IF(OR($A397="",$Q397=0),"",$S397/$Q397)</f>
        <v/>
      </c>
      <c r="U397" s="27">
        <f>IF($A397="","",IF($L397&gt;0,"Live","Exited"))</f>
        <v/>
      </c>
      <c r="V397" s="40">
        <f>IF($A397="","",IF($A397='Client Report'!$C$4,COUNTIFS($A$6:$A397,'Client Report'!$C$4),""))</f>
        <v/>
      </c>
    </row>
    <row r="398">
      <c r="A398" s="11" t="n"/>
      <c r="B398" s="11" t="n"/>
      <c r="C398" s="11" t="n"/>
      <c r="D398" s="11" t="n"/>
      <c r="E398" s="12" t="n"/>
      <c r="F398" s="34" t="n"/>
      <c r="G398" s="34" t="n"/>
      <c r="H398" s="34" t="n"/>
      <c r="I398" s="34" t="n"/>
      <c r="J398" s="34" t="n"/>
      <c r="K398" s="34" t="n"/>
      <c r="L398" s="34" t="n"/>
      <c r="M398" s="36" t="n"/>
      <c r="N398" s="36" t="n"/>
      <c r="O398" s="41" t="n"/>
      <c r="P398" s="27">
        <f>IF($B398="","",IFERROR(TRIM(LEFT($B398,FIND(" - ",$B398)-1)),"Others"))</f>
        <v/>
      </c>
      <c r="Q398" s="39">
        <f>IF($A398="","",SUM($F398:$H398))</f>
        <v/>
      </c>
      <c r="R398" s="39">
        <f>IF($A398="","",SUM($I398:$K398))</f>
        <v/>
      </c>
      <c r="S398" s="39">
        <f>IF($A398="","",($L398+$R398)-$Q398)</f>
        <v/>
      </c>
      <c r="T398" s="31">
        <f>IF(OR($A398="",$Q398=0),"",$S398/$Q398)</f>
        <v/>
      </c>
      <c r="U398" s="27">
        <f>IF($A398="","",IF($L398&gt;0,"Live","Exited"))</f>
        <v/>
      </c>
      <c r="V398" s="40">
        <f>IF($A398="","",IF($A398='Client Report'!$C$4,COUNTIFS($A$6:$A398,'Client Report'!$C$4),""))</f>
        <v/>
      </c>
    </row>
    <row r="399">
      <c r="A399" s="11" t="n"/>
      <c r="B399" s="11" t="n"/>
      <c r="C399" s="11" t="n"/>
      <c r="D399" s="11" t="n"/>
      <c r="E399" s="12" t="n"/>
      <c r="F399" s="34" t="n"/>
      <c r="G399" s="34" t="n"/>
      <c r="H399" s="34" t="n"/>
      <c r="I399" s="34" t="n"/>
      <c r="J399" s="34" t="n"/>
      <c r="K399" s="34" t="n"/>
      <c r="L399" s="34" t="n"/>
      <c r="M399" s="36" t="n"/>
      <c r="N399" s="36" t="n"/>
      <c r="O399" s="41" t="n"/>
      <c r="P399" s="27">
        <f>IF($B399="","",IFERROR(TRIM(LEFT($B399,FIND(" - ",$B399)-1)),"Others"))</f>
        <v/>
      </c>
      <c r="Q399" s="39">
        <f>IF($A399="","",SUM($F399:$H399))</f>
        <v/>
      </c>
      <c r="R399" s="39">
        <f>IF($A399="","",SUM($I399:$K399))</f>
        <v/>
      </c>
      <c r="S399" s="39">
        <f>IF($A399="","",($L399+$R399)-$Q399)</f>
        <v/>
      </c>
      <c r="T399" s="31">
        <f>IF(OR($A399="",$Q399=0),"",$S399/$Q399)</f>
        <v/>
      </c>
      <c r="U399" s="27">
        <f>IF($A399="","",IF($L399&gt;0,"Live","Exited"))</f>
        <v/>
      </c>
      <c r="V399" s="40">
        <f>IF($A399="","",IF($A399='Client Report'!$C$4,COUNTIFS($A$6:$A399,'Client Report'!$C$4),""))</f>
        <v/>
      </c>
    </row>
    <row r="400">
      <c r="A400" s="11" t="n"/>
      <c r="B400" s="11" t="n"/>
      <c r="C400" s="11" t="n"/>
      <c r="D400" s="11" t="n"/>
      <c r="E400" s="12" t="n"/>
      <c r="F400" s="34" t="n"/>
      <c r="G400" s="34" t="n"/>
      <c r="H400" s="34" t="n"/>
      <c r="I400" s="34" t="n"/>
      <c r="J400" s="34" t="n"/>
      <c r="K400" s="34" t="n"/>
      <c r="L400" s="34" t="n"/>
      <c r="M400" s="36" t="n"/>
      <c r="N400" s="36" t="n"/>
      <c r="O400" s="41" t="n"/>
      <c r="P400" s="27">
        <f>IF($B400="","",IFERROR(TRIM(LEFT($B400,FIND(" - ",$B400)-1)),"Others"))</f>
        <v/>
      </c>
      <c r="Q400" s="39">
        <f>IF($A400="","",SUM($F400:$H400))</f>
        <v/>
      </c>
      <c r="R400" s="39">
        <f>IF($A400="","",SUM($I400:$K400))</f>
        <v/>
      </c>
      <c r="S400" s="39">
        <f>IF($A400="","",($L400+$R400)-$Q400)</f>
        <v/>
      </c>
      <c r="T400" s="31">
        <f>IF(OR($A400="",$Q400=0),"",$S400/$Q400)</f>
        <v/>
      </c>
      <c r="U400" s="27">
        <f>IF($A400="","",IF($L400&gt;0,"Live","Exited"))</f>
        <v/>
      </c>
      <c r="V400" s="40">
        <f>IF($A400="","",IF($A400='Client Report'!$C$4,COUNTIFS($A$6:$A400,'Client Report'!$C$4),""))</f>
        <v/>
      </c>
    </row>
    <row r="401">
      <c r="A401" s="11" t="n"/>
      <c r="B401" s="11" t="n"/>
      <c r="C401" s="11" t="n"/>
      <c r="D401" s="11" t="n"/>
      <c r="E401" s="12" t="n"/>
      <c r="F401" s="34" t="n"/>
      <c r="G401" s="34" t="n"/>
      <c r="H401" s="34" t="n"/>
      <c r="I401" s="34" t="n"/>
      <c r="J401" s="34" t="n"/>
      <c r="K401" s="34" t="n"/>
      <c r="L401" s="34" t="n"/>
      <c r="M401" s="36" t="n"/>
      <c r="N401" s="36" t="n"/>
      <c r="O401" s="41" t="n"/>
      <c r="P401" s="27">
        <f>IF($B401="","",IFERROR(TRIM(LEFT($B401,FIND(" - ",$B401)-1)),"Others"))</f>
        <v/>
      </c>
      <c r="Q401" s="39">
        <f>IF($A401="","",SUM($F401:$H401))</f>
        <v/>
      </c>
      <c r="R401" s="39">
        <f>IF($A401="","",SUM($I401:$K401))</f>
        <v/>
      </c>
      <c r="S401" s="39">
        <f>IF($A401="","",($L401+$R401)-$Q401)</f>
        <v/>
      </c>
      <c r="T401" s="31">
        <f>IF(OR($A401="",$Q401=0),"",$S401/$Q401)</f>
        <v/>
      </c>
      <c r="U401" s="27">
        <f>IF($A401="","",IF($L401&gt;0,"Live","Exited"))</f>
        <v/>
      </c>
      <c r="V401" s="40">
        <f>IF($A401="","",IF($A401='Client Report'!$C$4,COUNTIFS($A$6:$A401,'Client Report'!$C$4),""))</f>
        <v/>
      </c>
    </row>
    <row r="402">
      <c r="A402" s="11" t="n"/>
      <c r="B402" s="11" t="n"/>
      <c r="C402" s="11" t="n"/>
      <c r="D402" s="11" t="n"/>
      <c r="E402" s="12" t="n"/>
      <c r="F402" s="34" t="n"/>
      <c r="G402" s="34" t="n"/>
      <c r="H402" s="34" t="n"/>
      <c r="I402" s="34" t="n"/>
      <c r="J402" s="34" t="n"/>
      <c r="K402" s="34" t="n"/>
      <c r="L402" s="34" t="n"/>
      <c r="M402" s="36" t="n"/>
      <c r="N402" s="36" t="n"/>
      <c r="O402" s="41" t="n"/>
      <c r="P402" s="27">
        <f>IF($B402="","",IFERROR(TRIM(LEFT($B402,FIND(" - ",$B402)-1)),"Others"))</f>
        <v/>
      </c>
      <c r="Q402" s="39">
        <f>IF($A402="","",SUM($F402:$H402))</f>
        <v/>
      </c>
      <c r="R402" s="39">
        <f>IF($A402="","",SUM($I402:$K402))</f>
        <v/>
      </c>
      <c r="S402" s="39">
        <f>IF($A402="","",($L402+$R402)-$Q402)</f>
        <v/>
      </c>
      <c r="T402" s="31">
        <f>IF(OR($A402="",$Q402=0),"",$S402/$Q402)</f>
        <v/>
      </c>
      <c r="U402" s="27">
        <f>IF($A402="","",IF($L402&gt;0,"Live","Exited"))</f>
        <v/>
      </c>
      <c r="V402" s="40">
        <f>IF($A402="","",IF($A402='Client Report'!$C$4,COUNTIFS($A$6:$A402,'Client Report'!$C$4),""))</f>
        <v/>
      </c>
    </row>
    <row r="403">
      <c r="A403" s="11" t="n"/>
      <c r="B403" s="11" t="n"/>
      <c r="C403" s="11" t="n"/>
      <c r="D403" s="11" t="n"/>
      <c r="E403" s="12" t="n"/>
      <c r="F403" s="34" t="n"/>
      <c r="G403" s="34" t="n"/>
      <c r="H403" s="34" t="n"/>
      <c r="I403" s="34" t="n"/>
      <c r="J403" s="34" t="n"/>
      <c r="K403" s="34" t="n"/>
      <c r="L403" s="34" t="n"/>
      <c r="M403" s="36" t="n"/>
      <c r="N403" s="36" t="n"/>
      <c r="O403" s="41" t="n"/>
      <c r="P403" s="27">
        <f>IF($B403="","",IFERROR(TRIM(LEFT($B403,FIND(" - ",$B403)-1)),"Others"))</f>
        <v/>
      </c>
      <c r="Q403" s="39">
        <f>IF($A403="","",SUM($F403:$H403))</f>
        <v/>
      </c>
      <c r="R403" s="39">
        <f>IF($A403="","",SUM($I403:$K403))</f>
        <v/>
      </c>
      <c r="S403" s="39">
        <f>IF($A403="","",($L403+$R403)-$Q403)</f>
        <v/>
      </c>
      <c r="T403" s="31">
        <f>IF(OR($A403="",$Q403=0),"",$S403/$Q403)</f>
        <v/>
      </c>
      <c r="U403" s="27">
        <f>IF($A403="","",IF($L403&gt;0,"Live","Exited"))</f>
        <v/>
      </c>
      <c r="V403" s="40">
        <f>IF($A403="","",IF($A403='Client Report'!$C$4,COUNTIFS($A$6:$A403,'Client Report'!$C$4),""))</f>
        <v/>
      </c>
    </row>
    <row r="404">
      <c r="A404" s="11" t="n"/>
      <c r="B404" s="11" t="n"/>
      <c r="C404" s="11" t="n"/>
      <c r="D404" s="11" t="n"/>
      <c r="E404" s="12" t="n"/>
      <c r="F404" s="34" t="n"/>
      <c r="G404" s="34" t="n"/>
      <c r="H404" s="34" t="n"/>
      <c r="I404" s="34" t="n"/>
      <c r="J404" s="34" t="n"/>
      <c r="K404" s="34" t="n"/>
      <c r="L404" s="34" t="n"/>
      <c r="M404" s="36" t="n"/>
      <c r="N404" s="36" t="n"/>
      <c r="O404" s="41" t="n"/>
      <c r="P404" s="27">
        <f>IF($B404="","",IFERROR(TRIM(LEFT($B404,FIND(" - ",$B404)-1)),"Others"))</f>
        <v/>
      </c>
      <c r="Q404" s="39">
        <f>IF($A404="","",SUM($F404:$H404))</f>
        <v/>
      </c>
      <c r="R404" s="39">
        <f>IF($A404="","",SUM($I404:$K404))</f>
        <v/>
      </c>
      <c r="S404" s="39">
        <f>IF($A404="","",($L404+$R404)-$Q404)</f>
        <v/>
      </c>
      <c r="T404" s="31">
        <f>IF(OR($A404="",$Q404=0),"",$S404/$Q404)</f>
        <v/>
      </c>
      <c r="U404" s="27">
        <f>IF($A404="","",IF($L404&gt;0,"Live","Exited"))</f>
        <v/>
      </c>
      <c r="V404" s="40">
        <f>IF($A404="","",IF($A404='Client Report'!$C$4,COUNTIFS($A$6:$A404,'Client Report'!$C$4),""))</f>
        <v/>
      </c>
    </row>
    <row r="405">
      <c r="A405" s="11" t="n"/>
      <c r="B405" s="11" t="n"/>
      <c r="C405" s="11" t="n"/>
      <c r="D405" s="11" t="n"/>
      <c r="E405" s="12" t="n"/>
      <c r="F405" s="34" t="n"/>
      <c r="G405" s="34" t="n"/>
      <c r="H405" s="34" t="n"/>
      <c r="I405" s="34" t="n"/>
      <c r="J405" s="34" t="n"/>
      <c r="K405" s="34" t="n"/>
      <c r="L405" s="34" t="n"/>
      <c r="M405" s="36" t="n"/>
      <c r="N405" s="36" t="n"/>
      <c r="O405" s="41" t="n"/>
      <c r="P405" s="27">
        <f>IF($B405="","",IFERROR(TRIM(LEFT($B405,FIND(" - ",$B405)-1)),"Others"))</f>
        <v/>
      </c>
      <c r="Q405" s="39">
        <f>IF($A405="","",SUM($F405:$H405))</f>
        <v/>
      </c>
      <c r="R405" s="39">
        <f>IF($A405="","",SUM($I405:$K405))</f>
        <v/>
      </c>
      <c r="S405" s="39">
        <f>IF($A405="","",($L405+$R405)-$Q405)</f>
        <v/>
      </c>
      <c r="T405" s="31">
        <f>IF(OR($A405="",$Q405=0),"",$S405/$Q405)</f>
        <v/>
      </c>
      <c r="U405" s="27">
        <f>IF($A405="","",IF($L405&gt;0,"Live","Exited"))</f>
        <v/>
      </c>
      <c r="V405" s="40">
        <f>IF($A405="","",IF($A405='Client Report'!$C$4,COUNTIFS($A$6:$A405,'Client Report'!$C$4),""))</f>
        <v/>
      </c>
    </row>
    <row r="406">
      <c r="A406" s="11" t="n"/>
      <c r="B406" s="11" t="n"/>
      <c r="C406" s="11" t="n"/>
      <c r="D406" s="11" t="n"/>
      <c r="E406" s="12" t="n"/>
      <c r="F406" s="34" t="n"/>
      <c r="G406" s="34" t="n"/>
      <c r="H406" s="34" t="n"/>
      <c r="I406" s="34" t="n"/>
      <c r="J406" s="34" t="n"/>
      <c r="K406" s="34" t="n"/>
      <c r="L406" s="34" t="n"/>
      <c r="M406" s="36" t="n"/>
      <c r="N406" s="36" t="n"/>
      <c r="O406" s="41" t="n"/>
      <c r="P406" s="27">
        <f>IF($B406="","",IFERROR(TRIM(LEFT($B406,FIND(" - ",$B406)-1)),"Others"))</f>
        <v/>
      </c>
      <c r="Q406" s="39">
        <f>IF($A406="","",SUM($F406:$H406))</f>
        <v/>
      </c>
      <c r="R406" s="39">
        <f>IF($A406="","",SUM($I406:$K406))</f>
        <v/>
      </c>
      <c r="S406" s="39">
        <f>IF($A406="","",($L406+$R406)-$Q406)</f>
        <v/>
      </c>
      <c r="T406" s="31">
        <f>IF(OR($A406="",$Q406=0),"",$S406/$Q406)</f>
        <v/>
      </c>
      <c r="U406" s="27">
        <f>IF($A406="","",IF($L406&gt;0,"Live","Exited"))</f>
        <v/>
      </c>
      <c r="V406" s="40">
        <f>IF($A406="","",IF($A406='Client Report'!$C$4,COUNTIFS($A$6:$A406,'Client Report'!$C$4),""))</f>
        <v/>
      </c>
    </row>
    <row r="407">
      <c r="A407" s="11" t="n"/>
      <c r="B407" s="11" t="n"/>
      <c r="C407" s="11" t="n"/>
      <c r="D407" s="11" t="n"/>
      <c r="E407" s="12" t="n"/>
      <c r="F407" s="34" t="n"/>
      <c r="G407" s="34" t="n"/>
      <c r="H407" s="34" t="n"/>
      <c r="I407" s="34" t="n"/>
      <c r="J407" s="34" t="n"/>
      <c r="K407" s="34" t="n"/>
      <c r="L407" s="34" t="n"/>
      <c r="M407" s="36" t="n"/>
      <c r="N407" s="36" t="n"/>
      <c r="O407" s="41" t="n"/>
      <c r="P407" s="27">
        <f>IF($B407="","",IFERROR(TRIM(LEFT($B407,FIND(" - ",$B407)-1)),"Others"))</f>
        <v/>
      </c>
      <c r="Q407" s="39">
        <f>IF($A407="","",SUM($F407:$H407))</f>
        <v/>
      </c>
      <c r="R407" s="39">
        <f>IF($A407="","",SUM($I407:$K407))</f>
        <v/>
      </c>
      <c r="S407" s="39">
        <f>IF($A407="","",($L407+$R407)-$Q407)</f>
        <v/>
      </c>
      <c r="T407" s="31">
        <f>IF(OR($A407="",$Q407=0),"",$S407/$Q407)</f>
        <v/>
      </c>
      <c r="U407" s="27">
        <f>IF($A407="","",IF($L407&gt;0,"Live","Exited"))</f>
        <v/>
      </c>
      <c r="V407" s="40">
        <f>IF($A407="","",IF($A407='Client Report'!$C$4,COUNTIFS($A$6:$A407,'Client Report'!$C$4),""))</f>
        <v/>
      </c>
    </row>
    <row r="408">
      <c r="A408" s="11" t="n"/>
      <c r="B408" s="11" t="n"/>
      <c r="C408" s="11" t="n"/>
      <c r="D408" s="11" t="n"/>
      <c r="E408" s="12" t="n"/>
      <c r="F408" s="34" t="n"/>
      <c r="G408" s="34" t="n"/>
      <c r="H408" s="34" t="n"/>
      <c r="I408" s="34" t="n"/>
      <c r="J408" s="34" t="n"/>
      <c r="K408" s="34" t="n"/>
      <c r="L408" s="34" t="n"/>
      <c r="M408" s="36" t="n"/>
      <c r="N408" s="36" t="n"/>
      <c r="O408" s="41" t="n"/>
      <c r="P408" s="27">
        <f>IF($B408="","",IFERROR(TRIM(LEFT($B408,FIND(" - ",$B408)-1)),"Others"))</f>
        <v/>
      </c>
      <c r="Q408" s="39">
        <f>IF($A408="","",SUM($F408:$H408))</f>
        <v/>
      </c>
      <c r="R408" s="39">
        <f>IF($A408="","",SUM($I408:$K408))</f>
        <v/>
      </c>
      <c r="S408" s="39">
        <f>IF($A408="","",($L408+$R408)-$Q408)</f>
        <v/>
      </c>
      <c r="T408" s="31">
        <f>IF(OR($A408="",$Q408=0),"",$S408/$Q408)</f>
        <v/>
      </c>
      <c r="U408" s="27">
        <f>IF($A408="","",IF($L408&gt;0,"Live","Exited"))</f>
        <v/>
      </c>
      <c r="V408" s="40">
        <f>IF($A408="","",IF($A408='Client Report'!$C$4,COUNTIFS($A$6:$A408,'Client Report'!$C$4),""))</f>
        <v/>
      </c>
    </row>
    <row r="409">
      <c r="A409" s="11" t="n"/>
      <c r="B409" s="11" t="n"/>
      <c r="C409" s="11" t="n"/>
      <c r="D409" s="11" t="n"/>
      <c r="E409" s="12" t="n"/>
      <c r="F409" s="34" t="n"/>
      <c r="G409" s="34" t="n"/>
      <c r="H409" s="34" t="n"/>
      <c r="I409" s="34" t="n"/>
      <c r="J409" s="34" t="n"/>
      <c r="K409" s="34" t="n"/>
      <c r="L409" s="34" t="n"/>
      <c r="M409" s="36" t="n"/>
      <c r="N409" s="36" t="n"/>
      <c r="O409" s="41" t="n"/>
      <c r="P409" s="27">
        <f>IF($B409="","",IFERROR(TRIM(LEFT($B409,FIND(" - ",$B409)-1)),"Others"))</f>
        <v/>
      </c>
      <c r="Q409" s="39">
        <f>IF($A409="","",SUM($F409:$H409))</f>
        <v/>
      </c>
      <c r="R409" s="39">
        <f>IF($A409="","",SUM($I409:$K409))</f>
        <v/>
      </c>
      <c r="S409" s="39">
        <f>IF($A409="","",($L409+$R409)-$Q409)</f>
        <v/>
      </c>
      <c r="T409" s="31">
        <f>IF(OR($A409="",$Q409=0),"",$S409/$Q409)</f>
        <v/>
      </c>
      <c r="U409" s="27">
        <f>IF($A409="","",IF($L409&gt;0,"Live","Exited"))</f>
        <v/>
      </c>
      <c r="V409" s="40">
        <f>IF($A409="","",IF($A409='Client Report'!$C$4,COUNTIFS($A$6:$A409,'Client Report'!$C$4),""))</f>
        <v/>
      </c>
    </row>
    <row r="410">
      <c r="A410" s="11" t="n"/>
      <c r="B410" s="11" t="n"/>
      <c r="C410" s="11" t="n"/>
      <c r="D410" s="11" t="n"/>
      <c r="E410" s="12" t="n"/>
      <c r="F410" s="34" t="n"/>
      <c r="G410" s="34" t="n"/>
      <c r="H410" s="34" t="n"/>
      <c r="I410" s="34" t="n"/>
      <c r="J410" s="34" t="n"/>
      <c r="K410" s="34" t="n"/>
      <c r="L410" s="34" t="n"/>
      <c r="M410" s="36" t="n"/>
      <c r="N410" s="36" t="n"/>
      <c r="O410" s="41" t="n"/>
      <c r="P410" s="27">
        <f>IF($B410="","",IFERROR(TRIM(LEFT($B410,FIND(" - ",$B410)-1)),"Others"))</f>
        <v/>
      </c>
      <c r="Q410" s="39">
        <f>IF($A410="","",SUM($F410:$H410))</f>
        <v/>
      </c>
      <c r="R410" s="39">
        <f>IF($A410="","",SUM($I410:$K410))</f>
        <v/>
      </c>
      <c r="S410" s="39">
        <f>IF($A410="","",($L410+$R410)-$Q410)</f>
        <v/>
      </c>
      <c r="T410" s="31">
        <f>IF(OR($A410="",$Q410=0),"",$S410/$Q410)</f>
        <v/>
      </c>
      <c r="U410" s="27">
        <f>IF($A410="","",IF($L410&gt;0,"Live","Exited"))</f>
        <v/>
      </c>
      <c r="V410" s="40">
        <f>IF($A410="","",IF($A410='Client Report'!$C$4,COUNTIFS($A$6:$A410,'Client Report'!$C$4),""))</f>
        <v/>
      </c>
    </row>
    <row r="411">
      <c r="A411" s="11" t="n"/>
      <c r="B411" s="11" t="n"/>
      <c r="C411" s="11" t="n"/>
      <c r="D411" s="11" t="n"/>
      <c r="E411" s="12" t="n"/>
      <c r="F411" s="34" t="n"/>
      <c r="G411" s="34" t="n"/>
      <c r="H411" s="34" t="n"/>
      <c r="I411" s="34" t="n"/>
      <c r="J411" s="34" t="n"/>
      <c r="K411" s="34" t="n"/>
      <c r="L411" s="34" t="n"/>
      <c r="M411" s="36" t="n"/>
      <c r="N411" s="36" t="n"/>
      <c r="O411" s="41" t="n"/>
      <c r="P411" s="27">
        <f>IF($B411="","",IFERROR(TRIM(LEFT($B411,FIND(" - ",$B411)-1)),"Others"))</f>
        <v/>
      </c>
      <c r="Q411" s="39">
        <f>IF($A411="","",SUM($F411:$H411))</f>
        <v/>
      </c>
      <c r="R411" s="39">
        <f>IF($A411="","",SUM($I411:$K411))</f>
        <v/>
      </c>
      <c r="S411" s="39">
        <f>IF($A411="","",($L411+$R411)-$Q411)</f>
        <v/>
      </c>
      <c r="T411" s="31">
        <f>IF(OR($A411="",$Q411=0),"",$S411/$Q411)</f>
        <v/>
      </c>
      <c r="U411" s="27">
        <f>IF($A411="","",IF($L411&gt;0,"Live","Exited"))</f>
        <v/>
      </c>
      <c r="V411" s="40">
        <f>IF($A411="","",IF($A411='Client Report'!$C$4,COUNTIFS($A$6:$A411,'Client Report'!$C$4),""))</f>
        <v/>
      </c>
    </row>
    <row r="412">
      <c r="A412" s="11" t="n"/>
      <c r="B412" s="11" t="n"/>
      <c r="C412" s="11" t="n"/>
      <c r="D412" s="11" t="n"/>
      <c r="E412" s="12" t="n"/>
      <c r="F412" s="34" t="n"/>
      <c r="G412" s="34" t="n"/>
      <c r="H412" s="34" t="n"/>
      <c r="I412" s="34" t="n"/>
      <c r="J412" s="34" t="n"/>
      <c r="K412" s="34" t="n"/>
      <c r="L412" s="34" t="n"/>
      <c r="M412" s="36" t="n"/>
      <c r="N412" s="36" t="n"/>
      <c r="O412" s="41" t="n"/>
      <c r="P412" s="27">
        <f>IF($B412="","",IFERROR(TRIM(LEFT($B412,FIND(" - ",$B412)-1)),"Others"))</f>
        <v/>
      </c>
      <c r="Q412" s="39">
        <f>IF($A412="","",SUM($F412:$H412))</f>
        <v/>
      </c>
      <c r="R412" s="39">
        <f>IF($A412="","",SUM($I412:$K412))</f>
        <v/>
      </c>
      <c r="S412" s="39">
        <f>IF($A412="","",($L412+$R412)-$Q412)</f>
        <v/>
      </c>
      <c r="T412" s="31">
        <f>IF(OR($A412="",$Q412=0),"",$S412/$Q412)</f>
        <v/>
      </c>
      <c r="U412" s="27">
        <f>IF($A412="","",IF($L412&gt;0,"Live","Exited"))</f>
        <v/>
      </c>
      <c r="V412" s="40">
        <f>IF($A412="","",IF($A412='Client Report'!$C$4,COUNTIFS($A$6:$A412,'Client Report'!$C$4),""))</f>
        <v/>
      </c>
    </row>
    <row r="413">
      <c r="A413" s="11" t="n"/>
      <c r="B413" s="11" t="n"/>
      <c r="C413" s="11" t="n"/>
      <c r="D413" s="11" t="n"/>
      <c r="E413" s="12" t="n"/>
      <c r="F413" s="34" t="n"/>
      <c r="G413" s="34" t="n"/>
      <c r="H413" s="34" t="n"/>
      <c r="I413" s="34" t="n"/>
      <c r="J413" s="34" t="n"/>
      <c r="K413" s="34" t="n"/>
      <c r="L413" s="34" t="n"/>
      <c r="M413" s="36" t="n"/>
      <c r="N413" s="36" t="n"/>
      <c r="O413" s="41" t="n"/>
      <c r="P413" s="27">
        <f>IF($B413="","",IFERROR(TRIM(LEFT($B413,FIND(" - ",$B413)-1)),"Others"))</f>
        <v/>
      </c>
      <c r="Q413" s="39">
        <f>IF($A413="","",SUM($F413:$H413))</f>
        <v/>
      </c>
      <c r="R413" s="39">
        <f>IF($A413="","",SUM($I413:$K413))</f>
        <v/>
      </c>
      <c r="S413" s="39">
        <f>IF($A413="","",($L413+$R413)-$Q413)</f>
        <v/>
      </c>
      <c r="T413" s="31">
        <f>IF(OR($A413="",$Q413=0),"",$S413/$Q413)</f>
        <v/>
      </c>
      <c r="U413" s="27">
        <f>IF($A413="","",IF($L413&gt;0,"Live","Exited"))</f>
        <v/>
      </c>
      <c r="V413" s="40">
        <f>IF($A413="","",IF($A413='Client Report'!$C$4,COUNTIFS($A$6:$A413,'Client Report'!$C$4),""))</f>
        <v/>
      </c>
    </row>
    <row r="414">
      <c r="A414" s="11" t="n"/>
      <c r="B414" s="11" t="n"/>
      <c r="C414" s="11" t="n"/>
      <c r="D414" s="11" t="n"/>
      <c r="E414" s="12" t="n"/>
      <c r="F414" s="34" t="n"/>
      <c r="G414" s="34" t="n"/>
      <c r="H414" s="34" t="n"/>
      <c r="I414" s="34" t="n"/>
      <c r="J414" s="34" t="n"/>
      <c r="K414" s="34" t="n"/>
      <c r="L414" s="34" t="n"/>
      <c r="M414" s="36" t="n"/>
      <c r="N414" s="36" t="n"/>
      <c r="O414" s="41" t="n"/>
      <c r="P414" s="27">
        <f>IF($B414="","",IFERROR(TRIM(LEFT($B414,FIND(" - ",$B414)-1)),"Others"))</f>
        <v/>
      </c>
      <c r="Q414" s="39">
        <f>IF($A414="","",SUM($F414:$H414))</f>
        <v/>
      </c>
      <c r="R414" s="39">
        <f>IF($A414="","",SUM($I414:$K414))</f>
        <v/>
      </c>
      <c r="S414" s="39">
        <f>IF($A414="","",($L414+$R414)-$Q414)</f>
        <v/>
      </c>
      <c r="T414" s="31">
        <f>IF(OR($A414="",$Q414=0),"",$S414/$Q414)</f>
        <v/>
      </c>
      <c r="U414" s="27">
        <f>IF($A414="","",IF($L414&gt;0,"Live","Exited"))</f>
        <v/>
      </c>
      <c r="V414" s="40">
        <f>IF($A414="","",IF($A414='Client Report'!$C$4,COUNTIFS($A$6:$A414,'Client Report'!$C$4),""))</f>
        <v/>
      </c>
    </row>
    <row r="415">
      <c r="A415" s="11" t="n"/>
      <c r="B415" s="11" t="n"/>
      <c r="C415" s="11" t="n"/>
      <c r="D415" s="11" t="n"/>
      <c r="E415" s="12" t="n"/>
      <c r="F415" s="34" t="n"/>
      <c r="G415" s="34" t="n"/>
      <c r="H415" s="34" t="n"/>
      <c r="I415" s="34" t="n"/>
      <c r="J415" s="34" t="n"/>
      <c r="K415" s="34" t="n"/>
      <c r="L415" s="34" t="n"/>
      <c r="M415" s="36" t="n"/>
      <c r="N415" s="36" t="n"/>
      <c r="O415" s="41" t="n"/>
      <c r="P415" s="27">
        <f>IF($B415="","",IFERROR(TRIM(LEFT($B415,FIND(" - ",$B415)-1)),"Others"))</f>
        <v/>
      </c>
      <c r="Q415" s="39">
        <f>IF($A415="","",SUM($F415:$H415))</f>
        <v/>
      </c>
      <c r="R415" s="39">
        <f>IF($A415="","",SUM($I415:$K415))</f>
        <v/>
      </c>
      <c r="S415" s="39">
        <f>IF($A415="","",($L415+$R415)-$Q415)</f>
        <v/>
      </c>
      <c r="T415" s="31">
        <f>IF(OR($A415="",$Q415=0),"",$S415/$Q415)</f>
        <v/>
      </c>
      <c r="U415" s="27">
        <f>IF($A415="","",IF($L415&gt;0,"Live","Exited"))</f>
        <v/>
      </c>
      <c r="V415" s="40">
        <f>IF($A415="","",IF($A415='Client Report'!$C$4,COUNTIFS($A$6:$A415,'Client Report'!$C$4),""))</f>
        <v/>
      </c>
    </row>
    <row r="416">
      <c r="A416" s="11" t="n"/>
      <c r="B416" s="11" t="n"/>
      <c r="C416" s="11" t="n"/>
      <c r="D416" s="11" t="n"/>
      <c r="E416" s="12" t="n"/>
      <c r="F416" s="34" t="n"/>
      <c r="G416" s="34" t="n"/>
      <c r="H416" s="34" t="n"/>
      <c r="I416" s="34" t="n"/>
      <c r="J416" s="34" t="n"/>
      <c r="K416" s="34" t="n"/>
      <c r="L416" s="34" t="n"/>
      <c r="M416" s="36" t="n"/>
      <c r="N416" s="36" t="n"/>
      <c r="O416" s="41" t="n"/>
      <c r="P416" s="27">
        <f>IF($B416="","",IFERROR(TRIM(LEFT($B416,FIND(" - ",$B416)-1)),"Others"))</f>
        <v/>
      </c>
      <c r="Q416" s="39">
        <f>IF($A416="","",SUM($F416:$H416))</f>
        <v/>
      </c>
      <c r="R416" s="39">
        <f>IF($A416="","",SUM($I416:$K416))</f>
        <v/>
      </c>
      <c r="S416" s="39">
        <f>IF($A416="","",($L416+$R416)-$Q416)</f>
        <v/>
      </c>
      <c r="T416" s="31">
        <f>IF(OR($A416="",$Q416=0),"",$S416/$Q416)</f>
        <v/>
      </c>
      <c r="U416" s="27">
        <f>IF($A416="","",IF($L416&gt;0,"Live","Exited"))</f>
        <v/>
      </c>
      <c r="V416" s="40">
        <f>IF($A416="","",IF($A416='Client Report'!$C$4,COUNTIFS($A$6:$A416,'Client Report'!$C$4),""))</f>
        <v/>
      </c>
    </row>
    <row r="417">
      <c r="A417" s="11" t="n"/>
      <c r="B417" s="11" t="n"/>
      <c r="C417" s="11" t="n"/>
      <c r="D417" s="11" t="n"/>
      <c r="E417" s="12" t="n"/>
      <c r="F417" s="34" t="n"/>
      <c r="G417" s="34" t="n"/>
      <c r="H417" s="34" t="n"/>
      <c r="I417" s="34" t="n"/>
      <c r="J417" s="34" t="n"/>
      <c r="K417" s="34" t="n"/>
      <c r="L417" s="34" t="n"/>
      <c r="M417" s="36" t="n"/>
      <c r="N417" s="36" t="n"/>
      <c r="O417" s="41" t="n"/>
      <c r="P417" s="27">
        <f>IF($B417="","",IFERROR(TRIM(LEFT($B417,FIND(" - ",$B417)-1)),"Others"))</f>
        <v/>
      </c>
      <c r="Q417" s="39">
        <f>IF($A417="","",SUM($F417:$H417))</f>
        <v/>
      </c>
      <c r="R417" s="39">
        <f>IF($A417="","",SUM($I417:$K417))</f>
        <v/>
      </c>
      <c r="S417" s="39">
        <f>IF($A417="","",($L417+$R417)-$Q417)</f>
        <v/>
      </c>
      <c r="T417" s="31">
        <f>IF(OR($A417="",$Q417=0),"",$S417/$Q417)</f>
        <v/>
      </c>
      <c r="U417" s="27">
        <f>IF($A417="","",IF($L417&gt;0,"Live","Exited"))</f>
        <v/>
      </c>
      <c r="V417" s="40">
        <f>IF($A417="","",IF($A417='Client Report'!$C$4,COUNTIFS($A$6:$A417,'Client Report'!$C$4),""))</f>
        <v/>
      </c>
    </row>
    <row r="418">
      <c r="A418" s="11" t="n"/>
      <c r="B418" s="11" t="n"/>
      <c r="C418" s="11" t="n"/>
      <c r="D418" s="11" t="n"/>
      <c r="E418" s="12" t="n"/>
      <c r="F418" s="34" t="n"/>
      <c r="G418" s="34" t="n"/>
      <c r="H418" s="34" t="n"/>
      <c r="I418" s="34" t="n"/>
      <c r="J418" s="34" t="n"/>
      <c r="K418" s="34" t="n"/>
      <c r="L418" s="34" t="n"/>
      <c r="M418" s="36" t="n"/>
      <c r="N418" s="36" t="n"/>
      <c r="O418" s="41" t="n"/>
      <c r="P418" s="27">
        <f>IF($B418="","",IFERROR(TRIM(LEFT($B418,FIND(" - ",$B418)-1)),"Others"))</f>
        <v/>
      </c>
      <c r="Q418" s="39">
        <f>IF($A418="","",SUM($F418:$H418))</f>
        <v/>
      </c>
      <c r="R418" s="39">
        <f>IF($A418="","",SUM($I418:$K418))</f>
        <v/>
      </c>
      <c r="S418" s="39">
        <f>IF($A418="","",($L418+$R418)-$Q418)</f>
        <v/>
      </c>
      <c r="T418" s="31">
        <f>IF(OR($A418="",$Q418=0),"",$S418/$Q418)</f>
        <v/>
      </c>
      <c r="U418" s="27">
        <f>IF($A418="","",IF($L418&gt;0,"Live","Exited"))</f>
        <v/>
      </c>
      <c r="V418" s="40">
        <f>IF($A418="","",IF($A418='Client Report'!$C$4,COUNTIFS($A$6:$A418,'Client Report'!$C$4),""))</f>
        <v/>
      </c>
    </row>
    <row r="419">
      <c r="A419" s="11" t="n"/>
      <c r="B419" s="11" t="n"/>
      <c r="C419" s="11" t="n"/>
      <c r="D419" s="11" t="n"/>
      <c r="E419" s="12" t="n"/>
      <c r="F419" s="34" t="n"/>
      <c r="G419" s="34" t="n"/>
      <c r="H419" s="34" t="n"/>
      <c r="I419" s="34" t="n"/>
      <c r="J419" s="34" t="n"/>
      <c r="K419" s="34" t="n"/>
      <c r="L419" s="34" t="n"/>
      <c r="M419" s="36" t="n"/>
      <c r="N419" s="36" t="n"/>
      <c r="O419" s="41" t="n"/>
      <c r="P419" s="27">
        <f>IF($B419="","",IFERROR(TRIM(LEFT($B419,FIND(" - ",$B419)-1)),"Others"))</f>
        <v/>
      </c>
      <c r="Q419" s="39">
        <f>IF($A419="","",SUM($F419:$H419))</f>
        <v/>
      </c>
      <c r="R419" s="39">
        <f>IF($A419="","",SUM($I419:$K419))</f>
        <v/>
      </c>
      <c r="S419" s="39">
        <f>IF($A419="","",($L419+$R419)-$Q419)</f>
        <v/>
      </c>
      <c r="T419" s="31">
        <f>IF(OR($A419="",$Q419=0),"",$S419/$Q419)</f>
        <v/>
      </c>
      <c r="U419" s="27">
        <f>IF($A419="","",IF($L419&gt;0,"Live","Exited"))</f>
        <v/>
      </c>
      <c r="V419" s="40">
        <f>IF($A419="","",IF($A419='Client Report'!$C$4,COUNTIFS($A$6:$A419,'Client Report'!$C$4),""))</f>
        <v/>
      </c>
    </row>
    <row r="420">
      <c r="A420" s="11" t="n"/>
      <c r="B420" s="11" t="n"/>
      <c r="C420" s="11" t="n"/>
      <c r="D420" s="11" t="n"/>
      <c r="E420" s="12" t="n"/>
      <c r="F420" s="34" t="n"/>
      <c r="G420" s="34" t="n"/>
      <c r="H420" s="34" t="n"/>
      <c r="I420" s="34" t="n"/>
      <c r="J420" s="34" t="n"/>
      <c r="K420" s="34" t="n"/>
      <c r="L420" s="34" t="n"/>
      <c r="M420" s="36" t="n"/>
      <c r="N420" s="36" t="n"/>
      <c r="O420" s="41" t="n"/>
      <c r="P420" s="27">
        <f>IF($B420="","",IFERROR(TRIM(LEFT($B420,FIND(" - ",$B420)-1)),"Others"))</f>
        <v/>
      </c>
      <c r="Q420" s="39">
        <f>IF($A420="","",SUM($F420:$H420))</f>
        <v/>
      </c>
      <c r="R420" s="39">
        <f>IF($A420="","",SUM($I420:$K420))</f>
        <v/>
      </c>
      <c r="S420" s="39">
        <f>IF($A420="","",($L420+$R420)-$Q420)</f>
        <v/>
      </c>
      <c r="T420" s="31">
        <f>IF(OR($A420="",$Q420=0),"",$S420/$Q420)</f>
        <v/>
      </c>
      <c r="U420" s="27">
        <f>IF($A420="","",IF($L420&gt;0,"Live","Exited"))</f>
        <v/>
      </c>
      <c r="V420" s="40">
        <f>IF($A420="","",IF($A420='Client Report'!$C$4,COUNTIFS($A$6:$A420,'Client Report'!$C$4),""))</f>
        <v/>
      </c>
    </row>
    <row r="421">
      <c r="A421" s="11" t="n"/>
      <c r="B421" s="11" t="n"/>
      <c r="C421" s="11" t="n"/>
      <c r="D421" s="11" t="n"/>
      <c r="E421" s="12" t="n"/>
      <c r="F421" s="34" t="n"/>
      <c r="G421" s="34" t="n"/>
      <c r="H421" s="34" t="n"/>
      <c r="I421" s="34" t="n"/>
      <c r="J421" s="34" t="n"/>
      <c r="K421" s="34" t="n"/>
      <c r="L421" s="34" t="n"/>
      <c r="M421" s="36" t="n"/>
      <c r="N421" s="36" t="n"/>
      <c r="O421" s="41" t="n"/>
      <c r="P421" s="27">
        <f>IF($B421="","",IFERROR(TRIM(LEFT($B421,FIND(" - ",$B421)-1)),"Others"))</f>
        <v/>
      </c>
      <c r="Q421" s="39">
        <f>IF($A421="","",SUM($F421:$H421))</f>
        <v/>
      </c>
      <c r="R421" s="39">
        <f>IF($A421="","",SUM($I421:$K421))</f>
        <v/>
      </c>
      <c r="S421" s="39">
        <f>IF($A421="","",($L421+$R421)-$Q421)</f>
        <v/>
      </c>
      <c r="T421" s="31">
        <f>IF(OR($A421="",$Q421=0),"",$S421/$Q421)</f>
        <v/>
      </c>
      <c r="U421" s="27">
        <f>IF($A421="","",IF($L421&gt;0,"Live","Exited"))</f>
        <v/>
      </c>
      <c r="V421" s="40">
        <f>IF($A421="","",IF($A421='Client Report'!$C$4,COUNTIFS($A$6:$A421,'Client Report'!$C$4),""))</f>
        <v/>
      </c>
    </row>
    <row r="422">
      <c r="A422" s="11" t="n"/>
      <c r="B422" s="11" t="n"/>
      <c r="C422" s="11" t="n"/>
      <c r="D422" s="11" t="n"/>
      <c r="E422" s="12" t="n"/>
      <c r="F422" s="34" t="n"/>
      <c r="G422" s="34" t="n"/>
      <c r="H422" s="34" t="n"/>
      <c r="I422" s="34" t="n"/>
      <c r="J422" s="34" t="n"/>
      <c r="K422" s="34" t="n"/>
      <c r="L422" s="34" t="n"/>
      <c r="M422" s="36" t="n"/>
      <c r="N422" s="36" t="n"/>
      <c r="O422" s="41" t="n"/>
      <c r="P422" s="27">
        <f>IF($B422="","",IFERROR(TRIM(LEFT($B422,FIND(" - ",$B422)-1)),"Others"))</f>
        <v/>
      </c>
      <c r="Q422" s="39">
        <f>IF($A422="","",SUM($F422:$H422))</f>
        <v/>
      </c>
      <c r="R422" s="39">
        <f>IF($A422="","",SUM($I422:$K422))</f>
        <v/>
      </c>
      <c r="S422" s="39">
        <f>IF($A422="","",($L422+$R422)-$Q422)</f>
        <v/>
      </c>
      <c r="T422" s="31">
        <f>IF(OR($A422="",$Q422=0),"",$S422/$Q422)</f>
        <v/>
      </c>
      <c r="U422" s="27">
        <f>IF($A422="","",IF($L422&gt;0,"Live","Exited"))</f>
        <v/>
      </c>
      <c r="V422" s="40">
        <f>IF($A422="","",IF($A422='Client Report'!$C$4,COUNTIFS($A$6:$A422,'Client Report'!$C$4),""))</f>
        <v/>
      </c>
    </row>
    <row r="423">
      <c r="A423" s="11" t="n"/>
      <c r="B423" s="11" t="n"/>
      <c r="C423" s="11" t="n"/>
      <c r="D423" s="11" t="n"/>
      <c r="E423" s="12" t="n"/>
      <c r="F423" s="34" t="n"/>
      <c r="G423" s="34" t="n"/>
      <c r="H423" s="34" t="n"/>
      <c r="I423" s="34" t="n"/>
      <c r="J423" s="34" t="n"/>
      <c r="K423" s="34" t="n"/>
      <c r="L423" s="34" t="n"/>
      <c r="M423" s="36" t="n"/>
      <c r="N423" s="36" t="n"/>
      <c r="O423" s="41" t="n"/>
      <c r="P423" s="27">
        <f>IF($B423="","",IFERROR(TRIM(LEFT($B423,FIND(" - ",$B423)-1)),"Others"))</f>
        <v/>
      </c>
      <c r="Q423" s="39">
        <f>IF($A423="","",SUM($F423:$H423))</f>
        <v/>
      </c>
      <c r="R423" s="39">
        <f>IF($A423="","",SUM($I423:$K423))</f>
        <v/>
      </c>
      <c r="S423" s="39">
        <f>IF($A423="","",($L423+$R423)-$Q423)</f>
        <v/>
      </c>
      <c r="T423" s="31">
        <f>IF(OR($A423="",$Q423=0),"",$S423/$Q423)</f>
        <v/>
      </c>
      <c r="U423" s="27">
        <f>IF($A423="","",IF($L423&gt;0,"Live","Exited"))</f>
        <v/>
      </c>
      <c r="V423" s="40">
        <f>IF($A423="","",IF($A423='Client Report'!$C$4,COUNTIFS($A$6:$A423,'Client Report'!$C$4),""))</f>
        <v/>
      </c>
    </row>
    <row r="424">
      <c r="A424" s="11" t="n"/>
      <c r="B424" s="11" t="n"/>
      <c r="C424" s="11" t="n"/>
      <c r="D424" s="11" t="n"/>
      <c r="E424" s="12" t="n"/>
      <c r="F424" s="34" t="n"/>
      <c r="G424" s="34" t="n"/>
      <c r="H424" s="34" t="n"/>
      <c r="I424" s="34" t="n"/>
      <c r="J424" s="34" t="n"/>
      <c r="K424" s="34" t="n"/>
      <c r="L424" s="34" t="n"/>
      <c r="M424" s="36" t="n"/>
      <c r="N424" s="36" t="n"/>
      <c r="O424" s="41" t="n"/>
      <c r="P424" s="27">
        <f>IF($B424="","",IFERROR(TRIM(LEFT($B424,FIND(" - ",$B424)-1)),"Others"))</f>
        <v/>
      </c>
      <c r="Q424" s="39">
        <f>IF($A424="","",SUM($F424:$H424))</f>
        <v/>
      </c>
      <c r="R424" s="39">
        <f>IF($A424="","",SUM($I424:$K424))</f>
        <v/>
      </c>
      <c r="S424" s="39">
        <f>IF($A424="","",($L424+$R424)-$Q424)</f>
        <v/>
      </c>
      <c r="T424" s="31">
        <f>IF(OR($A424="",$Q424=0),"",$S424/$Q424)</f>
        <v/>
      </c>
      <c r="U424" s="27">
        <f>IF($A424="","",IF($L424&gt;0,"Live","Exited"))</f>
        <v/>
      </c>
      <c r="V424" s="40">
        <f>IF($A424="","",IF($A424='Client Report'!$C$4,COUNTIFS($A$6:$A424,'Client Report'!$C$4),""))</f>
        <v/>
      </c>
    </row>
    <row r="425">
      <c r="A425" s="11" t="n"/>
      <c r="B425" s="11" t="n"/>
      <c r="C425" s="11" t="n"/>
      <c r="D425" s="11" t="n"/>
      <c r="E425" s="12" t="n"/>
      <c r="F425" s="34" t="n"/>
      <c r="G425" s="34" t="n"/>
      <c r="H425" s="34" t="n"/>
      <c r="I425" s="34" t="n"/>
      <c r="J425" s="34" t="n"/>
      <c r="K425" s="34" t="n"/>
      <c r="L425" s="34" t="n"/>
      <c r="M425" s="36" t="n"/>
      <c r="N425" s="36" t="n"/>
      <c r="O425" s="41" t="n"/>
      <c r="P425" s="27">
        <f>IF($B425="","",IFERROR(TRIM(LEFT($B425,FIND(" - ",$B425)-1)),"Others"))</f>
        <v/>
      </c>
      <c r="Q425" s="39">
        <f>IF($A425="","",SUM($F425:$H425))</f>
        <v/>
      </c>
      <c r="R425" s="39">
        <f>IF($A425="","",SUM($I425:$K425))</f>
        <v/>
      </c>
      <c r="S425" s="39">
        <f>IF($A425="","",($L425+$R425)-$Q425)</f>
        <v/>
      </c>
      <c r="T425" s="31">
        <f>IF(OR($A425="",$Q425=0),"",$S425/$Q425)</f>
        <v/>
      </c>
      <c r="U425" s="27">
        <f>IF($A425="","",IF($L425&gt;0,"Live","Exited"))</f>
        <v/>
      </c>
      <c r="V425" s="40">
        <f>IF($A425="","",IF($A425='Client Report'!$C$4,COUNTIFS($A$6:$A425,'Client Report'!$C$4),""))</f>
        <v/>
      </c>
    </row>
    <row r="426">
      <c r="A426" s="11" t="n"/>
      <c r="B426" s="11" t="n"/>
      <c r="C426" s="11" t="n"/>
      <c r="D426" s="11" t="n"/>
      <c r="E426" s="12" t="n"/>
      <c r="F426" s="34" t="n"/>
      <c r="G426" s="34" t="n"/>
      <c r="H426" s="34" t="n"/>
      <c r="I426" s="34" t="n"/>
      <c r="J426" s="34" t="n"/>
      <c r="K426" s="34" t="n"/>
      <c r="L426" s="34" t="n"/>
      <c r="M426" s="36" t="n"/>
      <c r="N426" s="36" t="n"/>
      <c r="O426" s="41" t="n"/>
      <c r="P426" s="27">
        <f>IF($B426="","",IFERROR(TRIM(LEFT($B426,FIND(" - ",$B426)-1)),"Others"))</f>
        <v/>
      </c>
      <c r="Q426" s="39">
        <f>IF($A426="","",SUM($F426:$H426))</f>
        <v/>
      </c>
      <c r="R426" s="39">
        <f>IF($A426="","",SUM($I426:$K426))</f>
        <v/>
      </c>
      <c r="S426" s="39">
        <f>IF($A426="","",($L426+$R426)-$Q426)</f>
        <v/>
      </c>
      <c r="T426" s="31">
        <f>IF(OR($A426="",$Q426=0),"",$S426/$Q426)</f>
        <v/>
      </c>
      <c r="U426" s="27">
        <f>IF($A426="","",IF($L426&gt;0,"Live","Exited"))</f>
        <v/>
      </c>
      <c r="V426" s="40">
        <f>IF($A426="","",IF($A426='Client Report'!$C$4,COUNTIFS($A$6:$A426,'Client Report'!$C$4),""))</f>
        <v/>
      </c>
    </row>
    <row r="427">
      <c r="A427" s="11" t="n"/>
      <c r="B427" s="11" t="n"/>
      <c r="C427" s="11" t="n"/>
      <c r="D427" s="11" t="n"/>
      <c r="E427" s="12" t="n"/>
      <c r="F427" s="34" t="n"/>
      <c r="G427" s="34" t="n"/>
      <c r="H427" s="34" t="n"/>
      <c r="I427" s="34" t="n"/>
      <c r="J427" s="34" t="n"/>
      <c r="K427" s="34" t="n"/>
      <c r="L427" s="34" t="n"/>
      <c r="M427" s="36" t="n"/>
      <c r="N427" s="36" t="n"/>
      <c r="O427" s="41" t="n"/>
      <c r="P427" s="27">
        <f>IF($B427="","",IFERROR(TRIM(LEFT($B427,FIND(" - ",$B427)-1)),"Others"))</f>
        <v/>
      </c>
      <c r="Q427" s="39">
        <f>IF($A427="","",SUM($F427:$H427))</f>
        <v/>
      </c>
      <c r="R427" s="39">
        <f>IF($A427="","",SUM($I427:$K427))</f>
        <v/>
      </c>
      <c r="S427" s="39">
        <f>IF($A427="","",($L427+$R427)-$Q427)</f>
        <v/>
      </c>
      <c r="T427" s="31">
        <f>IF(OR($A427="",$Q427=0),"",$S427/$Q427)</f>
        <v/>
      </c>
      <c r="U427" s="27">
        <f>IF($A427="","",IF($L427&gt;0,"Live","Exited"))</f>
        <v/>
      </c>
      <c r="V427" s="40">
        <f>IF($A427="","",IF($A427='Client Report'!$C$4,COUNTIFS($A$6:$A427,'Client Report'!$C$4),""))</f>
        <v/>
      </c>
    </row>
    <row r="428">
      <c r="A428" s="11" t="n"/>
      <c r="B428" s="11" t="n"/>
      <c r="C428" s="11" t="n"/>
      <c r="D428" s="11" t="n"/>
      <c r="E428" s="12" t="n"/>
      <c r="F428" s="34" t="n"/>
      <c r="G428" s="34" t="n"/>
      <c r="H428" s="34" t="n"/>
      <c r="I428" s="34" t="n"/>
      <c r="J428" s="34" t="n"/>
      <c r="K428" s="34" t="n"/>
      <c r="L428" s="34" t="n"/>
      <c r="M428" s="36" t="n"/>
      <c r="N428" s="36" t="n"/>
      <c r="O428" s="41" t="n"/>
      <c r="P428" s="27">
        <f>IF($B428="","",IFERROR(TRIM(LEFT($B428,FIND(" - ",$B428)-1)),"Others"))</f>
        <v/>
      </c>
      <c r="Q428" s="39">
        <f>IF($A428="","",SUM($F428:$H428))</f>
        <v/>
      </c>
      <c r="R428" s="39">
        <f>IF($A428="","",SUM($I428:$K428))</f>
        <v/>
      </c>
      <c r="S428" s="39">
        <f>IF($A428="","",($L428+$R428)-$Q428)</f>
        <v/>
      </c>
      <c r="T428" s="31">
        <f>IF(OR($A428="",$Q428=0),"",$S428/$Q428)</f>
        <v/>
      </c>
      <c r="U428" s="27">
        <f>IF($A428="","",IF($L428&gt;0,"Live","Exited"))</f>
        <v/>
      </c>
      <c r="V428" s="40">
        <f>IF($A428="","",IF($A428='Client Report'!$C$4,COUNTIFS($A$6:$A428,'Client Report'!$C$4),""))</f>
        <v/>
      </c>
    </row>
    <row r="429">
      <c r="A429" s="11" t="n"/>
      <c r="B429" s="11" t="n"/>
      <c r="C429" s="11" t="n"/>
      <c r="D429" s="11" t="n"/>
      <c r="E429" s="12" t="n"/>
      <c r="F429" s="34" t="n"/>
      <c r="G429" s="34" t="n"/>
      <c r="H429" s="34" t="n"/>
      <c r="I429" s="34" t="n"/>
      <c r="J429" s="34" t="n"/>
      <c r="K429" s="34" t="n"/>
      <c r="L429" s="34" t="n"/>
      <c r="M429" s="36" t="n"/>
      <c r="N429" s="36" t="n"/>
      <c r="O429" s="41" t="n"/>
      <c r="P429" s="27">
        <f>IF($B429="","",IFERROR(TRIM(LEFT($B429,FIND(" - ",$B429)-1)),"Others"))</f>
        <v/>
      </c>
      <c r="Q429" s="39">
        <f>IF($A429="","",SUM($F429:$H429))</f>
        <v/>
      </c>
      <c r="R429" s="39">
        <f>IF($A429="","",SUM($I429:$K429))</f>
        <v/>
      </c>
      <c r="S429" s="39">
        <f>IF($A429="","",($L429+$R429)-$Q429)</f>
        <v/>
      </c>
      <c r="T429" s="31">
        <f>IF(OR($A429="",$Q429=0),"",$S429/$Q429)</f>
        <v/>
      </c>
      <c r="U429" s="27">
        <f>IF($A429="","",IF($L429&gt;0,"Live","Exited"))</f>
        <v/>
      </c>
      <c r="V429" s="40">
        <f>IF($A429="","",IF($A429='Client Report'!$C$4,COUNTIFS($A$6:$A429,'Client Report'!$C$4),""))</f>
        <v/>
      </c>
    </row>
    <row r="430">
      <c r="A430" s="11" t="n"/>
      <c r="B430" s="11" t="n"/>
      <c r="C430" s="11" t="n"/>
      <c r="D430" s="11" t="n"/>
      <c r="E430" s="12" t="n"/>
      <c r="F430" s="34" t="n"/>
      <c r="G430" s="34" t="n"/>
      <c r="H430" s="34" t="n"/>
      <c r="I430" s="34" t="n"/>
      <c r="J430" s="34" t="n"/>
      <c r="K430" s="34" t="n"/>
      <c r="L430" s="34" t="n"/>
      <c r="M430" s="36" t="n"/>
      <c r="N430" s="36" t="n"/>
      <c r="O430" s="41" t="n"/>
      <c r="P430" s="27">
        <f>IF($B430="","",IFERROR(TRIM(LEFT($B430,FIND(" - ",$B430)-1)),"Others"))</f>
        <v/>
      </c>
      <c r="Q430" s="39">
        <f>IF($A430="","",SUM($F430:$H430))</f>
        <v/>
      </c>
      <c r="R430" s="39">
        <f>IF($A430="","",SUM($I430:$K430))</f>
        <v/>
      </c>
      <c r="S430" s="39">
        <f>IF($A430="","",($L430+$R430)-$Q430)</f>
        <v/>
      </c>
      <c r="T430" s="31">
        <f>IF(OR($A430="",$Q430=0),"",$S430/$Q430)</f>
        <v/>
      </c>
      <c r="U430" s="27">
        <f>IF($A430="","",IF($L430&gt;0,"Live","Exited"))</f>
        <v/>
      </c>
      <c r="V430" s="40">
        <f>IF($A430="","",IF($A430='Client Report'!$C$4,COUNTIFS($A$6:$A430,'Client Report'!$C$4),""))</f>
        <v/>
      </c>
    </row>
    <row r="431">
      <c r="A431" s="11" t="n"/>
      <c r="B431" s="11" t="n"/>
      <c r="C431" s="11" t="n"/>
      <c r="D431" s="11" t="n"/>
      <c r="E431" s="12" t="n"/>
      <c r="F431" s="34" t="n"/>
      <c r="G431" s="34" t="n"/>
      <c r="H431" s="34" t="n"/>
      <c r="I431" s="34" t="n"/>
      <c r="J431" s="34" t="n"/>
      <c r="K431" s="34" t="n"/>
      <c r="L431" s="34" t="n"/>
      <c r="M431" s="36" t="n"/>
      <c r="N431" s="36" t="n"/>
      <c r="O431" s="41" t="n"/>
      <c r="P431" s="27">
        <f>IF($B431="","",IFERROR(TRIM(LEFT($B431,FIND(" - ",$B431)-1)),"Others"))</f>
        <v/>
      </c>
      <c r="Q431" s="39">
        <f>IF($A431="","",SUM($F431:$H431))</f>
        <v/>
      </c>
      <c r="R431" s="39">
        <f>IF($A431="","",SUM($I431:$K431))</f>
        <v/>
      </c>
      <c r="S431" s="39">
        <f>IF($A431="","",($L431+$R431)-$Q431)</f>
        <v/>
      </c>
      <c r="T431" s="31">
        <f>IF(OR($A431="",$Q431=0),"",$S431/$Q431)</f>
        <v/>
      </c>
      <c r="U431" s="27">
        <f>IF($A431="","",IF($L431&gt;0,"Live","Exited"))</f>
        <v/>
      </c>
      <c r="V431" s="40">
        <f>IF($A431="","",IF($A431='Client Report'!$C$4,COUNTIFS($A$6:$A431,'Client Report'!$C$4),""))</f>
        <v/>
      </c>
    </row>
    <row r="432">
      <c r="A432" s="11" t="n"/>
      <c r="B432" s="11" t="n"/>
      <c r="C432" s="11" t="n"/>
      <c r="D432" s="11" t="n"/>
      <c r="E432" s="12" t="n"/>
      <c r="F432" s="34" t="n"/>
      <c r="G432" s="34" t="n"/>
      <c r="H432" s="34" t="n"/>
      <c r="I432" s="34" t="n"/>
      <c r="J432" s="34" t="n"/>
      <c r="K432" s="34" t="n"/>
      <c r="L432" s="34" t="n"/>
      <c r="M432" s="36" t="n"/>
      <c r="N432" s="36" t="n"/>
      <c r="O432" s="41" t="n"/>
      <c r="P432" s="27">
        <f>IF($B432="","",IFERROR(TRIM(LEFT($B432,FIND(" - ",$B432)-1)),"Others"))</f>
        <v/>
      </c>
      <c r="Q432" s="39">
        <f>IF($A432="","",SUM($F432:$H432))</f>
        <v/>
      </c>
      <c r="R432" s="39">
        <f>IF($A432="","",SUM($I432:$K432))</f>
        <v/>
      </c>
      <c r="S432" s="39">
        <f>IF($A432="","",($L432+$R432)-$Q432)</f>
        <v/>
      </c>
      <c r="T432" s="31">
        <f>IF(OR($A432="",$Q432=0),"",$S432/$Q432)</f>
        <v/>
      </c>
      <c r="U432" s="27">
        <f>IF($A432="","",IF($L432&gt;0,"Live","Exited"))</f>
        <v/>
      </c>
      <c r="V432" s="40">
        <f>IF($A432="","",IF($A432='Client Report'!$C$4,COUNTIFS($A$6:$A432,'Client Report'!$C$4),""))</f>
        <v/>
      </c>
    </row>
    <row r="433">
      <c r="A433" s="11" t="n"/>
      <c r="B433" s="11" t="n"/>
      <c r="C433" s="11" t="n"/>
      <c r="D433" s="11" t="n"/>
      <c r="E433" s="12" t="n"/>
      <c r="F433" s="34" t="n"/>
      <c r="G433" s="34" t="n"/>
      <c r="H433" s="34" t="n"/>
      <c r="I433" s="34" t="n"/>
      <c r="J433" s="34" t="n"/>
      <c r="K433" s="34" t="n"/>
      <c r="L433" s="34" t="n"/>
      <c r="M433" s="36" t="n"/>
      <c r="N433" s="36" t="n"/>
      <c r="O433" s="41" t="n"/>
      <c r="P433" s="27">
        <f>IF($B433="","",IFERROR(TRIM(LEFT($B433,FIND(" - ",$B433)-1)),"Others"))</f>
        <v/>
      </c>
      <c r="Q433" s="39">
        <f>IF($A433="","",SUM($F433:$H433))</f>
        <v/>
      </c>
      <c r="R433" s="39">
        <f>IF($A433="","",SUM($I433:$K433))</f>
        <v/>
      </c>
      <c r="S433" s="39">
        <f>IF($A433="","",($L433+$R433)-$Q433)</f>
        <v/>
      </c>
      <c r="T433" s="31">
        <f>IF(OR($A433="",$Q433=0),"",$S433/$Q433)</f>
        <v/>
      </c>
      <c r="U433" s="27">
        <f>IF($A433="","",IF($L433&gt;0,"Live","Exited"))</f>
        <v/>
      </c>
      <c r="V433" s="40">
        <f>IF($A433="","",IF($A433='Client Report'!$C$4,COUNTIFS($A$6:$A433,'Client Report'!$C$4),""))</f>
        <v/>
      </c>
    </row>
    <row r="434">
      <c r="A434" s="11" t="n"/>
      <c r="B434" s="11" t="n"/>
      <c r="C434" s="11" t="n"/>
      <c r="D434" s="11" t="n"/>
      <c r="E434" s="12" t="n"/>
      <c r="F434" s="34" t="n"/>
      <c r="G434" s="34" t="n"/>
      <c r="H434" s="34" t="n"/>
      <c r="I434" s="34" t="n"/>
      <c r="J434" s="34" t="n"/>
      <c r="K434" s="34" t="n"/>
      <c r="L434" s="34" t="n"/>
      <c r="M434" s="36" t="n"/>
      <c r="N434" s="36" t="n"/>
      <c r="O434" s="41" t="n"/>
      <c r="P434" s="27">
        <f>IF($B434="","",IFERROR(TRIM(LEFT($B434,FIND(" - ",$B434)-1)),"Others"))</f>
        <v/>
      </c>
      <c r="Q434" s="39">
        <f>IF($A434="","",SUM($F434:$H434))</f>
        <v/>
      </c>
      <c r="R434" s="39">
        <f>IF($A434="","",SUM($I434:$K434))</f>
        <v/>
      </c>
      <c r="S434" s="39">
        <f>IF($A434="","",($L434+$R434)-$Q434)</f>
        <v/>
      </c>
      <c r="T434" s="31">
        <f>IF(OR($A434="",$Q434=0),"",$S434/$Q434)</f>
        <v/>
      </c>
      <c r="U434" s="27">
        <f>IF($A434="","",IF($L434&gt;0,"Live","Exited"))</f>
        <v/>
      </c>
      <c r="V434" s="40">
        <f>IF($A434="","",IF($A434='Client Report'!$C$4,COUNTIFS($A$6:$A434,'Client Report'!$C$4),""))</f>
        <v/>
      </c>
    </row>
    <row r="435">
      <c r="A435" s="11" t="n"/>
      <c r="B435" s="11" t="n"/>
      <c r="C435" s="11" t="n"/>
      <c r="D435" s="11" t="n"/>
      <c r="E435" s="12" t="n"/>
      <c r="F435" s="34" t="n"/>
      <c r="G435" s="34" t="n"/>
      <c r="H435" s="34" t="n"/>
      <c r="I435" s="34" t="n"/>
      <c r="J435" s="34" t="n"/>
      <c r="K435" s="34" t="n"/>
      <c r="L435" s="34" t="n"/>
      <c r="M435" s="36" t="n"/>
      <c r="N435" s="36" t="n"/>
      <c r="O435" s="41" t="n"/>
      <c r="P435" s="27">
        <f>IF($B435="","",IFERROR(TRIM(LEFT($B435,FIND(" - ",$B435)-1)),"Others"))</f>
        <v/>
      </c>
      <c r="Q435" s="39">
        <f>IF($A435="","",SUM($F435:$H435))</f>
        <v/>
      </c>
      <c r="R435" s="39">
        <f>IF($A435="","",SUM($I435:$K435))</f>
        <v/>
      </c>
      <c r="S435" s="39">
        <f>IF($A435="","",($L435+$R435)-$Q435)</f>
        <v/>
      </c>
      <c r="T435" s="31">
        <f>IF(OR($A435="",$Q435=0),"",$S435/$Q435)</f>
        <v/>
      </c>
      <c r="U435" s="27">
        <f>IF($A435="","",IF($L435&gt;0,"Live","Exited"))</f>
        <v/>
      </c>
      <c r="V435" s="40">
        <f>IF($A435="","",IF($A435='Client Report'!$C$4,COUNTIFS($A$6:$A435,'Client Report'!$C$4),""))</f>
        <v/>
      </c>
    </row>
    <row r="436">
      <c r="A436" s="11" t="n"/>
      <c r="B436" s="11" t="n"/>
      <c r="C436" s="11" t="n"/>
      <c r="D436" s="11" t="n"/>
      <c r="E436" s="12" t="n"/>
      <c r="F436" s="34" t="n"/>
      <c r="G436" s="34" t="n"/>
      <c r="H436" s="34" t="n"/>
      <c r="I436" s="34" t="n"/>
      <c r="J436" s="34" t="n"/>
      <c r="K436" s="34" t="n"/>
      <c r="L436" s="34" t="n"/>
      <c r="M436" s="36" t="n"/>
      <c r="N436" s="36" t="n"/>
      <c r="O436" s="41" t="n"/>
      <c r="P436" s="27">
        <f>IF($B436="","",IFERROR(TRIM(LEFT($B436,FIND(" - ",$B436)-1)),"Others"))</f>
        <v/>
      </c>
      <c r="Q436" s="39">
        <f>IF($A436="","",SUM($F436:$H436))</f>
        <v/>
      </c>
      <c r="R436" s="39">
        <f>IF($A436="","",SUM($I436:$K436))</f>
        <v/>
      </c>
      <c r="S436" s="39">
        <f>IF($A436="","",($L436+$R436)-$Q436)</f>
        <v/>
      </c>
      <c r="T436" s="31">
        <f>IF(OR($A436="",$Q436=0),"",$S436/$Q436)</f>
        <v/>
      </c>
      <c r="U436" s="27">
        <f>IF($A436="","",IF($L436&gt;0,"Live","Exited"))</f>
        <v/>
      </c>
      <c r="V436" s="40">
        <f>IF($A436="","",IF($A436='Client Report'!$C$4,COUNTIFS($A$6:$A436,'Client Report'!$C$4),""))</f>
        <v/>
      </c>
    </row>
    <row r="437">
      <c r="A437" s="11" t="n"/>
      <c r="B437" s="11" t="n"/>
      <c r="C437" s="11" t="n"/>
      <c r="D437" s="11" t="n"/>
      <c r="E437" s="12" t="n"/>
      <c r="F437" s="34" t="n"/>
      <c r="G437" s="34" t="n"/>
      <c r="H437" s="34" t="n"/>
      <c r="I437" s="34" t="n"/>
      <c r="J437" s="34" t="n"/>
      <c r="K437" s="34" t="n"/>
      <c r="L437" s="34" t="n"/>
      <c r="M437" s="36" t="n"/>
      <c r="N437" s="36" t="n"/>
      <c r="O437" s="41" t="n"/>
      <c r="P437" s="27">
        <f>IF($B437="","",IFERROR(TRIM(LEFT($B437,FIND(" - ",$B437)-1)),"Others"))</f>
        <v/>
      </c>
      <c r="Q437" s="39">
        <f>IF($A437="","",SUM($F437:$H437))</f>
        <v/>
      </c>
      <c r="R437" s="39">
        <f>IF($A437="","",SUM($I437:$K437))</f>
        <v/>
      </c>
      <c r="S437" s="39">
        <f>IF($A437="","",($L437+$R437)-$Q437)</f>
        <v/>
      </c>
      <c r="T437" s="31">
        <f>IF(OR($A437="",$Q437=0),"",$S437/$Q437)</f>
        <v/>
      </c>
      <c r="U437" s="27">
        <f>IF($A437="","",IF($L437&gt;0,"Live","Exited"))</f>
        <v/>
      </c>
      <c r="V437" s="40">
        <f>IF($A437="","",IF($A437='Client Report'!$C$4,COUNTIFS($A$6:$A437,'Client Report'!$C$4),""))</f>
        <v/>
      </c>
    </row>
    <row r="438">
      <c r="A438" s="11" t="n"/>
      <c r="B438" s="11" t="n"/>
      <c r="C438" s="11" t="n"/>
      <c r="D438" s="11" t="n"/>
      <c r="E438" s="12" t="n"/>
      <c r="F438" s="34" t="n"/>
      <c r="G438" s="34" t="n"/>
      <c r="H438" s="34" t="n"/>
      <c r="I438" s="34" t="n"/>
      <c r="J438" s="34" t="n"/>
      <c r="K438" s="34" t="n"/>
      <c r="L438" s="34" t="n"/>
      <c r="M438" s="36" t="n"/>
      <c r="N438" s="36" t="n"/>
      <c r="O438" s="41" t="n"/>
      <c r="P438" s="27">
        <f>IF($B438="","",IFERROR(TRIM(LEFT($B438,FIND(" - ",$B438)-1)),"Others"))</f>
        <v/>
      </c>
      <c r="Q438" s="39">
        <f>IF($A438="","",SUM($F438:$H438))</f>
        <v/>
      </c>
      <c r="R438" s="39">
        <f>IF($A438="","",SUM($I438:$K438))</f>
        <v/>
      </c>
      <c r="S438" s="39">
        <f>IF($A438="","",($L438+$R438)-$Q438)</f>
        <v/>
      </c>
      <c r="T438" s="31">
        <f>IF(OR($A438="",$Q438=0),"",$S438/$Q438)</f>
        <v/>
      </c>
      <c r="U438" s="27">
        <f>IF($A438="","",IF($L438&gt;0,"Live","Exited"))</f>
        <v/>
      </c>
      <c r="V438" s="40">
        <f>IF($A438="","",IF($A438='Client Report'!$C$4,COUNTIFS($A$6:$A438,'Client Report'!$C$4),""))</f>
        <v/>
      </c>
    </row>
    <row r="439">
      <c r="A439" s="11" t="n"/>
      <c r="B439" s="11" t="n"/>
      <c r="C439" s="11" t="n"/>
      <c r="D439" s="11" t="n"/>
      <c r="E439" s="12" t="n"/>
      <c r="F439" s="34" t="n"/>
      <c r="G439" s="34" t="n"/>
      <c r="H439" s="34" t="n"/>
      <c r="I439" s="34" t="n"/>
      <c r="J439" s="34" t="n"/>
      <c r="K439" s="34" t="n"/>
      <c r="L439" s="34" t="n"/>
      <c r="M439" s="36" t="n"/>
      <c r="N439" s="36" t="n"/>
      <c r="O439" s="41" t="n"/>
      <c r="P439" s="27">
        <f>IF($B439="","",IFERROR(TRIM(LEFT($B439,FIND(" - ",$B439)-1)),"Others"))</f>
        <v/>
      </c>
      <c r="Q439" s="39">
        <f>IF($A439="","",SUM($F439:$H439))</f>
        <v/>
      </c>
      <c r="R439" s="39">
        <f>IF($A439="","",SUM($I439:$K439))</f>
        <v/>
      </c>
      <c r="S439" s="39">
        <f>IF($A439="","",($L439+$R439)-$Q439)</f>
        <v/>
      </c>
      <c r="T439" s="31">
        <f>IF(OR($A439="",$Q439=0),"",$S439/$Q439)</f>
        <v/>
      </c>
      <c r="U439" s="27">
        <f>IF($A439="","",IF($L439&gt;0,"Live","Exited"))</f>
        <v/>
      </c>
      <c r="V439" s="40">
        <f>IF($A439="","",IF($A439='Client Report'!$C$4,COUNTIFS($A$6:$A439,'Client Report'!$C$4),""))</f>
        <v/>
      </c>
    </row>
    <row r="440">
      <c r="A440" s="11" t="n"/>
      <c r="B440" s="11" t="n"/>
      <c r="C440" s="11" t="n"/>
      <c r="D440" s="11" t="n"/>
      <c r="E440" s="12" t="n"/>
      <c r="F440" s="34" t="n"/>
      <c r="G440" s="34" t="n"/>
      <c r="H440" s="34" t="n"/>
      <c r="I440" s="34" t="n"/>
      <c r="J440" s="34" t="n"/>
      <c r="K440" s="34" t="n"/>
      <c r="L440" s="34" t="n"/>
      <c r="M440" s="36" t="n"/>
      <c r="N440" s="36" t="n"/>
      <c r="O440" s="41" t="n"/>
      <c r="P440" s="27">
        <f>IF($B440="","",IFERROR(TRIM(LEFT($B440,FIND(" - ",$B440)-1)),"Others"))</f>
        <v/>
      </c>
      <c r="Q440" s="39">
        <f>IF($A440="","",SUM($F440:$H440))</f>
        <v/>
      </c>
      <c r="R440" s="39">
        <f>IF($A440="","",SUM($I440:$K440))</f>
        <v/>
      </c>
      <c r="S440" s="39">
        <f>IF($A440="","",($L440+$R440)-$Q440)</f>
        <v/>
      </c>
      <c r="T440" s="31">
        <f>IF(OR($A440="",$Q440=0),"",$S440/$Q440)</f>
        <v/>
      </c>
      <c r="U440" s="27">
        <f>IF($A440="","",IF($L440&gt;0,"Live","Exited"))</f>
        <v/>
      </c>
      <c r="V440" s="40">
        <f>IF($A440="","",IF($A440='Client Report'!$C$4,COUNTIFS($A$6:$A440,'Client Report'!$C$4),""))</f>
        <v/>
      </c>
    </row>
    <row r="441">
      <c r="A441" s="11" t="n"/>
      <c r="B441" s="11" t="n"/>
      <c r="C441" s="11" t="n"/>
      <c r="D441" s="11" t="n"/>
      <c r="E441" s="12" t="n"/>
      <c r="F441" s="34" t="n"/>
      <c r="G441" s="34" t="n"/>
      <c r="H441" s="34" t="n"/>
      <c r="I441" s="34" t="n"/>
      <c r="J441" s="34" t="n"/>
      <c r="K441" s="34" t="n"/>
      <c r="L441" s="34" t="n"/>
      <c r="M441" s="36" t="n"/>
      <c r="N441" s="36" t="n"/>
      <c r="O441" s="41" t="n"/>
      <c r="P441" s="27">
        <f>IF($B441="","",IFERROR(TRIM(LEFT($B441,FIND(" - ",$B441)-1)),"Others"))</f>
        <v/>
      </c>
      <c r="Q441" s="39">
        <f>IF($A441="","",SUM($F441:$H441))</f>
        <v/>
      </c>
      <c r="R441" s="39">
        <f>IF($A441="","",SUM($I441:$K441))</f>
        <v/>
      </c>
      <c r="S441" s="39">
        <f>IF($A441="","",($L441+$R441)-$Q441)</f>
        <v/>
      </c>
      <c r="T441" s="31">
        <f>IF(OR($A441="",$Q441=0),"",$S441/$Q441)</f>
        <v/>
      </c>
      <c r="U441" s="27">
        <f>IF($A441="","",IF($L441&gt;0,"Live","Exited"))</f>
        <v/>
      </c>
      <c r="V441" s="40">
        <f>IF($A441="","",IF($A441='Client Report'!$C$4,COUNTIFS($A$6:$A441,'Client Report'!$C$4),""))</f>
        <v/>
      </c>
    </row>
    <row r="442">
      <c r="A442" s="11" t="n"/>
      <c r="B442" s="11" t="n"/>
      <c r="C442" s="11" t="n"/>
      <c r="D442" s="11" t="n"/>
      <c r="E442" s="12" t="n"/>
      <c r="F442" s="34" t="n"/>
      <c r="G442" s="34" t="n"/>
      <c r="H442" s="34" t="n"/>
      <c r="I442" s="34" t="n"/>
      <c r="J442" s="34" t="n"/>
      <c r="K442" s="34" t="n"/>
      <c r="L442" s="34" t="n"/>
      <c r="M442" s="36" t="n"/>
      <c r="N442" s="36" t="n"/>
      <c r="O442" s="41" t="n"/>
      <c r="P442" s="27">
        <f>IF($B442="","",IFERROR(TRIM(LEFT($B442,FIND(" - ",$B442)-1)),"Others"))</f>
        <v/>
      </c>
      <c r="Q442" s="39">
        <f>IF($A442="","",SUM($F442:$H442))</f>
        <v/>
      </c>
      <c r="R442" s="39">
        <f>IF($A442="","",SUM($I442:$K442))</f>
        <v/>
      </c>
      <c r="S442" s="39">
        <f>IF($A442="","",($L442+$R442)-$Q442)</f>
        <v/>
      </c>
      <c r="T442" s="31">
        <f>IF(OR($A442="",$Q442=0),"",$S442/$Q442)</f>
        <v/>
      </c>
      <c r="U442" s="27">
        <f>IF($A442="","",IF($L442&gt;0,"Live","Exited"))</f>
        <v/>
      </c>
      <c r="V442" s="40">
        <f>IF($A442="","",IF($A442='Client Report'!$C$4,COUNTIFS($A$6:$A442,'Client Report'!$C$4),""))</f>
        <v/>
      </c>
    </row>
    <row r="443">
      <c r="A443" s="11" t="n"/>
      <c r="B443" s="11" t="n"/>
      <c r="C443" s="11" t="n"/>
      <c r="D443" s="11" t="n"/>
      <c r="E443" s="12" t="n"/>
      <c r="F443" s="34" t="n"/>
      <c r="G443" s="34" t="n"/>
      <c r="H443" s="34" t="n"/>
      <c r="I443" s="34" t="n"/>
      <c r="J443" s="34" t="n"/>
      <c r="K443" s="34" t="n"/>
      <c r="L443" s="34" t="n"/>
      <c r="M443" s="36" t="n"/>
      <c r="N443" s="36" t="n"/>
      <c r="O443" s="41" t="n"/>
      <c r="P443" s="27">
        <f>IF($B443="","",IFERROR(TRIM(LEFT($B443,FIND(" - ",$B443)-1)),"Others"))</f>
        <v/>
      </c>
      <c r="Q443" s="39">
        <f>IF($A443="","",SUM($F443:$H443))</f>
        <v/>
      </c>
      <c r="R443" s="39">
        <f>IF($A443="","",SUM($I443:$K443))</f>
        <v/>
      </c>
      <c r="S443" s="39">
        <f>IF($A443="","",($L443+$R443)-$Q443)</f>
        <v/>
      </c>
      <c r="T443" s="31">
        <f>IF(OR($A443="",$Q443=0),"",$S443/$Q443)</f>
        <v/>
      </c>
      <c r="U443" s="27">
        <f>IF($A443="","",IF($L443&gt;0,"Live","Exited"))</f>
        <v/>
      </c>
      <c r="V443" s="40">
        <f>IF($A443="","",IF($A443='Client Report'!$C$4,COUNTIFS($A$6:$A443,'Client Report'!$C$4),""))</f>
        <v/>
      </c>
    </row>
    <row r="444">
      <c r="A444" s="11" t="n"/>
      <c r="B444" s="11" t="n"/>
      <c r="C444" s="11" t="n"/>
      <c r="D444" s="11" t="n"/>
      <c r="E444" s="12" t="n"/>
      <c r="F444" s="34" t="n"/>
      <c r="G444" s="34" t="n"/>
      <c r="H444" s="34" t="n"/>
      <c r="I444" s="34" t="n"/>
      <c r="J444" s="34" t="n"/>
      <c r="K444" s="34" t="n"/>
      <c r="L444" s="34" t="n"/>
      <c r="M444" s="36" t="n"/>
      <c r="N444" s="36" t="n"/>
      <c r="O444" s="41" t="n"/>
      <c r="P444" s="27">
        <f>IF($B444="","",IFERROR(TRIM(LEFT($B444,FIND(" - ",$B444)-1)),"Others"))</f>
        <v/>
      </c>
      <c r="Q444" s="39">
        <f>IF($A444="","",SUM($F444:$H444))</f>
        <v/>
      </c>
      <c r="R444" s="39">
        <f>IF($A444="","",SUM($I444:$K444))</f>
        <v/>
      </c>
      <c r="S444" s="39">
        <f>IF($A444="","",($L444+$R444)-$Q444)</f>
        <v/>
      </c>
      <c r="T444" s="31">
        <f>IF(OR($A444="",$Q444=0),"",$S444/$Q444)</f>
        <v/>
      </c>
      <c r="U444" s="27">
        <f>IF($A444="","",IF($L444&gt;0,"Live","Exited"))</f>
        <v/>
      </c>
      <c r="V444" s="40">
        <f>IF($A444="","",IF($A444='Client Report'!$C$4,COUNTIFS($A$6:$A444,'Client Report'!$C$4),""))</f>
        <v/>
      </c>
    </row>
    <row r="445">
      <c r="A445" s="11" t="n"/>
      <c r="B445" s="11" t="n"/>
      <c r="C445" s="11" t="n"/>
      <c r="D445" s="11" t="n"/>
      <c r="E445" s="12" t="n"/>
      <c r="F445" s="34" t="n"/>
      <c r="G445" s="34" t="n"/>
      <c r="H445" s="34" t="n"/>
      <c r="I445" s="34" t="n"/>
      <c r="J445" s="34" t="n"/>
      <c r="K445" s="34" t="n"/>
      <c r="L445" s="34" t="n"/>
      <c r="M445" s="36" t="n"/>
      <c r="N445" s="36" t="n"/>
      <c r="O445" s="41" t="n"/>
      <c r="P445" s="27">
        <f>IF($B445="","",IFERROR(TRIM(LEFT($B445,FIND(" - ",$B445)-1)),"Others"))</f>
        <v/>
      </c>
      <c r="Q445" s="39">
        <f>IF($A445="","",SUM($F445:$H445))</f>
        <v/>
      </c>
      <c r="R445" s="39">
        <f>IF($A445="","",SUM($I445:$K445))</f>
        <v/>
      </c>
      <c r="S445" s="39">
        <f>IF($A445="","",($L445+$R445)-$Q445)</f>
        <v/>
      </c>
      <c r="T445" s="31">
        <f>IF(OR($A445="",$Q445=0),"",$S445/$Q445)</f>
        <v/>
      </c>
      <c r="U445" s="27">
        <f>IF($A445="","",IF($L445&gt;0,"Live","Exited"))</f>
        <v/>
      </c>
      <c r="V445" s="40">
        <f>IF($A445="","",IF($A445='Client Report'!$C$4,COUNTIFS($A$6:$A445,'Client Report'!$C$4),""))</f>
        <v/>
      </c>
    </row>
    <row r="446">
      <c r="A446" s="11" t="n"/>
      <c r="B446" s="11" t="n"/>
      <c r="C446" s="11" t="n"/>
      <c r="D446" s="11" t="n"/>
      <c r="E446" s="12" t="n"/>
      <c r="F446" s="34" t="n"/>
      <c r="G446" s="34" t="n"/>
      <c r="H446" s="34" t="n"/>
      <c r="I446" s="34" t="n"/>
      <c r="J446" s="34" t="n"/>
      <c r="K446" s="34" t="n"/>
      <c r="L446" s="34" t="n"/>
      <c r="M446" s="36" t="n"/>
      <c r="N446" s="36" t="n"/>
      <c r="O446" s="41" t="n"/>
      <c r="P446" s="27">
        <f>IF($B446="","",IFERROR(TRIM(LEFT($B446,FIND(" - ",$B446)-1)),"Others"))</f>
        <v/>
      </c>
      <c r="Q446" s="39">
        <f>IF($A446="","",SUM($F446:$H446))</f>
        <v/>
      </c>
      <c r="R446" s="39">
        <f>IF($A446="","",SUM($I446:$K446))</f>
        <v/>
      </c>
      <c r="S446" s="39">
        <f>IF($A446="","",($L446+$R446)-$Q446)</f>
        <v/>
      </c>
      <c r="T446" s="31">
        <f>IF(OR($A446="",$Q446=0),"",$S446/$Q446)</f>
        <v/>
      </c>
      <c r="U446" s="27">
        <f>IF($A446="","",IF($L446&gt;0,"Live","Exited"))</f>
        <v/>
      </c>
      <c r="V446" s="40">
        <f>IF($A446="","",IF($A446='Client Report'!$C$4,COUNTIFS($A$6:$A446,'Client Report'!$C$4),""))</f>
        <v/>
      </c>
    </row>
    <row r="447">
      <c r="A447" s="11" t="n"/>
      <c r="B447" s="11" t="n"/>
      <c r="C447" s="11" t="n"/>
      <c r="D447" s="11" t="n"/>
      <c r="E447" s="12" t="n"/>
      <c r="F447" s="34" t="n"/>
      <c r="G447" s="34" t="n"/>
      <c r="H447" s="34" t="n"/>
      <c r="I447" s="34" t="n"/>
      <c r="J447" s="34" t="n"/>
      <c r="K447" s="34" t="n"/>
      <c r="L447" s="34" t="n"/>
      <c r="M447" s="36" t="n"/>
      <c r="N447" s="36" t="n"/>
      <c r="O447" s="41" t="n"/>
      <c r="P447" s="27">
        <f>IF($B447="","",IFERROR(TRIM(LEFT($B447,FIND(" - ",$B447)-1)),"Others"))</f>
        <v/>
      </c>
      <c r="Q447" s="39">
        <f>IF($A447="","",SUM($F447:$H447))</f>
        <v/>
      </c>
      <c r="R447" s="39">
        <f>IF($A447="","",SUM($I447:$K447))</f>
        <v/>
      </c>
      <c r="S447" s="39">
        <f>IF($A447="","",($L447+$R447)-$Q447)</f>
        <v/>
      </c>
      <c r="T447" s="31">
        <f>IF(OR($A447="",$Q447=0),"",$S447/$Q447)</f>
        <v/>
      </c>
      <c r="U447" s="27">
        <f>IF($A447="","",IF($L447&gt;0,"Live","Exited"))</f>
        <v/>
      </c>
      <c r="V447" s="40">
        <f>IF($A447="","",IF($A447='Client Report'!$C$4,COUNTIFS($A$6:$A447,'Client Report'!$C$4),""))</f>
        <v/>
      </c>
    </row>
    <row r="448">
      <c r="A448" s="11" t="n"/>
      <c r="B448" s="11" t="n"/>
      <c r="C448" s="11" t="n"/>
      <c r="D448" s="11" t="n"/>
      <c r="E448" s="12" t="n"/>
      <c r="F448" s="34" t="n"/>
      <c r="G448" s="34" t="n"/>
      <c r="H448" s="34" t="n"/>
      <c r="I448" s="34" t="n"/>
      <c r="J448" s="34" t="n"/>
      <c r="K448" s="34" t="n"/>
      <c r="L448" s="34" t="n"/>
      <c r="M448" s="36" t="n"/>
      <c r="N448" s="36" t="n"/>
      <c r="O448" s="41" t="n"/>
      <c r="P448" s="27">
        <f>IF($B448="","",IFERROR(TRIM(LEFT($B448,FIND(" - ",$B448)-1)),"Others"))</f>
        <v/>
      </c>
      <c r="Q448" s="39">
        <f>IF($A448="","",SUM($F448:$H448))</f>
        <v/>
      </c>
      <c r="R448" s="39">
        <f>IF($A448="","",SUM($I448:$K448))</f>
        <v/>
      </c>
      <c r="S448" s="39">
        <f>IF($A448="","",($L448+$R448)-$Q448)</f>
        <v/>
      </c>
      <c r="T448" s="31">
        <f>IF(OR($A448="",$Q448=0),"",$S448/$Q448)</f>
        <v/>
      </c>
      <c r="U448" s="27">
        <f>IF($A448="","",IF($L448&gt;0,"Live","Exited"))</f>
        <v/>
      </c>
      <c r="V448" s="40">
        <f>IF($A448="","",IF($A448='Client Report'!$C$4,COUNTIFS($A$6:$A448,'Client Report'!$C$4),""))</f>
        <v/>
      </c>
    </row>
    <row r="449">
      <c r="A449" s="11" t="n"/>
      <c r="B449" s="11" t="n"/>
      <c r="C449" s="11" t="n"/>
      <c r="D449" s="11" t="n"/>
      <c r="E449" s="12" t="n"/>
      <c r="F449" s="34" t="n"/>
      <c r="G449" s="34" t="n"/>
      <c r="H449" s="34" t="n"/>
      <c r="I449" s="34" t="n"/>
      <c r="J449" s="34" t="n"/>
      <c r="K449" s="34" t="n"/>
      <c r="L449" s="34" t="n"/>
      <c r="M449" s="36" t="n"/>
      <c r="N449" s="36" t="n"/>
      <c r="O449" s="41" t="n"/>
      <c r="P449" s="27">
        <f>IF($B449="","",IFERROR(TRIM(LEFT($B449,FIND(" - ",$B449)-1)),"Others"))</f>
        <v/>
      </c>
      <c r="Q449" s="39">
        <f>IF($A449="","",SUM($F449:$H449))</f>
        <v/>
      </c>
      <c r="R449" s="39">
        <f>IF($A449="","",SUM($I449:$K449))</f>
        <v/>
      </c>
      <c r="S449" s="39">
        <f>IF($A449="","",($L449+$R449)-$Q449)</f>
        <v/>
      </c>
      <c r="T449" s="31">
        <f>IF(OR($A449="",$Q449=0),"",$S449/$Q449)</f>
        <v/>
      </c>
      <c r="U449" s="27">
        <f>IF($A449="","",IF($L449&gt;0,"Live","Exited"))</f>
        <v/>
      </c>
      <c r="V449" s="40">
        <f>IF($A449="","",IF($A449='Client Report'!$C$4,COUNTIFS($A$6:$A449,'Client Report'!$C$4),""))</f>
        <v/>
      </c>
    </row>
    <row r="450">
      <c r="A450" s="11" t="n"/>
      <c r="B450" s="11" t="n"/>
      <c r="C450" s="11" t="n"/>
      <c r="D450" s="11" t="n"/>
      <c r="E450" s="12" t="n"/>
      <c r="F450" s="34" t="n"/>
      <c r="G450" s="34" t="n"/>
      <c r="H450" s="34" t="n"/>
      <c r="I450" s="34" t="n"/>
      <c r="J450" s="34" t="n"/>
      <c r="K450" s="34" t="n"/>
      <c r="L450" s="34" t="n"/>
      <c r="M450" s="36" t="n"/>
      <c r="N450" s="36" t="n"/>
      <c r="O450" s="41" t="n"/>
      <c r="P450" s="27">
        <f>IF($B450="","",IFERROR(TRIM(LEFT($B450,FIND(" - ",$B450)-1)),"Others"))</f>
        <v/>
      </c>
      <c r="Q450" s="39">
        <f>IF($A450="","",SUM($F450:$H450))</f>
        <v/>
      </c>
      <c r="R450" s="39">
        <f>IF($A450="","",SUM($I450:$K450))</f>
        <v/>
      </c>
      <c r="S450" s="39">
        <f>IF($A450="","",($L450+$R450)-$Q450)</f>
        <v/>
      </c>
      <c r="T450" s="31">
        <f>IF(OR($A450="",$Q450=0),"",$S450/$Q450)</f>
        <v/>
      </c>
      <c r="U450" s="27">
        <f>IF($A450="","",IF($L450&gt;0,"Live","Exited"))</f>
        <v/>
      </c>
      <c r="V450" s="40">
        <f>IF($A450="","",IF($A450='Client Report'!$C$4,COUNTIFS($A$6:$A450,'Client Report'!$C$4),""))</f>
        <v/>
      </c>
    </row>
    <row r="451">
      <c r="A451" s="11" t="n"/>
      <c r="B451" s="11" t="n"/>
      <c r="C451" s="11" t="n"/>
      <c r="D451" s="11" t="n"/>
      <c r="E451" s="12" t="n"/>
      <c r="F451" s="34" t="n"/>
      <c r="G451" s="34" t="n"/>
      <c r="H451" s="34" t="n"/>
      <c r="I451" s="34" t="n"/>
      <c r="J451" s="34" t="n"/>
      <c r="K451" s="34" t="n"/>
      <c r="L451" s="34" t="n"/>
      <c r="M451" s="36" t="n"/>
      <c r="N451" s="36" t="n"/>
      <c r="O451" s="41" t="n"/>
      <c r="P451" s="27">
        <f>IF($B451="","",IFERROR(TRIM(LEFT($B451,FIND(" - ",$B451)-1)),"Others"))</f>
        <v/>
      </c>
      <c r="Q451" s="39">
        <f>IF($A451="","",SUM($F451:$H451))</f>
        <v/>
      </c>
      <c r="R451" s="39">
        <f>IF($A451="","",SUM($I451:$K451))</f>
        <v/>
      </c>
      <c r="S451" s="39">
        <f>IF($A451="","",($L451+$R451)-$Q451)</f>
        <v/>
      </c>
      <c r="T451" s="31">
        <f>IF(OR($A451="",$Q451=0),"",$S451/$Q451)</f>
        <v/>
      </c>
      <c r="U451" s="27">
        <f>IF($A451="","",IF($L451&gt;0,"Live","Exited"))</f>
        <v/>
      </c>
      <c r="V451" s="40">
        <f>IF($A451="","",IF($A451='Client Report'!$C$4,COUNTIFS($A$6:$A451,'Client Report'!$C$4),""))</f>
        <v/>
      </c>
    </row>
    <row r="452">
      <c r="A452" s="11" t="n"/>
      <c r="B452" s="11" t="n"/>
      <c r="C452" s="11" t="n"/>
      <c r="D452" s="11" t="n"/>
      <c r="E452" s="12" t="n"/>
      <c r="F452" s="34" t="n"/>
      <c r="G452" s="34" t="n"/>
      <c r="H452" s="34" t="n"/>
      <c r="I452" s="34" t="n"/>
      <c r="J452" s="34" t="n"/>
      <c r="K452" s="34" t="n"/>
      <c r="L452" s="34" t="n"/>
      <c r="M452" s="36" t="n"/>
      <c r="N452" s="36" t="n"/>
      <c r="O452" s="41" t="n"/>
      <c r="P452" s="27">
        <f>IF($B452="","",IFERROR(TRIM(LEFT($B452,FIND(" - ",$B452)-1)),"Others"))</f>
        <v/>
      </c>
      <c r="Q452" s="39">
        <f>IF($A452="","",SUM($F452:$H452))</f>
        <v/>
      </c>
      <c r="R452" s="39">
        <f>IF($A452="","",SUM($I452:$K452))</f>
        <v/>
      </c>
      <c r="S452" s="39">
        <f>IF($A452="","",($L452+$R452)-$Q452)</f>
        <v/>
      </c>
      <c r="T452" s="31">
        <f>IF(OR($A452="",$Q452=0),"",$S452/$Q452)</f>
        <v/>
      </c>
      <c r="U452" s="27">
        <f>IF($A452="","",IF($L452&gt;0,"Live","Exited"))</f>
        <v/>
      </c>
      <c r="V452" s="40">
        <f>IF($A452="","",IF($A452='Client Report'!$C$4,COUNTIFS($A$6:$A452,'Client Report'!$C$4),""))</f>
        <v/>
      </c>
    </row>
    <row r="453">
      <c r="A453" s="11" t="n"/>
      <c r="B453" s="11" t="n"/>
      <c r="C453" s="11" t="n"/>
      <c r="D453" s="11" t="n"/>
      <c r="E453" s="12" t="n"/>
      <c r="F453" s="34" t="n"/>
      <c r="G453" s="34" t="n"/>
      <c r="H453" s="34" t="n"/>
      <c r="I453" s="34" t="n"/>
      <c r="J453" s="34" t="n"/>
      <c r="K453" s="34" t="n"/>
      <c r="L453" s="34" t="n"/>
      <c r="M453" s="36" t="n"/>
      <c r="N453" s="36" t="n"/>
      <c r="O453" s="41" t="n"/>
      <c r="P453" s="27">
        <f>IF($B453="","",IFERROR(TRIM(LEFT($B453,FIND(" - ",$B453)-1)),"Others"))</f>
        <v/>
      </c>
      <c r="Q453" s="39">
        <f>IF($A453="","",SUM($F453:$H453))</f>
        <v/>
      </c>
      <c r="R453" s="39">
        <f>IF($A453="","",SUM($I453:$K453))</f>
        <v/>
      </c>
      <c r="S453" s="39">
        <f>IF($A453="","",($L453+$R453)-$Q453)</f>
        <v/>
      </c>
      <c r="T453" s="31">
        <f>IF(OR($A453="",$Q453=0),"",$S453/$Q453)</f>
        <v/>
      </c>
      <c r="U453" s="27">
        <f>IF($A453="","",IF($L453&gt;0,"Live","Exited"))</f>
        <v/>
      </c>
      <c r="V453" s="40">
        <f>IF($A453="","",IF($A453='Client Report'!$C$4,COUNTIFS($A$6:$A453,'Client Report'!$C$4),""))</f>
        <v/>
      </c>
    </row>
    <row r="454">
      <c r="A454" s="11" t="n"/>
      <c r="B454" s="11" t="n"/>
      <c r="C454" s="11" t="n"/>
      <c r="D454" s="11" t="n"/>
      <c r="E454" s="12" t="n"/>
      <c r="F454" s="34" t="n"/>
      <c r="G454" s="34" t="n"/>
      <c r="H454" s="34" t="n"/>
      <c r="I454" s="34" t="n"/>
      <c r="J454" s="34" t="n"/>
      <c r="K454" s="34" t="n"/>
      <c r="L454" s="34" t="n"/>
      <c r="M454" s="36" t="n"/>
      <c r="N454" s="36" t="n"/>
      <c r="O454" s="41" t="n"/>
      <c r="P454" s="27">
        <f>IF($B454="","",IFERROR(TRIM(LEFT($B454,FIND(" - ",$B454)-1)),"Others"))</f>
        <v/>
      </c>
      <c r="Q454" s="39">
        <f>IF($A454="","",SUM($F454:$H454))</f>
        <v/>
      </c>
      <c r="R454" s="39">
        <f>IF($A454="","",SUM($I454:$K454))</f>
        <v/>
      </c>
      <c r="S454" s="39">
        <f>IF($A454="","",($L454+$R454)-$Q454)</f>
        <v/>
      </c>
      <c r="T454" s="31">
        <f>IF(OR($A454="",$Q454=0),"",$S454/$Q454)</f>
        <v/>
      </c>
      <c r="U454" s="27">
        <f>IF($A454="","",IF($L454&gt;0,"Live","Exited"))</f>
        <v/>
      </c>
      <c r="V454" s="40">
        <f>IF($A454="","",IF($A454='Client Report'!$C$4,COUNTIFS($A$6:$A454,'Client Report'!$C$4),""))</f>
        <v/>
      </c>
    </row>
    <row r="455">
      <c r="A455" s="11" t="n"/>
      <c r="B455" s="11" t="n"/>
      <c r="C455" s="11" t="n"/>
      <c r="D455" s="11" t="n"/>
      <c r="E455" s="12" t="n"/>
      <c r="F455" s="34" t="n"/>
      <c r="G455" s="34" t="n"/>
      <c r="H455" s="34" t="n"/>
      <c r="I455" s="34" t="n"/>
      <c r="J455" s="34" t="n"/>
      <c r="K455" s="34" t="n"/>
      <c r="L455" s="34" t="n"/>
      <c r="M455" s="36" t="n"/>
      <c r="N455" s="36" t="n"/>
      <c r="O455" s="41" t="n"/>
      <c r="P455" s="27">
        <f>IF($B455="","",IFERROR(TRIM(LEFT($B455,FIND(" - ",$B455)-1)),"Others"))</f>
        <v/>
      </c>
      <c r="Q455" s="39">
        <f>IF($A455="","",SUM($F455:$H455))</f>
        <v/>
      </c>
      <c r="R455" s="39">
        <f>IF($A455="","",SUM($I455:$K455))</f>
        <v/>
      </c>
      <c r="S455" s="39">
        <f>IF($A455="","",($L455+$R455)-$Q455)</f>
        <v/>
      </c>
      <c r="T455" s="31">
        <f>IF(OR($A455="",$Q455=0),"",$S455/$Q455)</f>
        <v/>
      </c>
      <c r="U455" s="27">
        <f>IF($A455="","",IF($L455&gt;0,"Live","Exited"))</f>
        <v/>
      </c>
      <c r="V455" s="40">
        <f>IF($A455="","",IF($A455='Client Report'!$C$4,COUNTIFS($A$6:$A455,'Client Report'!$C$4),""))</f>
        <v/>
      </c>
    </row>
    <row r="456">
      <c r="A456" s="11" t="n"/>
      <c r="B456" s="11" t="n"/>
      <c r="C456" s="11" t="n"/>
      <c r="D456" s="11" t="n"/>
      <c r="E456" s="12" t="n"/>
      <c r="F456" s="34" t="n"/>
      <c r="G456" s="34" t="n"/>
      <c r="H456" s="34" t="n"/>
      <c r="I456" s="34" t="n"/>
      <c r="J456" s="34" t="n"/>
      <c r="K456" s="34" t="n"/>
      <c r="L456" s="34" t="n"/>
      <c r="M456" s="36" t="n"/>
      <c r="N456" s="36" t="n"/>
      <c r="O456" s="41" t="n"/>
      <c r="P456" s="27">
        <f>IF($B456="","",IFERROR(TRIM(LEFT($B456,FIND(" - ",$B456)-1)),"Others"))</f>
        <v/>
      </c>
      <c r="Q456" s="39">
        <f>IF($A456="","",SUM($F456:$H456))</f>
        <v/>
      </c>
      <c r="R456" s="39">
        <f>IF($A456="","",SUM($I456:$K456))</f>
        <v/>
      </c>
      <c r="S456" s="39">
        <f>IF($A456="","",($L456+$R456)-$Q456)</f>
        <v/>
      </c>
      <c r="T456" s="31">
        <f>IF(OR($A456="",$Q456=0),"",$S456/$Q456)</f>
        <v/>
      </c>
      <c r="U456" s="27">
        <f>IF($A456="","",IF($L456&gt;0,"Live","Exited"))</f>
        <v/>
      </c>
      <c r="V456" s="40">
        <f>IF($A456="","",IF($A456='Client Report'!$C$4,COUNTIFS($A$6:$A456,'Client Report'!$C$4),""))</f>
        <v/>
      </c>
    </row>
    <row r="457">
      <c r="A457" s="11" t="n"/>
      <c r="B457" s="11" t="n"/>
      <c r="C457" s="11" t="n"/>
      <c r="D457" s="11" t="n"/>
      <c r="E457" s="12" t="n"/>
      <c r="F457" s="34" t="n"/>
      <c r="G457" s="34" t="n"/>
      <c r="H457" s="34" t="n"/>
      <c r="I457" s="34" t="n"/>
      <c r="J457" s="34" t="n"/>
      <c r="K457" s="34" t="n"/>
      <c r="L457" s="34" t="n"/>
      <c r="M457" s="36" t="n"/>
      <c r="N457" s="36" t="n"/>
      <c r="O457" s="41" t="n"/>
      <c r="P457" s="27">
        <f>IF($B457="","",IFERROR(TRIM(LEFT($B457,FIND(" - ",$B457)-1)),"Others"))</f>
        <v/>
      </c>
      <c r="Q457" s="39">
        <f>IF($A457="","",SUM($F457:$H457))</f>
        <v/>
      </c>
      <c r="R457" s="39">
        <f>IF($A457="","",SUM($I457:$K457))</f>
        <v/>
      </c>
      <c r="S457" s="39">
        <f>IF($A457="","",($L457+$R457)-$Q457)</f>
        <v/>
      </c>
      <c r="T457" s="31">
        <f>IF(OR($A457="",$Q457=0),"",$S457/$Q457)</f>
        <v/>
      </c>
      <c r="U457" s="27">
        <f>IF($A457="","",IF($L457&gt;0,"Live","Exited"))</f>
        <v/>
      </c>
      <c r="V457" s="40">
        <f>IF($A457="","",IF($A457='Client Report'!$C$4,COUNTIFS($A$6:$A457,'Client Report'!$C$4),""))</f>
        <v/>
      </c>
    </row>
    <row r="458">
      <c r="A458" s="11" t="n"/>
      <c r="B458" s="11" t="n"/>
      <c r="C458" s="11" t="n"/>
      <c r="D458" s="11" t="n"/>
      <c r="E458" s="12" t="n"/>
      <c r="F458" s="34" t="n"/>
      <c r="G458" s="34" t="n"/>
      <c r="H458" s="34" t="n"/>
      <c r="I458" s="34" t="n"/>
      <c r="J458" s="34" t="n"/>
      <c r="K458" s="34" t="n"/>
      <c r="L458" s="34" t="n"/>
      <c r="M458" s="36" t="n"/>
      <c r="N458" s="36" t="n"/>
      <c r="O458" s="41" t="n"/>
      <c r="P458" s="27">
        <f>IF($B458="","",IFERROR(TRIM(LEFT($B458,FIND(" - ",$B458)-1)),"Others"))</f>
        <v/>
      </c>
      <c r="Q458" s="39">
        <f>IF($A458="","",SUM($F458:$H458))</f>
        <v/>
      </c>
      <c r="R458" s="39">
        <f>IF($A458="","",SUM($I458:$K458))</f>
        <v/>
      </c>
      <c r="S458" s="39">
        <f>IF($A458="","",($L458+$R458)-$Q458)</f>
        <v/>
      </c>
      <c r="T458" s="31">
        <f>IF(OR($A458="",$Q458=0),"",$S458/$Q458)</f>
        <v/>
      </c>
      <c r="U458" s="27">
        <f>IF($A458="","",IF($L458&gt;0,"Live","Exited"))</f>
        <v/>
      </c>
      <c r="V458" s="40">
        <f>IF($A458="","",IF($A458='Client Report'!$C$4,COUNTIFS($A$6:$A458,'Client Report'!$C$4),""))</f>
        <v/>
      </c>
    </row>
    <row r="459">
      <c r="A459" s="11" t="n"/>
      <c r="B459" s="11" t="n"/>
      <c r="C459" s="11" t="n"/>
      <c r="D459" s="11" t="n"/>
      <c r="E459" s="12" t="n"/>
      <c r="F459" s="34" t="n"/>
      <c r="G459" s="34" t="n"/>
      <c r="H459" s="34" t="n"/>
      <c r="I459" s="34" t="n"/>
      <c r="J459" s="34" t="n"/>
      <c r="K459" s="34" t="n"/>
      <c r="L459" s="34" t="n"/>
      <c r="M459" s="36" t="n"/>
      <c r="N459" s="36" t="n"/>
      <c r="O459" s="41" t="n"/>
      <c r="P459" s="27">
        <f>IF($B459="","",IFERROR(TRIM(LEFT($B459,FIND(" - ",$B459)-1)),"Others"))</f>
        <v/>
      </c>
      <c r="Q459" s="39">
        <f>IF($A459="","",SUM($F459:$H459))</f>
        <v/>
      </c>
      <c r="R459" s="39">
        <f>IF($A459="","",SUM($I459:$K459))</f>
        <v/>
      </c>
      <c r="S459" s="39">
        <f>IF($A459="","",($L459+$R459)-$Q459)</f>
        <v/>
      </c>
      <c r="T459" s="31">
        <f>IF(OR($A459="",$Q459=0),"",$S459/$Q459)</f>
        <v/>
      </c>
      <c r="U459" s="27">
        <f>IF($A459="","",IF($L459&gt;0,"Live","Exited"))</f>
        <v/>
      </c>
      <c r="V459" s="40">
        <f>IF($A459="","",IF($A459='Client Report'!$C$4,COUNTIFS($A$6:$A459,'Client Report'!$C$4),""))</f>
        <v/>
      </c>
    </row>
    <row r="460">
      <c r="A460" s="11" t="n"/>
      <c r="B460" s="11" t="n"/>
      <c r="C460" s="11" t="n"/>
      <c r="D460" s="11" t="n"/>
      <c r="E460" s="12" t="n"/>
      <c r="F460" s="34" t="n"/>
      <c r="G460" s="34" t="n"/>
      <c r="H460" s="34" t="n"/>
      <c r="I460" s="34" t="n"/>
      <c r="J460" s="34" t="n"/>
      <c r="K460" s="34" t="n"/>
      <c r="L460" s="34" t="n"/>
      <c r="M460" s="36" t="n"/>
      <c r="N460" s="36" t="n"/>
      <c r="O460" s="41" t="n"/>
      <c r="P460" s="27">
        <f>IF($B460="","",IFERROR(TRIM(LEFT($B460,FIND(" - ",$B460)-1)),"Others"))</f>
        <v/>
      </c>
      <c r="Q460" s="39">
        <f>IF($A460="","",SUM($F460:$H460))</f>
        <v/>
      </c>
      <c r="R460" s="39">
        <f>IF($A460="","",SUM($I460:$K460))</f>
        <v/>
      </c>
      <c r="S460" s="39">
        <f>IF($A460="","",($L460+$R460)-$Q460)</f>
        <v/>
      </c>
      <c r="T460" s="31">
        <f>IF(OR($A460="",$Q460=0),"",$S460/$Q460)</f>
        <v/>
      </c>
      <c r="U460" s="27">
        <f>IF($A460="","",IF($L460&gt;0,"Live","Exited"))</f>
        <v/>
      </c>
      <c r="V460" s="40">
        <f>IF($A460="","",IF($A460='Client Report'!$C$4,COUNTIFS($A$6:$A460,'Client Report'!$C$4),""))</f>
        <v/>
      </c>
    </row>
    <row r="461">
      <c r="A461" s="11" t="n"/>
      <c r="B461" s="11" t="n"/>
      <c r="C461" s="11" t="n"/>
      <c r="D461" s="11" t="n"/>
      <c r="E461" s="12" t="n"/>
      <c r="F461" s="34" t="n"/>
      <c r="G461" s="34" t="n"/>
      <c r="H461" s="34" t="n"/>
      <c r="I461" s="34" t="n"/>
      <c r="J461" s="34" t="n"/>
      <c r="K461" s="34" t="n"/>
      <c r="L461" s="34" t="n"/>
      <c r="M461" s="36" t="n"/>
      <c r="N461" s="36" t="n"/>
      <c r="O461" s="41" t="n"/>
      <c r="P461" s="27">
        <f>IF($B461="","",IFERROR(TRIM(LEFT($B461,FIND(" - ",$B461)-1)),"Others"))</f>
        <v/>
      </c>
      <c r="Q461" s="39">
        <f>IF($A461="","",SUM($F461:$H461))</f>
        <v/>
      </c>
      <c r="R461" s="39">
        <f>IF($A461="","",SUM($I461:$K461))</f>
        <v/>
      </c>
      <c r="S461" s="39">
        <f>IF($A461="","",($L461+$R461)-$Q461)</f>
        <v/>
      </c>
      <c r="T461" s="31">
        <f>IF(OR($A461="",$Q461=0),"",$S461/$Q461)</f>
        <v/>
      </c>
      <c r="U461" s="27">
        <f>IF($A461="","",IF($L461&gt;0,"Live","Exited"))</f>
        <v/>
      </c>
      <c r="V461" s="40">
        <f>IF($A461="","",IF($A461='Client Report'!$C$4,COUNTIFS($A$6:$A461,'Client Report'!$C$4),""))</f>
        <v/>
      </c>
    </row>
    <row r="462">
      <c r="A462" s="11" t="n"/>
      <c r="B462" s="11" t="n"/>
      <c r="C462" s="11" t="n"/>
      <c r="D462" s="11" t="n"/>
      <c r="E462" s="12" t="n"/>
      <c r="F462" s="34" t="n"/>
      <c r="G462" s="34" t="n"/>
      <c r="H462" s="34" t="n"/>
      <c r="I462" s="34" t="n"/>
      <c r="J462" s="34" t="n"/>
      <c r="K462" s="34" t="n"/>
      <c r="L462" s="34" t="n"/>
      <c r="M462" s="36" t="n"/>
      <c r="N462" s="36" t="n"/>
      <c r="O462" s="41" t="n"/>
      <c r="P462" s="27">
        <f>IF($B462="","",IFERROR(TRIM(LEFT($B462,FIND(" - ",$B462)-1)),"Others"))</f>
        <v/>
      </c>
      <c r="Q462" s="39">
        <f>IF($A462="","",SUM($F462:$H462))</f>
        <v/>
      </c>
      <c r="R462" s="39">
        <f>IF($A462="","",SUM($I462:$K462))</f>
        <v/>
      </c>
      <c r="S462" s="39">
        <f>IF($A462="","",($L462+$R462)-$Q462)</f>
        <v/>
      </c>
      <c r="T462" s="31">
        <f>IF(OR($A462="",$Q462=0),"",$S462/$Q462)</f>
        <v/>
      </c>
      <c r="U462" s="27">
        <f>IF($A462="","",IF($L462&gt;0,"Live","Exited"))</f>
        <v/>
      </c>
      <c r="V462" s="40">
        <f>IF($A462="","",IF($A462='Client Report'!$C$4,COUNTIFS($A$6:$A462,'Client Report'!$C$4),""))</f>
        <v/>
      </c>
    </row>
    <row r="463">
      <c r="A463" s="11" t="n"/>
      <c r="B463" s="11" t="n"/>
      <c r="C463" s="11" t="n"/>
      <c r="D463" s="11" t="n"/>
      <c r="E463" s="12" t="n"/>
      <c r="F463" s="34" t="n"/>
      <c r="G463" s="34" t="n"/>
      <c r="H463" s="34" t="n"/>
      <c r="I463" s="34" t="n"/>
      <c r="J463" s="34" t="n"/>
      <c r="K463" s="34" t="n"/>
      <c r="L463" s="34" t="n"/>
      <c r="M463" s="36" t="n"/>
      <c r="N463" s="36" t="n"/>
      <c r="O463" s="41" t="n"/>
      <c r="P463" s="27">
        <f>IF($B463="","",IFERROR(TRIM(LEFT($B463,FIND(" - ",$B463)-1)),"Others"))</f>
        <v/>
      </c>
      <c r="Q463" s="39">
        <f>IF($A463="","",SUM($F463:$H463))</f>
        <v/>
      </c>
      <c r="R463" s="39">
        <f>IF($A463="","",SUM($I463:$K463))</f>
        <v/>
      </c>
      <c r="S463" s="39">
        <f>IF($A463="","",($L463+$R463)-$Q463)</f>
        <v/>
      </c>
      <c r="T463" s="31">
        <f>IF(OR($A463="",$Q463=0),"",$S463/$Q463)</f>
        <v/>
      </c>
      <c r="U463" s="27">
        <f>IF($A463="","",IF($L463&gt;0,"Live","Exited"))</f>
        <v/>
      </c>
      <c r="V463" s="40">
        <f>IF($A463="","",IF($A463='Client Report'!$C$4,COUNTIFS($A$6:$A463,'Client Report'!$C$4),""))</f>
        <v/>
      </c>
    </row>
    <row r="464">
      <c r="A464" s="11" t="n"/>
      <c r="B464" s="11" t="n"/>
      <c r="C464" s="11" t="n"/>
      <c r="D464" s="11" t="n"/>
      <c r="E464" s="12" t="n"/>
      <c r="F464" s="34" t="n"/>
      <c r="G464" s="34" t="n"/>
      <c r="H464" s="34" t="n"/>
      <c r="I464" s="34" t="n"/>
      <c r="J464" s="34" t="n"/>
      <c r="K464" s="34" t="n"/>
      <c r="L464" s="34" t="n"/>
      <c r="M464" s="36" t="n"/>
      <c r="N464" s="36" t="n"/>
      <c r="O464" s="41" t="n"/>
      <c r="P464" s="27">
        <f>IF($B464="","",IFERROR(TRIM(LEFT($B464,FIND(" - ",$B464)-1)),"Others"))</f>
        <v/>
      </c>
      <c r="Q464" s="39">
        <f>IF($A464="","",SUM($F464:$H464))</f>
        <v/>
      </c>
      <c r="R464" s="39">
        <f>IF($A464="","",SUM($I464:$K464))</f>
        <v/>
      </c>
      <c r="S464" s="39">
        <f>IF($A464="","",($L464+$R464)-$Q464)</f>
        <v/>
      </c>
      <c r="T464" s="31">
        <f>IF(OR($A464="",$Q464=0),"",$S464/$Q464)</f>
        <v/>
      </c>
      <c r="U464" s="27">
        <f>IF($A464="","",IF($L464&gt;0,"Live","Exited"))</f>
        <v/>
      </c>
      <c r="V464" s="40">
        <f>IF($A464="","",IF($A464='Client Report'!$C$4,COUNTIFS($A$6:$A464,'Client Report'!$C$4),""))</f>
        <v/>
      </c>
    </row>
    <row r="465">
      <c r="A465" s="11" t="n"/>
      <c r="B465" s="11" t="n"/>
      <c r="C465" s="11" t="n"/>
      <c r="D465" s="11" t="n"/>
      <c r="E465" s="12" t="n"/>
      <c r="F465" s="34" t="n"/>
      <c r="G465" s="34" t="n"/>
      <c r="H465" s="34" t="n"/>
      <c r="I465" s="34" t="n"/>
      <c r="J465" s="34" t="n"/>
      <c r="K465" s="34" t="n"/>
      <c r="L465" s="34" t="n"/>
      <c r="M465" s="36" t="n"/>
      <c r="N465" s="36" t="n"/>
      <c r="O465" s="41" t="n"/>
      <c r="P465" s="27">
        <f>IF($B465="","",IFERROR(TRIM(LEFT($B465,FIND(" - ",$B465)-1)),"Others"))</f>
        <v/>
      </c>
      <c r="Q465" s="39">
        <f>IF($A465="","",SUM($F465:$H465))</f>
        <v/>
      </c>
      <c r="R465" s="39">
        <f>IF($A465="","",SUM($I465:$K465))</f>
        <v/>
      </c>
      <c r="S465" s="39">
        <f>IF($A465="","",($L465+$R465)-$Q465)</f>
        <v/>
      </c>
      <c r="T465" s="31">
        <f>IF(OR($A465="",$Q465=0),"",$S465/$Q465)</f>
        <v/>
      </c>
      <c r="U465" s="27">
        <f>IF($A465="","",IF($L465&gt;0,"Live","Exited"))</f>
        <v/>
      </c>
      <c r="V465" s="40">
        <f>IF($A465="","",IF($A465='Client Report'!$C$4,COUNTIFS($A$6:$A465,'Client Report'!$C$4),""))</f>
        <v/>
      </c>
    </row>
    <row r="466">
      <c r="A466" s="11" t="n"/>
      <c r="B466" s="11" t="n"/>
      <c r="C466" s="11" t="n"/>
      <c r="D466" s="11" t="n"/>
      <c r="E466" s="12" t="n"/>
      <c r="F466" s="34" t="n"/>
      <c r="G466" s="34" t="n"/>
      <c r="H466" s="34" t="n"/>
      <c r="I466" s="34" t="n"/>
      <c r="J466" s="34" t="n"/>
      <c r="K466" s="34" t="n"/>
      <c r="L466" s="34" t="n"/>
      <c r="M466" s="36" t="n"/>
      <c r="N466" s="36" t="n"/>
      <c r="O466" s="41" t="n"/>
      <c r="P466" s="27">
        <f>IF($B466="","",IFERROR(TRIM(LEFT($B466,FIND(" - ",$B466)-1)),"Others"))</f>
        <v/>
      </c>
      <c r="Q466" s="39">
        <f>IF($A466="","",SUM($F466:$H466))</f>
        <v/>
      </c>
      <c r="R466" s="39">
        <f>IF($A466="","",SUM($I466:$K466))</f>
        <v/>
      </c>
      <c r="S466" s="39">
        <f>IF($A466="","",($L466+$R466)-$Q466)</f>
        <v/>
      </c>
      <c r="T466" s="31">
        <f>IF(OR($A466="",$Q466=0),"",$S466/$Q466)</f>
        <v/>
      </c>
      <c r="U466" s="27">
        <f>IF($A466="","",IF($L466&gt;0,"Live","Exited"))</f>
        <v/>
      </c>
      <c r="V466" s="40">
        <f>IF($A466="","",IF($A466='Client Report'!$C$4,COUNTIFS($A$6:$A466,'Client Report'!$C$4),""))</f>
        <v/>
      </c>
    </row>
    <row r="467">
      <c r="A467" s="11" t="n"/>
      <c r="B467" s="11" t="n"/>
      <c r="C467" s="11" t="n"/>
      <c r="D467" s="11" t="n"/>
      <c r="E467" s="12" t="n"/>
      <c r="F467" s="34" t="n"/>
      <c r="G467" s="34" t="n"/>
      <c r="H467" s="34" t="n"/>
      <c r="I467" s="34" t="n"/>
      <c r="J467" s="34" t="n"/>
      <c r="K467" s="34" t="n"/>
      <c r="L467" s="34" t="n"/>
      <c r="M467" s="36" t="n"/>
      <c r="N467" s="36" t="n"/>
      <c r="O467" s="41" t="n"/>
      <c r="P467" s="27">
        <f>IF($B467="","",IFERROR(TRIM(LEFT($B467,FIND(" - ",$B467)-1)),"Others"))</f>
        <v/>
      </c>
      <c r="Q467" s="39">
        <f>IF($A467="","",SUM($F467:$H467))</f>
        <v/>
      </c>
      <c r="R467" s="39">
        <f>IF($A467="","",SUM($I467:$K467))</f>
        <v/>
      </c>
      <c r="S467" s="39">
        <f>IF($A467="","",($L467+$R467)-$Q467)</f>
        <v/>
      </c>
      <c r="T467" s="31">
        <f>IF(OR($A467="",$Q467=0),"",$S467/$Q467)</f>
        <v/>
      </c>
      <c r="U467" s="27">
        <f>IF($A467="","",IF($L467&gt;0,"Live","Exited"))</f>
        <v/>
      </c>
      <c r="V467" s="40">
        <f>IF($A467="","",IF($A467='Client Report'!$C$4,COUNTIFS($A$6:$A467,'Client Report'!$C$4),""))</f>
        <v/>
      </c>
    </row>
    <row r="468">
      <c r="A468" s="11" t="n"/>
      <c r="B468" s="11" t="n"/>
      <c r="C468" s="11" t="n"/>
      <c r="D468" s="11" t="n"/>
      <c r="E468" s="12" t="n"/>
      <c r="F468" s="34" t="n"/>
      <c r="G468" s="34" t="n"/>
      <c r="H468" s="34" t="n"/>
      <c r="I468" s="34" t="n"/>
      <c r="J468" s="34" t="n"/>
      <c r="K468" s="34" t="n"/>
      <c r="L468" s="34" t="n"/>
      <c r="M468" s="36" t="n"/>
      <c r="N468" s="36" t="n"/>
      <c r="O468" s="41" t="n"/>
      <c r="P468" s="27">
        <f>IF($B468="","",IFERROR(TRIM(LEFT($B468,FIND(" - ",$B468)-1)),"Others"))</f>
        <v/>
      </c>
      <c r="Q468" s="39">
        <f>IF($A468="","",SUM($F468:$H468))</f>
        <v/>
      </c>
      <c r="R468" s="39">
        <f>IF($A468="","",SUM($I468:$K468))</f>
        <v/>
      </c>
      <c r="S468" s="39">
        <f>IF($A468="","",($L468+$R468)-$Q468)</f>
        <v/>
      </c>
      <c r="T468" s="31">
        <f>IF(OR($A468="",$Q468=0),"",$S468/$Q468)</f>
        <v/>
      </c>
      <c r="U468" s="27">
        <f>IF($A468="","",IF($L468&gt;0,"Live","Exited"))</f>
        <v/>
      </c>
      <c r="V468" s="40">
        <f>IF($A468="","",IF($A468='Client Report'!$C$4,COUNTIFS($A$6:$A468,'Client Report'!$C$4),""))</f>
        <v/>
      </c>
    </row>
    <row r="469">
      <c r="A469" s="11" t="n"/>
      <c r="B469" s="11" t="n"/>
      <c r="C469" s="11" t="n"/>
      <c r="D469" s="11" t="n"/>
      <c r="E469" s="12" t="n"/>
      <c r="F469" s="34" t="n"/>
      <c r="G469" s="34" t="n"/>
      <c r="H469" s="34" t="n"/>
      <c r="I469" s="34" t="n"/>
      <c r="J469" s="34" t="n"/>
      <c r="K469" s="34" t="n"/>
      <c r="L469" s="34" t="n"/>
      <c r="M469" s="36" t="n"/>
      <c r="N469" s="36" t="n"/>
      <c r="O469" s="41" t="n"/>
      <c r="P469" s="27">
        <f>IF($B469="","",IFERROR(TRIM(LEFT($B469,FIND(" - ",$B469)-1)),"Others"))</f>
        <v/>
      </c>
      <c r="Q469" s="39">
        <f>IF($A469="","",SUM($F469:$H469))</f>
        <v/>
      </c>
      <c r="R469" s="39">
        <f>IF($A469="","",SUM($I469:$K469))</f>
        <v/>
      </c>
      <c r="S469" s="39">
        <f>IF($A469="","",($L469+$R469)-$Q469)</f>
        <v/>
      </c>
      <c r="T469" s="31">
        <f>IF(OR($A469="",$Q469=0),"",$S469/$Q469)</f>
        <v/>
      </c>
      <c r="U469" s="27">
        <f>IF($A469="","",IF($L469&gt;0,"Live","Exited"))</f>
        <v/>
      </c>
      <c r="V469" s="40">
        <f>IF($A469="","",IF($A469='Client Report'!$C$4,COUNTIFS($A$6:$A469,'Client Report'!$C$4),""))</f>
        <v/>
      </c>
    </row>
    <row r="470">
      <c r="A470" s="11" t="n"/>
      <c r="B470" s="11" t="n"/>
      <c r="C470" s="11" t="n"/>
      <c r="D470" s="11" t="n"/>
      <c r="E470" s="12" t="n"/>
      <c r="F470" s="34" t="n"/>
      <c r="G470" s="34" t="n"/>
      <c r="H470" s="34" t="n"/>
      <c r="I470" s="34" t="n"/>
      <c r="J470" s="34" t="n"/>
      <c r="K470" s="34" t="n"/>
      <c r="L470" s="34" t="n"/>
      <c r="M470" s="36" t="n"/>
      <c r="N470" s="36" t="n"/>
      <c r="O470" s="41" t="n"/>
      <c r="P470" s="27">
        <f>IF($B470="","",IFERROR(TRIM(LEFT($B470,FIND(" - ",$B470)-1)),"Others"))</f>
        <v/>
      </c>
      <c r="Q470" s="39">
        <f>IF($A470="","",SUM($F470:$H470))</f>
        <v/>
      </c>
      <c r="R470" s="39">
        <f>IF($A470="","",SUM($I470:$K470))</f>
        <v/>
      </c>
      <c r="S470" s="39">
        <f>IF($A470="","",($L470+$R470)-$Q470)</f>
        <v/>
      </c>
      <c r="T470" s="31">
        <f>IF(OR($A470="",$Q470=0),"",$S470/$Q470)</f>
        <v/>
      </c>
      <c r="U470" s="27">
        <f>IF($A470="","",IF($L470&gt;0,"Live","Exited"))</f>
        <v/>
      </c>
      <c r="V470" s="40">
        <f>IF($A470="","",IF($A470='Client Report'!$C$4,COUNTIFS($A$6:$A470,'Client Report'!$C$4),""))</f>
        <v/>
      </c>
    </row>
    <row r="471">
      <c r="A471" s="11" t="n"/>
      <c r="B471" s="11" t="n"/>
      <c r="C471" s="11" t="n"/>
      <c r="D471" s="11" t="n"/>
      <c r="E471" s="12" t="n"/>
      <c r="F471" s="34" t="n"/>
      <c r="G471" s="34" t="n"/>
      <c r="H471" s="34" t="n"/>
      <c r="I471" s="34" t="n"/>
      <c r="J471" s="34" t="n"/>
      <c r="K471" s="34" t="n"/>
      <c r="L471" s="34" t="n"/>
      <c r="M471" s="36" t="n"/>
      <c r="N471" s="36" t="n"/>
      <c r="O471" s="41" t="n"/>
      <c r="P471" s="27">
        <f>IF($B471="","",IFERROR(TRIM(LEFT($B471,FIND(" - ",$B471)-1)),"Others"))</f>
        <v/>
      </c>
      <c r="Q471" s="39">
        <f>IF($A471="","",SUM($F471:$H471))</f>
        <v/>
      </c>
      <c r="R471" s="39">
        <f>IF($A471="","",SUM($I471:$K471))</f>
        <v/>
      </c>
      <c r="S471" s="39">
        <f>IF($A471="","",($L471+$R471)-$Q471)</f>
        <v/>
      </c>
      <c r="T471" s="31">
        <f>IF(OR($A471="",$Q471=0),"",$S471/$Q471)</f>
        <v/>
      </c>
      <c r="U471" s="27">
        <f>IF($A471="","",IF($L471&gt;0,"Live","Exited"))</f>
        <v/>
      </c>
      <c r="V471" s="40">
        <f>IF($A471="","",IF($A471='Client Report'!$C$4,COUNTIFS($A$6:$A471,'Client Report'!$C$4),""))</f>
        <v/>
      </c>
    </row>
    <row r="472">
      <c r="A472" s="11" t="n"/>
      <c r="B472" s="11" t="n"/>
      <c r="C472" s="11" t="n"/>
      <c r="D472" s="11" t="n"/>
      <c r="E472" s="12" t="n"/>
      <c r="F472" s="34" t="n"/>
      <c r="G472" s="34" t="n"/>
      <c r="H472" s="34" t="n"/>
      <c r="I472" s="34" t="n"/>
      <c r="J472" s="34" t="n"/>
      <c r="K472" s="34" t="n"/>
      <c r="L472" s="34" t="n"/>
      <c r="M472" s="36" t="n"/>
      <c r="N472" s="36" t="n"/>
      <c r="O472" s="41" t="n"/>
      <c r="P472" s="27">
        <f>IF($B472="","",IFERROR(TRIM(LEFT($B472,FIND(" - ",$B472)-1)),"Others"))</f>
        <v/>
      </c>
      <c r="Q472" s="39">
        <f>IF($A472="","",SUM($F472:$H472))</f>
        <v/>
      </c>
      <c r="R472" s="39">
        <f>IF($A472="","",SUM($I472:$K472))</f>
        <v/>
      </c>
      <c r="S472" s="39">
        <f>IF($A472="","",($L472+$R472)-$Q472)</f>
        <v/>
      </c>
      <c r="T472" s="31">
        <f>IF(OR($A472="",$Q472=0),"",$S472/$Q472)</f>
        <v/>
      </c>
      <c r="U472" s="27">
        <f>IF($A472="","",IF($L472&gt;0,"Live","Exited"))</f>
        <v/>
      </c>
      <c r="V472" s="40">
        <f>IF($A472="","",IF($A472='Client Report'!$C$4,COUNTIFS($A$6:$A472,'Client Report'!$C$4),""))</f>
        <v/>
      </c>
    </row>
    <row r="473">
      <c r="A473" s="11" t="n"/>
      <c r="B473" s="11" t="n"/>
      <c r="C473" s="11" t="n"/>
      <c r="D473" s="11" t="n"/>
      <c r="E473" s="12" t="n"/>
      <c r="F473" s="34" t="n"/>
      <c r="G473" s="34" t="n"/>
      <c r="H473" s="34" t="n"/>
      <c r="I473" s="34" t="n"/>
      <c r="J473" s="34" t="n"/>
      <c r="K473" s="34" t="n"/>
      <c r="L473" s="34" t="n"/>
      <c r="M473" s="36" t="n"/>
      <c r="N473" s="36" t="n"/>
      <c r="O473" s="41" t="n"/>
      <c r="P473" s="27">
        <f>IF($B473="","",IFERROR(TRIM(LEFT($B473,FIND(" - ",$B473)-1)),"Others"))</f>
        <v/>
      </c>
      <c r="Q473" s="39">
        <f>IF($A473="","",SUM($F473:$H473))</f>
        <v/>
      </c>
      <c r="R473" s="39">
        <f>IF($A473="","",SUM($I473:$K473))</f>
        <v/>
      </c>
      <c r="S473" s="39">
        <f>IF($A473="","",($L473+$R473)-$Q473)</f>
        <v/>
      </c>
      <c r="T473" s="31">
        <f>IF(OR($A473="",$Q473=0),"",$S473/$Q473)</f>
        <v/>
      </c>
      <c r="U473" s="27">
        <f>IF($A473="","",IF($L473&gt;0,"Live","Exited"))</f>
        <v/>
      </c>
      <c r="V473" s="40">
        <f>IF($A473="","",IF($A473='Client Report'!$C$4,COUNTIFS($A$6:$A473,'Client Report'!$C$4),""))</f>
        <v/>
      </c>
    </row>
    <row r="474">
      <c r="A474" s="11" t="n"/>
      <c r="B474" s="11" t="n"/>
      <c r="C474" s="11" t="n"/>
      <c r="D474" s="11" t="n"/>
      <c r="E474" s="12" t="n"/>
      <c r="F474" s="34" t="n"/>
      <c r="G474" s="34" t="n"/>
      <c r="H474" s="34" t="n"/>
      <c r="I474" s="34" t="n"/>
      <c r="J474" s="34" t="n"/>
      <c r="K474" s="34" t="n"/>
      <c r="L474" s="34" t="n"/>
      <c r="M474" s="36" t="n"/>
      <c r="N474" s="36" t="n"/>
      <c r="O474" s="41" t="n"/>
      <c r="P474" s="27">
        <f>IF($B474="","",IFERROR(TRIM(LEFT($B474,FIND(" - ",$B474)-1)),"Others"))</f>
        <v/>
      </c>
      <c r="Q474" s="39">
        <f>IF($A474="","",SUM($F474:$H474))</f>
        <v/>
      </c>
      <c r="R474" s="39">
        <f>IF($A474="","",SUM($I474:$K474))</f>
        <v/>
      </c>
      <c r="S474" s="39">
        <f>IF($A474="","",($L474+$R474)-$Q474)</f>
        <v/>
      </c>
      <c r="T474" s="31">
        <f>IF(OR($A474="",$Q474=0),"",$S474/$Q474)</f>
        <v/>
      </c>
      <c r="U474" s="27">
        <f>IF($A474="","",IF($L474&gt;0,"Live","Exited"))</f>
        <v/>
      </c>
      <c r="V474" s="40">
        <f>IF($A474="","",IF($A474='Client Report'!$C$4,COUNTIFS($A$6:$A474,'Client Report'!$C$4),""))</f>
        <v/>
      </c>
    </row>
    <row r="475">
      <c r="A475" s="11" t="n"/>
      <c r="B475" s="11" t="n"/>
      <c r="C475" s="11" t="n"/>
      <c r="D475" s="11" t="n"/>
      <c r="E475" s="12" t="n"/>
      <c r="F475" s="34" t="n"/>
      <c r="G475" s="34" t="n"/>
      <c r="H475" s="34" t="n"/>
      <c r="I475" s="34" t="n"/>
      <c r="J475" s="34" t="n"/>
      <c r="K475" s="34" t="n"/>
      <c r="L475" s="34" t="n"/>
      <c r="M475" s="36" t="n"/>
      <c r="N475" s="36" t="n"/>
      <c r="O475" s="41" t="n"/>
      <c r="P475" s="27">
        <f>IF($B475="","",IFERROR(TRIM(LEFT($B475,FIND(" - ",$B475)-1)),"Others"))</f>
        <v/>
      </c>
      <c r="Q475" s="39">
        <f>IF($A475="","",SUM($F475:$H475))</f>
        <v/>
      </c>
      <c r="R475" s="39">
        <f>IF($A475="","",SUM($I475:$K475))</f>
        <v/>
      </c>
      <c r="S475" s="39">
        <f>IF($A475="","",($L475+$R475)-$Q475)</f>
        <v/>
      </c>
      <c r="T475" s="31">
        <f>IF(OR($A475="",$Q475=0),"",$S475/$Q475)</f>
        <v/>
      </c>
      <c r="U475" s="27">
        <f>IF($A475="","",IF($L475&gt;0,"Live","Exited"))</f>
        <v/>
      </c>
      <c r="V475" s="40">
        <f>IF($A475="","",IF($A475='Client Report'!$C$4,COUNTIFS($A$6:$A475,'Client Report'!$C$4),""))</f>
        <v/>
      </c>
    </row>
    <row r="476">
      <c r="A476" s="11" t="n"/>
      <c r="B476" s="11" t="n"/>
      <c r="C476" s="11" t="n"/>
      <c r="D476" s="11" t="n"/>
      <c r="E476" s="12" t="n"/>
      <c r="F476" s="34" t="n"/>
      <c r="G476" s="34" t="n"/>
      <c r="H476" s="34" t="n"/>
      <c r="I476" s="34" t="n"/>
      <c r="J476" s="34" t="n"/>
      <c r="K476" s="34" t="n"/>
      <c r="L476" s="34" t="n"/>
      <c r="M476" s="36" t="n"/>
      <c r="N476" s="36" t="n"/>
      <c r="O476" s="41" t="n"/>
      <c r="P476" s="27">
        <f>IF($B476="","",IFERROR(TRIM(LEFT($B476,FIND(" - ",$B476)-1)),"Others"))</f>
        <v/>
      </c>
      <c r="Q476" s="39">
        <f>IF($A476="","",SUM($F476:$H476))</f>
        <v/>
      </c>
      <c r="R476" s="39">
        <f>IF($A476="","",SUM($I476:$K476))</f>
        <v/>
      </c>
      <c r="S476" s="39">
        <f>IF($A476="","",($L476+$R476)-$Q476)</f>
        <v/>
      </c>
      <c r="T476" s="31">
        <f>IF(OR($A476="",$Q476=0),"",$S476/$Q476)</f>
        <v/>
      </c>
      <c r="U476" s="27">
        <f>IF($A476="","",IF($L476&gt;0,"Live","Exited"))</f>
        <v/>
      </c>
      <c r="V476" s="40">
        <f>IF($A476="","",IF($A476='Client Report'!$C$4,COUNTIFS($A$6:$A476,'Client Report'!$C$4),""))</f>
        <v/>
      </c>
    </row>
    <row r="477">
      <c r="A477" s="11" t="n"/>
      <c r="B477" s="11" t="n"/>
      <c r="C477" s="11" t="n"/>
      <c r="D477" s="11" t="n"/>
      <c r="E477" s="12" t="n"/>
      <c r="F477" s="34" t="n"/>
      <c r="G477" s="34" t="n"/>
      <c r="H477" s="34" t="n"/>
      <c r="I477" s="34" t="n"/>
      <c r="J477" s="34" t="n"/>
      <c r="K477" s="34" t="n"/>
      <c r="L477" s="34" t="n"/>
      <c r="M477" s="36" t="n"/>
      <c r="N477" s="36" t="n"/>
      <c r="O477" s="41" t="n"/>
      <c r="P477" s="27">
        <f>IF($B477="","",IFERROR(TRIM(LEFT($B477,FIND(" - ",$B477)-1)),"Others"))</f>
        <v/>
      </c>
      <c r="Q477" s="39">
        <f>IF($A477="","",SUM($F477:$H477))</f>
        <v/>
      </c>
      <c r="R477" s="39">
        <f>IF($A477="","",SUM($I477:$K477))</f>
        <v/>
      </c>
      <c r="S477" s="39">
        <f>IF($A477="","",($L477+$R477)-$Q477)</f>
        <v/>
      </c>
      <c r="T477" s="31">
        <f>IF(OR($A477="",$Q477=0),"",$S477/$Q477)</f>
        <v/>
      </c>
      <c r="U477" s="27">
        <f>IF($A477="","",IF($L477&gt;0,"Live","Exited"))</f>
        <v/>
      </c>
      <c r="V477" s="40">
        <f>IF($A477="","",IF($A477='Client Report'!$C$4,COUNTIFS($A$6:$A477,'Client Report'!$C$4),""))</f>
        <v/>
      </c>
    </row>
    <row r="478">
      <c r="A478" s="11" t="n"/>
      <c r="B478" s="11" t="n"/>
      <c r="C478" s="11" t="n"/>
      <c r="D478" s="11" t="n"/>
      <c r="E478" s="12" t="n"/>
      <c r="F478" s="34" t="n"/>
      <c r="G478" s="34" t="n"/>
      <c r="H478" s="34" t="n"/>
      <c r="I478" s="34" t="n"/>
      <c r="J478" s="34" t="n"/>
      <c r="K478" s="34" t="n"/>
      <c r="L478" s="34" t="n"/>
      <c r="M478" s="36" t="n"/>
      <c r="N478" s="36" t="n"/>
      <c r="O478" s="41" t="n"/>
      <c r="P478" s="27">
        <f>IF($B478="","",IFERROR(TRIM(LEFT($B478,FIND(" - ",$B478)-1)),"Others"))</f>
        <v/>
      </c>
      <c r="Q478" s="39">
        <f>IF($A478="","",SUM($F478:$H478))</f>
        <v/>
      </c>
      <c r="R478" s="39">
        <f>IF($A478="","",SUM($I478:$K478))</f>
        <v/>
      </c>
      <c r="S478" s="39">
        <f>IF($A478="","",($L478+$R478)-$Q478)</f>
        <v/>
      </c>
      <c r="T478" s="31">
        <f>IF(OR($A478="",$Q478=0),"",$S478/$Q478)</f>
        <v/>
      </c>
      <c r="U478" s="27">
        <f>IF($A478="","",IF($L478&gt;0,"Live","Exited"))</f>
        <v/>
      </c>
      <c r="V478" s="40">
        <f>IF($A478="","",IF($A478='Client Report'!$C$4,COUNTIFS($A$6:$A478,'Client Report'!$C$4),""))</f>
        <v/>
      </c>
    </row>
    <row r="479">
      <c r="A479" s="11" t="n"/>
      <c r="B479" s="11" t="n"/>
      <c r="C479" s="11" t="n"/>
      <c r="D479" s="11" t="n"/>
      <c r="E479" s="12" t="n"/>
      <c r="F479" s="34" t="n"/>
      <c r="G479" s="34" t="n"/>
      <c r="H479" s="34" t="n"/>
      <c r="I479" s="34" t="n"/>
      <c r="J479" s="34" t="n"/>
      <c r="K479" s="34" t="n"/>
      <c r="L479" s="34" t="n"/>
      <c r="M479" s="36" t="n"/>
      <c r="N479" s="36" t="n"/>
      <c r="O479" s="41" t="n"/>
      <c r="P479" s="27">
        <f>IF($B479="","",IFERROR(TRIM(LEFT($B479,FIND(" - ",$B479)-1)),"Others"))</f>
        <v/>
      </c>
      <c r="Q479" s="39">
        <f>IF($A479="","",SUM($F479:$H479))</f>
        <v/>
      </c>
      <c r="R479" s="39">
        <f>IF($A479="","",SUM($I479:$K479))</f>
        <v/>
      </c>
      <c r="S479" s="39">
        <f>IF($A479="","",($L479+$R479)-$Q479)</f>
        <v/>
      </c>
      <c r="T479" s="31">
        <f>IF(OR($A479="",$Q479=0),"",$S479/$Q479)</f>
        <v/>
      </c>
      <c r="U479" s="27">
        <f>IF($A479="","",IF($L479&gt;0,"Live","Exited"))</f>
        <v/>
      </c>
      <c r="V479" s="40">
        <f>IF($A479="","",IF($A479='Client Report'!$C$4,COUNTIFS($A$6:$A479,'Client Report'!$C$4),""))</f>
        <v/>
      </c>
    </row>
    <row r="480">
      <c r="A480" s="11" t="n"/>
      <c r="B480" s="11" t="n"/>
      <c r="C480" s="11" t="n"/>
      <c r="D480" s="11" t="n"/>
      <c r="E480" s="12" t="n"/>
      <c r="F480" s="34" t="n"/>
      <c r="G480" s="34" t="n"/>
      <c r="H480" s="34" t="n"/>
      <c r="I480" s="34" t="n"/>
      <c r="J480" s="34" t="n"/>
      <c r="K480" s="34" t="n"/>
      <c r="L480" s="34" t="n"/>
      <c r="M480" s="36" t="n"/>
      <c r="N480" s="36" t="n"/>
      <c r="O480" s="41" t="n"/>
      <c r="P480" s="27">
        <f>IF($B480="","",IFERROR(TRIM(LEFT($B480,FIND(" - ",$B480)-1)),"Others"))</f>
        <v/>
      </c>
      <c r="Q480" s="39">
        <f>IF($A480="","",SUM($F480:$H480))</f>
        <v/>
      </c>
      <c r="R480" s="39">
        <f>IF($A480="","",SUM($I480:$K480))</f>
        <v/>
      </c>
      <c r="S480" s="39">
        <f>IF($A480="","",($L480+$R480)-$Q480)</f>
        <v/>
      </c>
      <c r="T480" s="31">
        <f>IF(OR($A480="",$Q480=0),"",$S480/$Q480)</f>
        <v/>
      </c>
      <c r="U480" s="27">
        <f>IF($A480="","",IF($L480&gt;0,"Live","Exited"))</f>
        <v/>
      </c>
      <c r="V480" s="40">
        <f>IF($A480="","",IF($A480='Client Report'!$C$4,COUNTIFS($A$6:$A480,'Client Report'!$C$4),""))</f>
        <v/>
      </c>
    </row>
    <row r="481">
      <c r="A481" s="11" t="n"/>
      <c r="B481" s="11" t="n"/>
      <c r="C481" s="11" t="n"/>
      <c r="D481" s="11" t="n"/>
      <c r="E481" s="12" t="n"/>
      <c r="F481" s="34" t="n"/>
      <c r="G481" s="34" t="n"/>
      <c r="H481" s="34" t="n"/>
      <c r="I481" s="34" t="n"/>
      <c r="J481" s="34" t="n"/>
      <c r="K481" s="34" t="n"/>
      <c r="L481" s="34" t="n"/>
      <c r="M481" s="36" t="n"/>
      <c r="N481" s="36" t="n"/>
      <c r="O481" s="41" t="n"/>
      <c r="P481" s="27">
        <f>IF($B481="","",IFERROR(TRIM(LEFT($B481,FIND(" - ",$B481)-1)),"Others"))</f>
        <v/>
      </c>
      <c r="Q481" s="39">
        <f>IF($A481="","",SUM($F481:$H481))</f>
        <v/>
      </c>
      <c r="R481" s="39">
        <f>IF($A481="","",SUM($I481:$K481))</f>
        <v/>
      </c>
      <c r="S481" s="39">
        <f>IF($A481="","",($L481+$R481)-$Q481)</f>
        <v/>
      </c>
      <c r="T481" s="31">
        <f>IF(OR($A481="",$Q481=0),"",$S481/$Q481)</f>
        <v/>
      </c>
      <c r="U481" s="27">
        <f>IF($A481="","",IF($L481&gt;0,"Live","Exited"))</f>
        <v/>
      </c>
      <c r="V481" s="40">
        <f>IF($A481="","",IF($A481='Client Report'!$C$4,COUNTIFS($A$6:$A481,'Client Report'!$C$4),""))</f>
        <v/>
      </c>
    </row>
    <row r="482">
      <c r="A482" s="11" t="n"/>
      <c r="B482" s="11" t="n"/>
      <c r="C482" s="11" t="n"/>
      <c r="D482" s="11" t="n"/>
      <c r="E482" s="12" t="n"/>
      <c r="F482" s="34" t="n"/>
      <c r="G482" s="34" t="n"/>
      <c r="H482" s="34" t="n"/>
      <c r="I482" s="34" t="n"/>
      <c r="J482" s="34" t="n"/>
      <c r="K482" s="34" t="n"/>
      <c r="L482" s="34" t="n"/>
      <c r="M482" s="36" t="n"/>
      <c r="N482" s="36" t="n"/>
      <c r="O482" s="41" t="n"/>
      <c r="P482" s="27">
        <f>IF($B482="","",IFERROR(TRIM(LEFT($B482,FIND(" - ",$B482)-1)),"Others"))</f>
        <v/>
      </c>
      <c r="Q482" s="39">
        <f>IF($A482="","",SUM($F482:$H482))</f>
        <v/>
      </c>
      <c r="R482" s="39">
        <f>IF($A482="","",SUM($I482:$K482))</f>
        <v/>
      </c>
      <c r="S482" s="39">
        <f>IF($A482="","",($L482+$R482)-$Q482)</f>
        <v/>
      </c>
      <c r="T482" s="31">
        <f>IF(OR($A482="",$Q482=0),"",$S482/$Q482)</f>
        <v/>
      </c>
      <c r="U482" s="27">
        <f>IF($A482="","",IF($L482&gt;0,"Live","Exited"))</f>
        <v/>
      </c>
      <c r="V482" s="40">
        <f>IF($A482="","",IF($A482='Client Report'!$C$4,COUNTIFS($A$6:$A482,'Client Report'!$C$4),""))</f>
        <v/>
      </c>
    </row>
    <row r="483">
      <c r="A483" s="11" t="n"/>
      <c r="B483" s="11" t="n"/>
      <c r="C483" s="11" t="n"/>
      <c r="D483" s="11" t="n"/>
      <c r="E483" s="12" t="n"/>
      <c r="F483" s="34" t="n"/>
      <c r="G483" s="34" t="n"/>
      <c r="H483" s="34" t="n"/>
      <c r="I483" s="34" t="n"/>
      <c r="J483" s="34" t="n"/>
      <c r="K483" s="34" t="n"/>
      <c r="L483" s="34" t="n"/>
      <c r="M483" s="36" t="n"/>
      <c r="N483" s="36" t="n"/>
      <c r="O483" s="41" t="n"/>
      <c r="P483" s="27">
        <f>IF($B483="","",IFERROR(TRIM(LEFT($B483,FIND(" - ",$B483)-1)),"Others"))</f>
        <v/>
      </c>
      <c r="Q483" s="39">
        <f>IF($A483="","",SUM($F483:$H483))</f>
        <v/>
      </c>
      <c r="R483" s="39">
        <f>IF($A483="","",SUM($I483:$K483))</f>
        <v/>
      </c>
      <c r="S483" s="39">
        <f>IF($A483="","",($L483+$R483)-$Q483)</f>
        <v/>
      </c>
      <c r="T483" s="31">
        <f>IF(OR($A483="",$Q483=0),"",$S483/$Q483)</f>
        <v/>
      </c>
      <c r="U483" s="27">
        <f>IF($A483="","",IF($L483&gt;0,"Live","Exited"))</f>
        <v/>
      </c>
      <c r="V483" s="40">
        <f>IF($A483="","",IF($A483='Client Report'!$C$4,COUNTIFS($A$6:$A483,'Client Report'!$C$4),""))</f>
        <v/>
      </c>
    </row>
    <row r="484">
      <c r="A484" s="11" t="n"/>
      <c r="B484" s="11" t="n"/>
      <c r="C484" s="11" t="n"/>
      <c r="D484" s="11" t="n"/>
      <c r="E484" s="12" t="n"/>
      <c r="F484" s="34" t="n"/>
      <c r="G484" s="34" t="n"/>
      <c r="H484" s="34" t="n"/>
      <c r="I484" s="34" t="n"/>
      <c r="J484" s="34" t="n"/>
      <c r="K484" s="34" t="n"/>
      <c r="L484" s="34" t="n"/>
      <c r="M484" s="36" t="n"/>
      <c r="N484" s="36" t="n"/>
      <c r="O484" s="41" t="n"/>
      <c r="P484" s="27">
        <f>IF($B484="","",IFERROR(TRIM(LEFT($B484,FIND(" - ",$B484)-1)),"Others"))</f>
        <v/>
      </c>
      <c r="Q484" s="39">
        <f>IF($A484="","",SUM($F484:$H484))</f>
        <v/>
      </c>
      <c r="R484" s="39">
        <f>IF($A484="","",SUM($I484:$K484))</f>
        <v/>
      </c>
      <c r="S484" s="39">
        <f>IF($A484="","",($L484+$R484)-$Q484)</f>
        <v/>
      </c>
      <c r="T484" s="31">
        <f>IF(OR($A484="",$Q484=0),"",$S484/$Q484)</f>
        <v/>
      </c>
      <c r="U484" s="27">
        <f>IF($A484="","",IF($L484&gt;0,"Live","Exited"))</f>
        <v/>
      </c>
      <c r="V484" s="40">
        <f>IF($A484="","",IF($A484='Client Report'!$C$4,COUNTIFS($A$6:$A484,'Client Report'!$C$4),""))</f>
        <v/>
      </c>
    </row>
    <row r="485">
      <c r="A485" s="11" t="n"/>
      <c r="B485" s="11" t="n"/>
      <c r="C485" s="11" t="n"/>
      <c r="D485" s="11" t="n"/>
      <c r="E485" s="12" t="n"/>
      <c r="F485" s="34" t="n"/>
      <c r="G485" s="34" t="n"/>
      <c r="H485" s="34" t="n"/>
      <c r="I485" s="34" t="n"/>
      <c r="J485" s="34" t="n"/>
      <c r="K485" s="34" t="n"/>
      <c r="L485" s="34" t="n"/>
      <c r="M485" s="36" t="n"/>
      <c r="N485" s="36" t="n"/>
      <c r="O485" s="41" t="n"/>
      <c r="P485" s="27">
        <f>IF($B485="","",IFERROR(TRIM(LEFT($B485,FIND(" - ",$B485)-1)),"Others"))</f>
        <v/>
      </c>
      <c r="Q485" s="39">
        <f>IF($A485="","",SUM($F485:$H485))</f>
        <v/>
      </c>
      <c r="R485" s="39">
        <f>IF($A485="","",SUM($I485:$K485))</f>
        <v/>
      </c>
      <c r="S485" s="39">
        <f>IF($A485="","",($L485+$R485)-$Q485)</f>
        <v/>
      </c>
      <c r="T485" s="31">
        <f>IF(OR($A485="",$Q485=0),"",$S485/$Q485)</f>
        <v/>
      </c>
      <c r="U485" s="27">
        <f>IF($A485="","",IF($L485&gt;0,"Live","Exited"))</f>
        <v/>
      </c>
      <c r="V485" s="40">
        <f>IF($A485="","",IF($A485='Client Report'!$C$4,COUNTIFS($A$6:$A485,'Client Report'!$C$4),""))</f>
        <v/>
      </c>
    </row>
    <row r="486">
      <c r="A486" s="11" t="n"/>
      <c r="B486" s="11" t="n"/>
      <c r="C486" s="11" t="n"/>
      <c r="D486" s="11" t="n"/>
      <c r="E486" s="12" t="n"/>
      <c r="F486" s="34" t="n"/>
      <c r="G486" s="34" t="n"/>
      <c r="H486" s="34" t="n"/>
      <c r="I486" s="34" t="n"/>
      <c r="J486" s="34" t="n"/>
      <c r="K486" s="34" t="n"/>
      <c r="L486" s="34" t="n"/>
      <c r="M486" s="36" t="n"/>
      <c r="N486" s="36" t="n"/>
      <c r="O486" s="41" t="n"/>
      <c r="P486" s="27">
        <f>IF($B486="","",IFERROR(TRIM(LEFT($B486,FIND(" - ",$B486)-1)),"Others"))</f>
        <v/>
      </c>
      <c r="Q486" s="39">
        <f>IF($A486="","",SUM($F486:$H486))</f>
        <v/>
      </c>
      <c r="R486" s="39">
        <f>IF($A486="","",SUM($I486:$K486))</f>
        <v/>
      </c>
      <c r="S486" s="39">
        <f>IF($A486="","",($L486+$R486)-$Q486)</f>
        <v/>
      </c>
      <c r="T486" s="31">
        <f>IF(OR($A486="",$Q486=0),"",$S486/$Q486)</f>
        <v/>
      </c>
      <c r="U486" s="27">
        <f>IF($A486="","",IF($L486&gt;0,"Live","Exited"))</f>
        <v/>
      </c>
      <c r="V486" s="40">
        <f>IF($A486="","",IF($A486='Client Report'!$C$4,COUNTIFS($A$6:$A486,'Client Report'!$C$4),""))</f>
        <v/>
      </c>
    </row>
    <row r="487">
      <c r="A487" s="11" t="n"/>
      <c r="B487" s="11" t="n"/>
      <c r="C487" s="11" t="n"/>
      <c r="D487" s="11" t="n"/>
      <c r="E487" s="12" t="n"/>
      <c r="F487" s="34" t="n"/>
      <c r="G487" s="34" t="n"/>
      <c r="H487" s="34" t="n"/>
      <c r="I487" s="34" t="n"/>
      <c r="J487" s="34" t="n"/>
      <c r="K487" s="34" t="n"/>
      <c r="L487" s="34" t="n"/>
      <c r="M487" s="36" t="n"/>
      <c r="N487" s="36" t="n"/>
      <c r="O487" s="41" t="n"/>
      <c r="P487" s="27">
        <f>IF($B487="","",IFERROR(TRIM(LEFT($B487,FIND(" - ",$B487)-1)),"Others"))</f>
        <v/>
      </c>
      <c r="Q487" s="39">
        <f>IF($A487="","",SUM($F487:$H487))</f>
        <v/>
      </c>
      <c r="R487" s="39">
        <f>IF($A487="","",SUM($I487:$K487))</f>
        <v/>
      </c>
      <c r="S487" s="39">
        <f>IF($A487="","",($L487+$R487)-$Q487)</f>
        <v/>
      </c>
      <c r="T487" s="31">
        <f>IF(OR($A487="",$Q487=0),"",$S487/$Q487)</f>
        <v/>
      </c>
      <c r="U487" s="27">
        <f>IF($A487="","",IF($L487&gt;0,"Live","Exited"))</f>
        <v/>
      </c>
      <c r="V487" s="40">
        <f>IF($A487="","",IF($A487='Client Report'!$C$4,COUNTIFS($A$6:$A487,'Client Report'!$C$4),""))</f>
        <v/>
      </c>
    </row>
    <row r="488">
      <c r="A488" s="11" t="n"/>
      <c r="B488" s="11" t="n"/>
      <c r="C488" s="11" t="n"/>
      <c r="D488" s="11" t="n"/>
      <c r="E488" s="12" t="n"/>
      <c r="F488" s="34" t="n"/>
      <c r="G488" s="34" t="n"/>
      <c r="H488" s="34" t="n"/>
      <c r="I488" s="34" t="n"/>
      <c r="J488" s="34" t="n"/>
      <c r="K488" s="34" t="n"/>
      <c r="L488" s="34" t="n"/>
      <c r="M488" s="36" t="n"/>
      <c r="N488" s="36" t="n"/>
      <c r="O488" s="41" t="n"/>
      <c r="P488" s="27">
        <f>IF($B488="","",IFERROR(TRIM(LEFT($B488,FIND(" - ",$B488)-1)),"Others"))</f>
        <v/>
      </c>
      <c r="Q488" s="39">
        <f>IF($A488="","",SUM($F488:$H488))</f>
        <v/>
      </c>
      <c r="R488" s="39">
        <f>IF($A488="","",SUM($I488:$K488))</f>
        <v/>
      </c>
      <c r="S488" s="39">
        <f>IF($A488="","",($L488+$R488)-$Q488)</f>
        <v/>
      </c>
      <c r="T488" s="31">
        <f>IF(OR($A488="",$Q488=0),"",$S488/$Q488)</f>
        <v/>
      </c>
      <c r="U488" s="27">
        <f>IF($A488="","",IF($L488&gt;0,"Live","Exited"))</f>
        <v/>
      </c>
      <c r="V488" s="40">
        <f>IF($A488="","",IF($A488='Client Report'!$C$4,COUNTIFS($A$6:$A488,'Client Report'!$C$4),""))</f>
        <v/>
      </c>
    </row>
    <row r="489">
      <c r="A489" s="11" t="n"/>
      <c r="B489" s="11" t="n"/>
      <c r="C489" s="11" t="n"/>
      <c r="D489" s="11" t="n"/>
      <c r="E489" s="12" t="n"/>
      <c r="F489" s="34" t="n"/>
      <c r="G489" s="34" t="n"/>
      <c r="H489" s="34" t="n"/>
      <c r="I489" s="34" t="n"/>
      <c r="J489" s="34" t="n"/>
      <c r="K489" s="34" t="n"/>
      <c r="L489" s="34" t="n"/>
      <c r="M489" s="36" t="n"/>
      <c r="N489" s="36" t="n"/>
      <c r="O489" s="41" t="n"/>
      <c r="P489" s="27">
        <f>IF($B489="","",IFERROR(TRIM(LEFT($B489,FIND(" - ",$B489)-1)),"Others"))</f>
        <v/>
      </c>
      <c r="Q489" s="39">
        <f>IF($A489="","",SUM($F489:$H489))</f>
        <v/>
      </c>
      <c r="R489" s="39">
        <f>IF($A489="","",SUM($I489:$K489))</f>
        <v/>
      </c>
      <c r="S489" s="39">
        <f>IF($A489="","",($L489+$R489)-$Q489)</f>
        <v/>
      </c>
      <c r="T489" s="31">
        <f>IF(OR($A489="",$Q489=0),"",$S489/$Q489)</f>
        <v/>
      </c>
      <c r="U489" s="27">
        <f>IF($A489="","",IF($L489&gt;0,"Live","Exited"))</f>
        <v/>
      </c>
      <c r="V489" s="40">
        <f>IF($A489="","",IF($A489='Client Report'!$C$4,COUNTIFS($A$6:$A489,'Client Report'!$C$4),""))</f>
        <v/>
      </c>
    </row>
    <row r="490">
      <c r="A490" s="11" t="n"/>
      <c r="B490" s="11" t="n"/>
      <c r="C490" s="11" t="n"/>
      <c r="D490" s="11" t="n"/>
      <c r="E490" s="12" t="n"/>
      <c r="F490" s="34" t="n"/>
      <c r="G490" s="34" t="n"/>
      <c r="H490" s="34" t="n"/>
      <c r="I490" s="34" t="n"/>
      <c r="J490" s="34" t="n"/>
      <c r="K490" s="34" t="n"/>
      <c r="L490" s="34" t="n"/>
      <c r="M490" s="36" t="n"/>
      <c r="N490" s="36" t="n"/>
      <c r="O490" s="41" t="n"/>
      <c r="P490" s="27">
        <f>IF($B490="","",IFERROR(TRIM(LEFT($B490,FIND(" - ",$B490)-1)),"Others"))</f>
        <v/>
      </c>
      <c r="Q490" s="39">
        <f>IF($A490="","",SUM($F490:$H490))</f>
        <v/>
      </c>
      <c r="R490" s="39">
        <f>IF($A490="","",SUM($I490:$K490))</f>
        <v/>
      </c>
      <c r="S490" s="39">
        <f>IF($A490="","",($L490+$R490)-$Q490)</f>
        <v/>
      </c>
      <c r="T490" s="31">
        <f>IF(OR($A490="",$Q490=0),"",$S490/$Q490)</f>
        <v/>
      </c>
      <c r="U490" s="27">
        <f>IF($A490="","",IF($L490&gt;0,"Live","Exited"))</f>
        <v/>
      </c>
      <c r="V490" s="40">
        <f>IF($A490="","",IF($A490='Client Report'!$C$4,COUNTIFS($A$6:$A490,'Client Report'!$C$4),""))</f>
        <v/>
      </c>
    </row>
    <row r="491">
      <c r="A491" s="11" t="n"/>
      <c r="B491" s="11" t="n"/>
      <c r="C491" s="11" t="n"/>
      <c r="D491" s="11" t="n"/>
      <c r="E491" s="12" t="n"/>
      <c r="F491" s="34" t="n"/>
      <c r="G491" s="34" t="n"/>
      <c r="H491" s="34" t="n"/>
      <c r="I491" s="34" t="n"/>
      <c r="J491" s="34" t="n"/>
      <c r="K491" s="34" t="n"/>
      <c r="L491" s="34" t="n"/>
      <c r="M491" s="36" t="n"/>
      <c r="N491" s="36" t="n"/>
      <c r="O491" s="41" t="n"/>
      <c r="P491" s="27">
        <f>IF($B491="","",IFERROR(TRIM(LEFT($B491,FIND(" - ",$B491)-1)),"Others"))</f>
        <v/>
      </c>
      <c r="Q491" s="39">
        <f>IF($A491="","",SUM($F491:$H491))</f>
        <v/>
      </c>
      <c r="R491" s="39">
        <f>IF($A491="","",SUM($I491:$K491))</f>
        <v/>
      </c>
      <c r="S491" s="39">
        <f>IF($A491="","",($L491+$R491)-$Q491)</f>
        <v/>
      </c>
      <c r="T491" s="31">
        <f>IF(OR($A491="",$Q491=0),"",$S491/$Q491)</f>
        <v/>
      </c>
      <c r="U491" s="27">
        <f>IF($A491="","",IF($L491&gt;0,"Live","Exited"))</f>
        <v/>
      </c>
      <c r="V491" s="40">
        <f>IF($A491="","",IF($A491='Client Report'!$C$4,COUNTIFS($A$6:$A491,'Client Report'!$C$4),""))</f>
        <v/>
      </c>
    </row>
    <row r="492">
      <c r="A492" s="11" t="n"/>
      <c r="B492" s="11" t="n"/>
      <c r="C492" s="11" t="n"/>
      <c r="D492" s="11" t="n"/>
      <c r="E492" s="12" t="n"/>
      <c r="F492" s="34" t="n"/>
      <c r="G492" s="34" t="n"/>
      <c r="H492" s="34" t="n"/>
      <c r="I492" s="34" t="n"/>
      <c r="J492" s="34" t="n"/>
      <c r="K492" s="34" t="n"/>
      <c r="L492" s="34" t="n"/>
      <c r="M492" s="36" t="n"/>
      <c r="N492" s="36" t="n"/>
      <c r="O492" s="41" t="n"/>
      <c r="P492" s="27">
        <f>IF($B492="","",IFERROR(TRIM(LEFT($B492,FIND(" - ",$B492)-1)),"Others"))</f>
        <v/>
      </c>
      <c r="Q492" s="39">
        <f>IF($A492="","",SUM($F492:$H492))</f>
        <v/>
      </c>
      <c r="R492" s="39">
        <f>IF($A492="","",SUM($I492:$K492))</f>
        <v/>
      </c>
      <c r="S492" s="39">
        <f>IF($A492="","",($L492+$R492)-$Q492)</f>
        <v/>
      </c>
      <c r="T492" s="31">
        <f>IF(OR($A492="",$Q492=0),"",$S492/$Q492)</f>
        <v/>
      </c>
      <c r="U492" s="27">
        <f>IF($A492="","",IF($L492&gt;0,"Live","Exited"))</f>
        <v/>
      </c>
      <c r="V492" s="40">
        <f>IF($A492="","",IF($A492='Client Report'!$C$4,COUNTIFS($A$6:$A492,'Client Report'!$C$4),""))</f>
        <v/>
      </c>
    </row>
    <row r="493">
      <c r="A493" s="11" t="n"/>
      <c r="B493" s="11" t="n"/>
      <c r="C493" s="11" t="n"/>
      <c r="D493" s="11" t="n"/>
      <c r="E493" s="12" t="n"/>
      <c r="F493" s="34" t="n"/>
      <c r="G493" s="34" t="n"/>
      <c r="H493" s="34" t="n"/>
      <c r="I493" s="34" t="n"/>
      <c r="J493" s="34" t="n"/>
      <c r="K493" s="34" t="n"/>
      <c r="L493" s="34" t="n"/>
      <c r="M493" s="36" t="n"/>
      <c r="N493" s="36" t="n"/>
      <c r="O493" s="41" t="n"/>
      <c r="P493" s="27">
        <f>IF($B493="","",IFERROR(TRIM(LEFT($B493,FIND(" - ",$B493)-1)),"Others"))</f>
        <v/>
      </c>
      <c r="Q493" s="39">
        <f>IF($A493="","",SUM($F493:$H493))</f>
        <v/>
      </c>
      <c r="R493" s="39">
        <f>IF($A493="","",SUM($I493:$K493))</f>
        <v/>
      </c>
      <c r="S493" s="39">
        <f>IF($A493="","",($L493+$R493)-$Q493)</f>
        <v/>
      </c>
      <c r="T493" s="31">
        <f>IF(OR($A493="",$Q493=0),"",$S493/$Q493)</f>
        <v/>
      </c>
      <c r="U493" s="27">
        <f>IF($A493="","",IF($L493&gt;0,"Live","Exited"))</f>
        <v/>
      </c>
      <c r="V493" s="40">
        <f>IF($A493="","",IF($A493='Client Report'!$C$4,COUNTIFS($A$6:$A493,'Client Report'!$C$4),""))</f>
        <v/>
      </c>
    </row>
    <row r="494">
      <c r="A494" s="11" t="n"/>
      <c r="B494" s="11" t="n"/>
      <c r="C494" s="11" t="n"/>
      <c r="D494" s="11" t="n"/>
      <c r="E494" s="12" t="n"/>
      <c r="F494" s="34" t="n"/>
      <c r="G494" s="34" t="n"/>
      <c r="H494" s="34" t="n"/>
      <c r="I494" s="34" t="n"/>
      <c r="J494" s="34" t="n"/>
      <c r="K494" s="34" t="n"/>
      <c r="L494" s="34" t="n"/>
      <c r="M494" s="36" t="n"/>
      <c r="N494" s="36" t="n"/>
      <c r="O494" s="41" t="n"/>
      <c r="P494" s="27">
        <f>IF($B494="","",IFERROR(TRIM(LEFT($B494,FIND(" - ",$B494)-1)),"Others"))</f>
        <v/>
      </c>
      <c r="Q494" s="39">
        <f>IF($A494="","",SUM($F494:$H494))</f>
        <v/>
      </c>
      <c r="R494" s="39">
        <f>IF($A494="","",SUM($I494:$K494))</f>
        <v/>
      </c>
      <c r="S494" s="39">
        <f>IF($A494="","",($L494+$R494)-$Q494)</f>
        <v/>
      </c>
      <c r="T494" s="31">
        <f>IF(OR($A494="",$Q494=0),"",$S494/$Q494)</f>
        <v/>
      </c>
      <c r="U494" s="27">
        <f>IF($A494="","",IF($L494&gt;0,"Live","Exited"))</f>
        <v/>
      </c>
      <c r="V494" s="40">
        <f>IF($A494="","",IF($A494='Client Report'!$C$4,COUNTIFS($A$6:$A494,'Client Report'!$C$4),""))</f>
        <v/>
      </c>
    </row>
    <row r="495">
      <c r="A495" s="11" t="n"/>
      <c r="B495" s="11" t="n"/>
      <c r="C495" s="11" t="n"/>
      <c r="D495" s="11" t="n"/>
      <c r="E495" s="12" t="n"/>
      <c r="F495" s="34" t="n"/>
      <c r="G495" s="34" t="n"/>
      <c r="H495" s="34" t="n"/>
      <c r="I495" s="34" t="n"/>
      <c r="J495" s="34" t="n"/>
      <c r="K495" s="34" t="n"/>
      <c r="L495" s="34" t="n"/>
      <c r="M495" s="36" t="n"/>
      <c r="N495" s="36" t="n"/>
      <c r="O495" s="41" t="n"/>
      <c r="P495" s="27">
        <f>IF($B495="","",IFERROR(TRIM(LEFT($B495,FIND(" - ",$B495)-1)),"Others"))</f>
        <v/>
      </c>
      <c r="Q495" s="39">
        <f>IF($A495="","",SUM($F495:$H495))</f>
        <v/>
      </c>
      <c r="R495" s="39">
        <f>IF($A495="","",SUM($I495:$K495))</f>
        <v/>
      </c>
      <c r="S495" s="39">
        <f>IF($A495="","",($L495+$R495)-$Q495)</f>
        <v/>
      </c>
      <c r="T495" s="31">
        <f>IF(OR($A495="",$Q495=0),"",$S495/$Q495)</f>
        <v/>
      </c>
      <c r="U495" s="27">
        <f>IF($A495="","",IF($L495&gt;0,"Live","Exited"))</f>
        <v/>
      </c>
      <c r="V495" s="40">
        <f>IF($A495="","",IF($A495='Client Report'!$C$4,COUNTIFS($A$6:$A495,'Client Report'!$C$4),""))</f>
        <v/>
      </c>
    </row>
    <row r="496">
      <c r="A496" s="11" t="n"/>
      <c r="B496" s="11" t="n"/>
      <c r="C496" s="11" t="n"/>
      <c r="D496" s="11" t="n"/>
      <c r="E496" s="12" t="n"/>
      <c r="F496" s="34" t="n"/>
      <c r="G496" s="34" t="n"/>
      <c r="H496" s="34" t="n"/>
      <c r="I496" s="34" t="n"/>
      <c r="J496" s="34" t="n"/>
      <c r="K496" s="34" t="n"/>
      <c r="L496" s="34" t="n"/>
      <c r="M496" s="36" t="n"/>
      <c r="N496" s="36" t="n"/>
      <c r="O496" s="41" t="n"/>
      <c r="P496" s="27">
        <f>IF($B496="","",IFERROR(TRIM(LEFT($B496,FIND(" - ",$B496)-1)),"Others"))</f>
        <v/>
      </c>
      <c r="Q496" s="39">
        <f>IF($A496="","",SUM($F496:$H496))</f>
        <v/>
      </c>
      <c r="R496" s="39">
        <f>IF($A496="","",SUM($I496:$K496))</f>
        <v/>
      </c>
      <c r="S496" s="39">
        <f>IF($A496="","",($L496+$R496)-$Q496)</f>
        <v/>
      </c>
      <c r="T496" s="31">
        <f>IF(OR($A496="",$Q496=0),"",$S496/$Q496)</f>
        <v/>
      </c>
      <c r="U496" s="27">
        <f>IF($A496="","",IF($L496&gt;0,"Live","Exited"))</f>
        <v/>
      </c>
      <c r="V496" s="40">
        <f>IF($A496="","",IF($A496='Client Report'!$C$4,COUNTIFS($A$6:$A496,'Client Report'!$C$4),""))</f>
        <v/>
      </c>
    </row>
    <row r="497">
      <c r="A497" s="11" t="n"/>
      <c r="B497" s="11" t="n"/>
      <c r="C497" s="11" t="n"/>
      <c r="D497" s="11" t="n"/>
      <c r="E497" s="12" t="n"/>
      <c r="F497" s="34" t="n"/>
      <c r="G497" s="34" t="n"/>
      <c r="H497" s="34" t="n"/>
      <c r="I497" s="34" t="n"/>
      <c r="J497" s="34" t="n"/>
      <c r="K497" s="34" t="n"/>
      <c r="L497" s="34" t="n"/>
      <c r="M497" s="36" t="n"/>
      <c r="N497" s="36" t="n"/>
      <c r="O497" s="41" t="n"/>
      <c r="P497" s="27">
        <f>IF($B497="","",IFERROR(TRIM(LEFT($B497,FIND(" - ",$B497)-1)),"Others"))</f>
        <v/>
      </c>
      <c r="Q497" s="39">
        <f>IF($A497="","",SUM($F497:$H497))</f>
        <v/>
      </c>
      <c r="R497" s="39">
        <f>IF($A497="","",SUM($I497:$K497))</f>
        <v/>
      </c>
      <c r="S497" s="39">
        <f>IF($A497="","",($L497+$R497)-$Q497)</f>
        <v/>
      </c>
      <c r="T497" s="31">
        <f>IF(OR($A497="",$Q497=0),"",$S497/$Q497)</f>
        <v/>
      </c>
      <c r="U497" s="27">
        <f>IF($A497="","",IF($L497&gt;0,"Live","Exited"))</f>
        <v/>
      </c>
      <c r="V497" s="40">
        <f>IF($A497="","",IF($A497='Client Report'!$C$4,COUNTIFS($A$6:$A497,'Client Report'!$C$4),""))</f>
        <v/>
      </c>
    </row>
    <row r="498">
      <c r="A498" s="11" t="n"/>
      <c r="B498" s="11" t="n"/>
      <c r="C498" s="11" t="n"/>
      <c r="D498" s="11" t="n"/>
      <c r="E498" s="12" t="n"/>
      <c r="F498" s="34" t="n"/>
      <c r="G498" s="34" t="n"/>
      <c r="H498" s="34" t="n"/>
      <c r="I498" s="34" t="n"/>
      <c r="J498" s="34" t="n"/>
      <c r="K498" s="34" t="n"/>
      <c r="L498" s="34" t="n"/>
      <c r="M498" s="36" t="n"/>
      <c r="N498" s="36" t="n"/>
      <c r="O498" s="41" t="n"/>
      <c r="P498" s="27">
        <f>IF($B498="","",IFERROR(TRIM(LEFT($B498,FIND(" - ",$B498)-1)),"Others"))</f>
        <v/>
      </c>
      <c r="Q498" s="39">
        <f>IF($A498="","",SUM($F498:$H498))</f>
        <v/>
      </c>
      <c r="R498" s="39">
        <f>IF($A498="","",SUM($I498:$K498))</f>
        <v/>
      </c>
      <c r="S498" s="39">
        <f>IF($A498="","",($L498+$R498)-$Q498)</f>
        <v/>
      </c>
      <c r="T498" s="31">
        <f>IF(OR($A498="",$Q498=0),"",$S498/$Q498)</f>
        <v/>
      </c>
      <c r="U498" s="27">
        <f>IF($A498="","",IF($L498&gt;0,"Live","Exited"))</f>
        <v/>
      </c>
      <c r="V498" s="40">
        <f>IF($A498="","",IF($A498='Client Report'!$C$4,COUNTIFS($A$6:$A498,'Client Report'!$C$4),""))</f>
        <v/>
      </c>
    </row>
    <row r="499">
      <c r="A499" s="11" t="n"/>
      <c r="B499" s="11" t="n"/>
      <c r="C499" s="11" t="n"/>
      <c r="D499" s="11" t="n"/>
      <c r="E499" s="12" t="n"/>
      <c r="F499" s="34" t="n"/>
      <c r="G499" s="34" t="n"/>
      <c r="H499" s="34" t="n"/>
      <c r="I499" s="34" t="n"/>
      <c r="J499" s="34" t="n"/>
      <c r="K499" s="34" t="n"/>
      <c r="L499" s="34" t="n"/>
      <c r="M499" s="36" t="n"/>
      <c r="N499" s="36" t="n"/>
      <c r="O499" s="41" t="n"/>
      <c r="P499" s="27">
        <f>IF($B499="","",IFERROR(TRIM(LEFT($B499,FIND(" - ",$B499)-1)),"Others"))</f>
        <v/>
      </c>
      <c r="Q499" s="39">
        <f>IF($A499="","",SUM($F499:$H499))</f>
        <v/>
      </c>
      <c r="R499" s="39">
        <f>IF($A499="","",SUM($I499:$K499))</f>
        <v/>
      </c>
      <c r="S499" s="39">
        <f>IF($A499="","",($L499+$R499)-$Q499)</f>
        <v/>
      </c>
      <c r="T499" s="31">
        <f>IF(OR($A499="",$Q499=0),"",$S499/$Q499)</f>
        <v/>
      </c>
      <c r="U499" s="27">
        <f>IF($A499="","",IF($L499&gt;0,"Live","Exited"))</f>
        <v/>
      </c>
      <c r="V499" s="40">
        <f>IF($A499="","",IF($A499='Client Report'!$C$4,COUNTIFS($A$6:$A499,'Client Report'!$C$4),""))</f>
        <v/>
      </c>
    </row>
    <row r="500">
      <c r="A500" s="11" t="n"/>
      <c r="B500" s="11" t="n"/>
      <c r="C500" s="11" t="n"/>
      <c r="D500" s="11" t="n"/>
      <c r="E500" s="12" t="n"/>
      <c r="F500" s="34" t="n"/>
      <c r="G500" s="34" t="n"/>
      <c r="H500" s="34" t="n"/>
      <c r="I500" s="34" t="n"/>
      <c r="J500" s="34" t="n"/>
      <c r="K500" s="34" t="n"/>
      <c r="L500" s="34" t="n"/>
      <c r="M500" s="36" t="n"/>
      <c r="N500" s="36" t="n"/>
      <c r="O500" s="41" t="n"/>
      <c r="P500" s="27">
        <f>IF($B500="","",IFERROR(TRIM(LEFT($B500,FIND(" - ",$B500)-1)),"Others"))</f>
        <v/>
      </c>
      <c r="Q500" s="39">
        <f>IF($A500="","",SUM($F500:$H500))</f>
        <v/>
      </c>
      <c r="R500" s="39">
        <f>IF($A500="","",SUM($I500:$K500))</f>
        <v/>
      </c>
      <c r="S500" s="39">
        <f>IF($A500="","",($L500+$R500)-$Q500)</f>
        <v/>
      </c>
      <c r="T500" s="31">
        <f>IF(OR($A500="",$Q500=0),"",$S500/$Q500)</f>
        <v/>
      </c>
      <c r="U500" s="27">
        <f>IF($A500="","",IF($L500&gt;0,"Live","Exited"))</f>
        <v/>
      </c>
      <c r="V500" s="40">
        <f>IF($A500="","",IF($A500='Client Report'!$C$4,COUNTIFS($A$6:$A500,'Client Report'!$C$4),""))</f>
        <v/>
      </c>
    </row>
    <row r="501">
      <c r="A501" s="11" t="n"/>
      <c r="B501" s="11" t="n"/>
      <c r="C501" s="11" t="n"/>
      <c r="D501" s="11" t="n"/>
      <c r="E501" s="12" t="n"/>
      <c r="F501" s="34" t="n"/>
      <c r="G501" s="34" t="n"/>
      <c r="H501" s="34" t="n"/>
      <c r="I501" s="34" t="n"/>
      <c r="J501" s="34" t="n"/>
      <c r="K501" s="34" t="n"/>
      <c r="L501" s="34" t="n"/>
      <c r="M501" s="36" t="n"/>
      <c r="N501" s="36" t="n"/>
      <c r="O501" s="41" t="n"/>
      <c r="P501" s="27">
        <f>IF($B501="","",IFERROR(TRIM(LEFT($B501,FIND(" - ",$B501)-1)),"Others"))</f>
        <v/>
      </c>
      <c r="Q501" s="39">
        <f>IF($A501="","",SUM($F501:$H501))</f>
        <v/>
      </c>
      <c r="R501" s="39">
        <f>IF($A501="","",SUM($I501:$K501))</f>
        <v/>
      </c>
      <c r="S501" s="39">
        <f>IF($A501="","",($L501+$R501)-$Q501)</f>
        <v/>
      </c>
      <c r="T501" s="31">
        <f>IF(OR($A501="",$Q501=0),"",$S501/$Q501)</f>
        <v/>
      </c>
      <c r="U501" s="27">
        <f>IF($A501="","",IF($L501&gt;0,"Live","Exited"))</f>
        <v/>
      </c>
      <c r="V501" s="40">
        <f>IF($A501="","",IF($A501='Client Report'!$C$4,COUNTIFS($A$6:$A501,'Client Report'!$C$4),""))</f>
        <v/>
      </c>
    </row>
    <row r="502">
      <c r="A502" s="11" t="n"/>
      <c r="B502" s="11" t="n"/>
      <c r="C502" s="11" t="n"/>
      <c r="D502" s="11" t="n"/>
      <c r="E502" s="12" t="n"/>
      <c r="F502" s="34" t="n"/>
      <c r="G502" s="34" t="n"/>
      <c r="H502" s="34" t="n"/>
      <c r="I502" s="34" t="n"/>
      <c r="J502" s="34" t="n"/>
      <c r="K502" s="34" t="n"/>
      <c r="L502" s="34" t="n"/>
      <c r="M502" s="36" t="n"/>
      <c r="N502" s="36" t="n"/>
      <c r="O502" s="41" t="n"/>
      <c r="P502" s="27">
        <f>IF($B502="","",IFERROR(TRIM(LEFT($B502,FIND(" - ",$B502)-1)),"Others"))</f>
        <v/>
      </c>
      <c r="Q502" s="39">
        <f>IF($A502="","",SUM($F502:$H502))</f>
        <v/>
      </c>
      <c r="R502" s="39">
        <f>IF($A502="","",SUM($I502:$K502))</f>
        <v/>
      </c>
      <c r="S502" s="39">
        <f>IF($A502="","",($L502+$R502)-$Q502)</f>
        <v/>
      </c>
      <c r="T502" s="31">
        <f>IF(OR($A502="",$Q502=0),"",$S502/$Q502)</f>
        <v/>
      </c>
      <c r="U502" s="27">
        <f>IF($A502="","",IF($L502&gt;0,"Live","Exited"))</f>
        <v/>
      </c>
      <c r="V502" s="40">
        <f>IF($A502="","",IF($A502='Client Report'!$C$4,COUNTIFS($A$6:$A502,'Client Report'!$C$4),""))</f>
        <v/>
      </c>
    </row>
    <row r="503">
      <c r="A503" s="11" t="n"/>
      <c r="B503" s="11" t="n"/>
      <c r="C503" s="11" t="n"/>
      <c r="D503" s="11" t="n"/>
      <c r="E503" s="12" t="n"/>
      <c r="F503" s="34" t="n"/>
      <c r="G503" s="34" t="n"/>
      <c r="H503" s="34" t="n"/>
      <c r="I503" s="34" t="n"/>
      <c r="J503" s="34" t="n"/>
      <c r="K503" s="34" t="n"/>
      <c r="L503" s="34" t="n"/>
      <c r="M503" s="36" t="n"/>
      <c r="N503" s="36" t="n"/>
      <c r="O503" s="41" t="n"/>
      <c r="P503" s="27">
        <f>IF($B503="","",IFERROR(TRIM(LEFT($B503,FIND(" - ",$B503)-1)),"Others"))</f>
        <v/>
      </c>
      <c r="Q503" s="39">
        <f>IF($A503="","",SUM($F503:$H503))</f>
        <v/>
      </c>
      <c r="R503" s="39">
        <f>IF($A503="","",SUM($I503:$K503))</f>
        <v/>
      </c>
      <c r="S503" s="39">
        <f>IF($A503="","",($L503+$R503)-$Q503)</f>
        <v/>
      </c>
      <c r="T503" s="31">
        <f>IF(OR($A503="",$Q503=0),"",$S503/$Q503)</f>
        <v/>
      </c>
      <c r="U503" s="27">
        <f>IF($A503="","",IF($L503&gt;0,"Live","Exited"))</f>
        <v/>
      </c>
      <c r="V503" s="40">
        <f>IF($A503="","",IF($A503='Client Report'!$C$4,COUNTIFS($A$6:$A503,'Client Report'!$C$4),""))</f>
        <v/>
      </c>
    </row>
    <row r="504">
      <c r="A504" s="11" t="n"/>
      <c r="B504" s="11" t="n"/>
      <c r="C504" s="11" t="n"/>
      <c r="D504" s="11" t="n"/>
      <c r="E504" s="12" t="n"/>
      <c r="F504" s="34" t="n"/>
      <c r="G504" s="34" t="n"/>
      <c r="H504" s="34" t="n"/>
      <c r="I504" s="34" t="n"/>
      <c r="J504" s="34" t="n"/>
      <c r="K504" s="34" t="n"/>
      <c r="L504" s="34" t="n"/>
      <c r="M504" s="36" t="n"/>
      <c r="N504" s="36" t="n"/>
      <c r="O504" s="41" t="n"/>
      <c r="P504" s="27">
        <f>IF($B504="","",IFERROR(TRIM(LEFT($B504,FIND(" - ",$B504)-1)),"Others"))</f>
        <v/>
      </c>
      <c r="Q504" s="39">
        <f>IF($A504="","",SUM($F504:$H504))</f>
        <v/>
      </c>
      <c r="R504" s="39">
        <f>IF($A504="","",SUM($I504:$K504))</f>
        <v/>
      </c>
      <c r="S504" s="39">
        <f>IF($A504="","",($L504+$R504)-$Q504)</f>
        <v/>
      </c>
      <c r="T504" s="31">
        <f>IF(OR($A504="",$Q504=0),"",$S504/$Q504)</f>
        <v/>
      </c>
      <c r="U504" s="27">
        <f>IF($A504="","",IF($L504&gt;0,"Live","Exited"))</f>
        <v/>
      </c>
      <c r="V504" s="40">
        <f>IF($A504="","",IF($A504='Client Report'!$C$4,COUNTIFS($A$6:$A504,'Client Report'!$C$4),""))</f>
        <v/>
      </c>
    </row>
    <row r="505">
      <c r="A505" s="11" t="n"/>
      <c r="B505" s="11" t="n"/>
      <c r="C505" s="11" t="n"/>
      <c r="D505" s="11" t="n"/>
      <c r="E505" s="12" t="n"/>
      <c r="F505" s="34" t="n"/>
      <c r="G505" s="34" t="n"/>
      <c r="H505" s="34" t="n"/>
      <c r="I505" s="34" t="n"/>
      <c r="J505" s="34" t="n"/>
      <c r="K505" s="34" t="n"/>
      <c r="L505" s="34" t="n"/>
      <c r="M505" s="36" t="n"/>
      <c r="N505" s="36" t="n"/>
      <c r="O505" s="41" t="n"/>
      <c r="P505" s="27">
        <f>IF($B505="","",IFERROR(TRIM(LEFT($B505,FIND(" - ",$B505)-1)),"Others"))</f>
        <v/>
      </c>
      <c r="Q505" s="39">
        <f>IF($A505="","",SUM($F505:$H505))</f>
        <v/>
      </c>
      <c r="R505" s="39">
        <f>IF($A505="","",SUM($I505:$K505))</f>
        <v/>
      </c>
      <c r="S505" s="39">
        <f>IF($A505="","",($L505+$R505)-$Q505)</f>
        <v/>
      </c>
      <c r="T505" s="31">
        <f>IF(OR($A505="",$Q505=0),"",$S505/$Q505)</f>
        <v/>
      </c>
      <c r="U505" s="27">
        <f>IF($A505="","",IF($L505&gt;0,"Live","Exited"))</f>
        <v/>
      </c>
      <c r="V505" s="40">
        <f>IF($A505="","",IF($A505='Client Report'!$C$4,COUNTIFS($A$6:$A505,'Client Report'!$C$4),""))</f>
        <v/>
      </c>
    </row>
    <row r="506">
      <c r="A506" s="11" t="n"/>
      <c r="B506" s="11" t="n"/>
      <c r="C506" s="11" t="n"/>
      <c r="D506" s="11" t="n"/>
      <c r="E506" s="12" t="n"/>
      <c r="F506" s="34" t="n"/>
      <c r="G506" s="34" t="n"/>
      <c r="H506" s="34" t="n"/>
      <c r="I506" s="34" t="n"/>
      <c r="J506" s="34" t="n"/>
      <c r="K506" s="34" t="n"/>
      <c r="L506" s="34" t="n"/>
      <c r="M506" s="36" t="n"/>
      <c r="N506" s="36" t="n"/>
      <c r="O506" s="41" t="n"/>
      <c r="P506" s="27">
        <f>IF($B506="","",IFERROR(TRIM(LEFT($B506,FIND(" - ",$B506)-1)),"Others"))</f>
        <v/>
      </c>
      <c r="Q506" s="39">
        <f>IF($A506="","",SUM($F506:$H506))</f>
        <v/>
      </c>
      <c r="R506" s="39">
        <f>IF($A506="","",SUM($I506:$K506))</f>
        <v/>
      </c>
      <c r="S506" s="39">
        <f>IF($A506="","",($L506+$R506)-$Q506)</f>
        <v/>
      </c>
      <c r="T506" s="31">
        <f>IF(OR($A506="",$Q506=0),"",$S506/$Q506)</f>
        <v/>
      </c>
      <c r="U506" s="27">
        <f>IF($A506="","",IF($L506&gt;0,"Live","Exited"))</f>
        <v/>
      </c>
      <c r="V506" s="40">
        <f>IF($A506="","",IF($A506='Client Report'!$C$4,COUNTIFS($A$6:$A506,'Client Report'!$C$4),""))</f>
        <v/>
      </c>
    </row>
    <row r="507">
      <c r="A507" s="11" t="n"/>
      <c r="B507" s="11" t="n"/>
      <c r="C507" s="11" t="n"/>
      <c r="D507" s="11" t="n"/>
      <c r="E507" s="12" t="n"/>
      <c r="F507" s="34" t="n"/>
      <c r="G507" s="34" t="n"/>
      <c r="H507" s="34" t="n"/>
      <c r="I507" s="34" t="n"/>
      <c r="J507" s="34" t="n"/>
      <c r="K507" s="34" t="n"/>
      <c r="L507" s="34" t="n"/>
      <c r="M507" s="36" t="n"/>
      <c r="N507" s="36" t="n"/>
      <c r="O507" s="41" t="n"/>
      <c r="P507" s="27">
        <f>IF($B507="","",IFERROR(TRIM(LEFT($B507,FIND(" - ",$B507)-1)),"Others"))</f>
        <v/>
      </c>
      <c r="Q507" s="39">
        <f>IF($A507="","",SUM($F507:$H507))</f>
        <v/>
      </c>
      <c r="R507" s="39">
        <f>IF($A507="","",SUM($I507:$K507))</f>
        <v/>
      </c>
      <c r="S507" s="39">
        <f>IF($A507="","",($L507+$R507)-$Q507)</f>
        <v/>
      </c>
      <c r="T507" s="31">
        <f>IF(OR($A507="",$Q507=0),"",$S507/$Q507)</f>
        <v/>
      </c>
      <c r="U507" s="27">
        <f>IF($A507="","",IF($L507&gt;0,"Live","Exited"))</f>
        <v/>
      </c>
      <c r="V507" s="40">
        <f>IF($A507="","",IF($A507='Client Report'!$C$4,COUNTIFS($A$6:$A507,'Client Report'!$C$4),""))</f>
        <v/>
      </c>
    </row>
    <row r="508">
      <c r="A508" s="11" t="n"/>
      <c r="B508" s="11" t="n"/>
      <c r="C508" s="11" t="n"/>
      <c r="D508" s="11" t="n"/>
      <c r="E508" s="12" t="n"/>
      <c r="F508" s="34" t="n"/>
      <c r="G508" s="34" t="n"/>
      <c r="H508" s="34" t="n"/>
      <c r="I508" s="34" t="n"/>
      <c r="J508" s="34" t="n"/>
      <c r="K508" s="34" t="n"/>
      <c r="L508" s="34" t="n"/>
      <c r="M508" s="36" t="n"/>
      <c r="N508" s="36" t="n"/>
      <c r="O508" s="41" t="n"/>
      <c r="P508" s="27">
        <f>IF($B508="","",IFERROR(TRIM(LEFT($B508,FIND(" - ",$B508)-1)),"Others"))</f>
        <v/>
      </c>
      <c r="Q508" s="39">
        <f>IF($A508="","",SUM($F508:$H508))</f>
        <v/>
      </c>
      <c r="R508" s="39">
        <f>IF($A508="","",SUM($I508:$K508))</f>
        <v/>
      </c>
      <c r="S508" s="39">
        <f>IF($A508="","",($L508+$R508)-$Q508)</f>
        <v/>
      </c>
      <c r="T508" s="31">
        <f>IF(OR($A508="",$Q508=0),"",$S508/$Q508)</f>
        <v/>
      </c>
      <c r="U508" s="27">
        <f>IF($A508="","",IF($L508&gt;0,"Live","Exited"))</f>
        <v/>
      </c>
      <c r="V508" s="40">
        <f>IF($A508="","",IF($A508='Client Report'!$C$4,COUNTIFS($A$6:$A508,'Client Report'!$C$4),""))</f>
        <v/>
      </c>
    </row>
    <row r="509">
      <c r="A509" s="11" t="n"/>
      <c r="B509" s="11" t="n"/>
      <c r="C509" s="11" t="n"/>
      <c r="D509" s="11" t="n"/>
      <c r="E509" s="12" t="n"/>
      <c r="F509" s="34" t="n"/>
      <c r="G509" s="34" t="n"/>
      <c r="H509" s="34" t="n"/>
      <c r="I509" s="34" t="n"/>
      <c r="J509" s="34" t="n"/>
      <c r="K509" s="34" t="n"/>
      <c r="L509" s="34" t="n"/>
      <c r="M509" s="36" t="n"/>
      <c r="N509" s="36" t="n"/>
      <c r="O509" s="41" t="n"/>
      <c r="P509" s="27">
        <f>IF($B509="","",IFERROR(TRIM(LEFT($B509,FIND(" - ",$B509)-1)),"Others"))</f>
        <v/>
      </c>
      <c r="Q509" s="39">
        <f>IF($A509="","",SUM($F509:$H509))</f>
        <v/>
      </c>
      <c r="R509" s="39">
        <f>IF($A509="","",SUM($I509:$K509))</f>
        <v/>
      </c>
      <c r="S509" s="39">
        <f>IF($A509="","",($L509+$R509)-$Q509)</f>
        <v/>
      </c>
      <c r="T509" s="31">
        <f>IF(OR($A509="",$Q509=0),"",$S509/$Q509)</f>
        <v/>
      </c>
      <c r="U509" s="27">
        <f>IF($A509="","",IF($L509&gt;0,"Live","Exited"))</f>
        <v/>
      </c>
      <c r="V509" s="40">
        <f>IF($A509="","",IF($A509='Client Report'!$C$4,COUNTIFS($A$6:$A509,'Client Report'!$C$4),""))</f>
        <v/>
      </c>
    </row>
    <row r="510">
      <c r="A510" s="11" t="n"/>
      <c r="B510" s="11" t="n"/>
      <c r="C510" s="11" t="n"/>
      <c r="D510" s="11" t="n"/>
      <c r="E510" s="12" t="n"/>
      <c r="F510" s="34" t="n"/>
      <c r="G510" s="34" t="n"/>
      <c r="H510" s="34" t="n"/>
      <c r="I510" s="34" t="n"/>
      <c r="J510" s="34" t="n"/>
      <c r="K510" s="34" t="n"/>
      <c r="L510" s="34" t="n"/>
      <c r="M510" s="36" t="n"/>
      <c r="N510" s="36" t="n"/>
      <c r="O510" s="41" t="n"/>
      <c r="P510" s="27">
        <f>IF($B510="","",IFERROR(TRIM(LEFT($B510,FIND(" - ",$B510)-1)),"Others"))</f>
        <v/>
      </c>
      <c r="Q510" s="39">
        <f>IF($A510="","",SUM($F510:$H510))</f>
        <v/>
      </c>
      <c r="R510" s="39">
        <f>IF($A510="","",SUM($I510:$K510))</f>
        <v/>
      </c>
      <c r="S510" s="39">
        <f>IF($A510="","",($L510+$R510)-$Q510)</f>
        <v/>
      </c>
      <c r="T510" s="31">
        <f>IF(OR($A510="",$Q510=0),"",$S510/$Q510)</f>
        <v/>
      </c>
      <c r="U510" s="27">
        <f>IF($A510="","",IF($L510&gt;0,"Live","Exited"))</f>
        <v/>
      </c>
      <c r="V510" s="40">
        <f>IF($A510="","",IF($A510='Client Report'!$C$4,COUNTIFS($A$6:$A510,'Client Report'!$C$4),""))</f>
        <v/>
      </c>
    </row>
    <row r="511">
      <c r="A511" s="11" t="n"/>
      <c r="B511" s="11" t="n"/>
      <c r="C511" s="11" t="n"/>
      <c r="D511" s="11" t="n"/>
      <c r="E511" s="12" t="n"/>
      <c r="F511" s="34" t="n"/>
      <c r="G511" s="34" t="n"/>
      <c r="H511" s="34" t="n"/>
      <c r="I511" s="34" t="n"/>
      <c r="J511" s="34" t="n"/>
      <c r="K511" s="34" t="n"/>
      <c r="L511" s="34" t="n"/>
      <c r="M511" s="36" t="n"/>
      <c r="N511" s="36" t="n"/>
      <c r="O511" s="41" t="n"/>
      <c r="P511" s="27">
        <f>IF($B511="","",IFERROR(TRIM(LEFT($B511,FIND(" - ",$B511)-1)),"Others"))</f>
        <v/>
      </c>
      <c r="Q511" s="39">
        <f>IF($A511="","",SUM($F511:$H511))</f>
        <v/>
      </c>
      <c r="R511" s="39">
        <f>IF($A511="","",SUM($I511:$K511))</f>
        <v/>
      </c>
      <c r="S511" s="39">
        <f>IF($A511="","",($L511+$R511)-$Q511)</f>
        <v/>
      </c>
      <c r="T511" s="31">
        <f>IF(OR($A511="",$Q511=0),"",$S511/$Q511)</f>
        <v/>
      </c>
      <c r="U511" s="27">
        <f>IF($A511="","",IF($L511&gt;0,"Live","Exited"))</f>
        <v/>
      </c>
      <c r="V511" s="40">
        <f>IF($A511="","",IF($A511='Client Report'!$C$4,COUNTIFS($A$6:$A511,'Client Report'!$C$4),""))</f>
        <v/>
      </c>
    </row>
    <row r="512">
      <c r="A512" s="11" t="n"/>
      <c r="B512" s="11" t="n"/>
      <c r="C512" s="11" t="n"/>
      <c r="D512" s="11" t="n"/>
      <c r="E512" s="12" t="n"/>
      <c r="F512" s="34" t="n"/>
      <c r="G512" s="34" t="n"/>
      <c r="H512" s="34" t="n"/>
      <c r="I512" s="34" t="n"/>
      <c r="J512" s="34" t="n"/>
      <c r="K512" s="34" t="n"/>
      <c r="L512" s="34" t="n"/>
      <c r="M512" s="36" t="n"/>
      <c r="N512" s="36" t="n"/>
      <c r="O512" s="41" t="n"/>
      <c r="P512" s="27">
        <f>IF($B512="","",IFERROR(TRIM(LEFT($B512,FIND(" - ",$B512)-1)),"Others"))</f>
        <v/>
      </c>
      <c r="Q512" s="39">
        <f>IF($A512="","",SUM($F512:$H512))</f>
        <v/>
      </c>
      <c r="R512" s="39">
        <f>IF($A512="","",SUM($I512:$K512))</f>
        <v/>
      </c>
      <c r="S512" s="39">
        <f>IF($A512="","",($L512+$R512)-$Q512)</f>
        <v/>
      </c>
      <c r="T512" s="31">
        <f>IF(OR($A512="",$Q512=0),"",$S512/$Q512)</f>
        <v/>
      </c>
      <c r="U512" s="27">
        <f>IF($A512="","",IF($L512&gt;0,"Live","Exited"))</f>
        <v/>
      </c>
      <c r="V512" s="40">
        <f>IF($A512="","",IF($A512='Client Report'!$C$4,COUNTIFS($A$6:$A512,'Client Report'!$C$4),""))</f>
        <v/>
      </c>
    </row>
    <row r="513">
      <c r="A513" s="11" t="n"/>
      <c r="B513" s="11" t="n"/>
      <c r="C513" s="11" t="n"/>
      <c r="D513" s="11" t="n"/>
      <c r="E513" s="12" t="n"/>
      <c r="F513" s="34" t="n"/>
      <c r="G513" s="34" t="n"/>
      <c r="H513" s="34" t="n"/>
      <c r="I513" s="34" t="n"/>
      <c r="J513" s="34" t="n"/>
      <c r="K513" s="34" t="n"/>
      <c r="L513" s="34" t="n"/>
      <c r="M513" s="36" t="n"/>
      <c r="N513" s="36" t="n"/>
      <c r="O513" s="41" t="n"/>
      <c r="P513" s="27">
        <f>IF($B513="","",IFERROR(TRIM(LEFT($B513,FIND(" - ",$B513)-1)),"Others"))</f>
        <v/>
      </c>
      <c r="Q513" s="39">
        <f>IF($A513="","",SUM($F513:$H513))</f>
        <v/>
      </c>
      <c r="R513" s="39">
        <f>IF($A513="","",SUM($I513:$K513))</f>
        <v/>
      </c>
      <c r="S513" s="39">
        <f>IF($A513="","",($L513+$R513)-$Q513)</f>
        <v/>
      </c>
      <c r="T513" s="31">
        <f>IF(OR($A513="",$Q513=0),"",$S513/$Q513)</f>
        <v/>
      </c>
      <c r="U513" s="27">
        <f>IF($A513="","",IF($L513&gt;0,"Live","Exited"))</f>
        <v/>
      </c>
      <c r="V513" s="40">
        <f>IF($A513="","",IF($A513='Client Report'!$C$4,COUNTIFS($A$6:$A513,'Client Report'!$C$4),""))</f>
        <v/>
      </c>
    </row>
    <row r="514">
      <c r="A514" s="11" t="n"/>
      <c r="B514" s="11" t="n"/>
      <c r="C514" s="11" t="n"/>
      <c r="D514" s="11" t="n"/>
      <c r="E514" s="12" t="n"/>
      <c r="F514" s="34" t="n"/>
      <c r="G514" s="34" t="n"/>
      <c r="H514" s="34" t="n"/>
      <c r="I514" s="34" t="n"/>
      <c r="J514" s="34" t="n"/>
      <c r="K514" s="34" t="n"/>
      <c r="L514" s="34" t="n"/>
      <c r="M514" s="36" t="n"/>
      <c r="N514" s="36" t="n"/>
      <c r="O514" s="41" t="n"/>
      <c r="P514" s="27">
        <f>IF($B514="","",IFERROR(TRIM(LEFT($B514,FIND(" - ",$B514)-1)),"Others"))</f>
        <v/>
      </c>
      <c r="Q514" s="39">
        <f>IF($A514="","",SUM($F514:$H514))</f>
        <v/>
      </c>
      <c r="R514" s="39">
        <f>IF($A514="","",SUM($I514:$K514))</f>
        <v/>
      </c>
      <c r="S514" s="39">
        <f>IF($A514="","",($L514+$R514)-$Q514)</f>
        <v/>
      </c>
      <c r="T514" s="31">
        <f>IF(OR($A514="",$Q514=0),"",$S514/$Q514)</f>
        <v/>
      </c>
      <c r="U514" s="27">
        <f>IF($A514="","",IF($L514&gt;0,"Live","Exited"))</f>
        <v/>
      </c>
      <c r="V514" s="40">
        <f>IF($A514="","",IF($A514='Client Report'!$C$4,COUNTIFS($A$6:$A514,'Client Report'!$C$4),""))</f>
        <v/>
      </c>
    </row>
    <row r="515">
      <c r="A515" s="11" t="n"/>
      <c r="B515" s="11" t="n"/>
      <c r="C515" s="11" t="n"/>
      <c r="D515" s="11" t="n"/>
      <c r="E515" s="12" t="n"/>
      <c r="F515" s="34" t="n"/>
      <c r="G515" s="34" t="n"/>
      <c r="H515" s="34" t="n"/>
      <c r="I515" s="34" t="n"/>
      <c r="J515" s="34" t="n"/>
      <c r="K515" s="34" t="n"/>
      <c r="L515" s="34" t="n"/>
      <c r="M515" s="36" t="n"/>
      <c r="N515" s="36" t="n"/>
      <c r="O515" s="41" t="n"/>
      <c r="P515" s="27">
        <f>IF($B515="","",IFERROR(TRIM(LEFT($B515,FIND(" - ",$B515)-1)),"Others"))</f>
        <v/>
      </c>
      <c r="Q515" s="39">
        <f>IF($A515="","",SUM($F515:$H515))</f>
        <v/>
      </c>
      <c r="R515" s="39">
        <f>IF($A515="","",SUM($I515:$K515))</f>
        <v/>
      </c>
      <c r="S515" s="39">
        <f>IF($A515="","",($L515+$R515)-$Q515)</f>
        <v/>
      </c>
      <c r="T515" s="31">
        <f>IF(OR($A515="",$Q515=0),"",$S515/$Q515)</f>
        <v/>
      </c>
      <c r="U515" s="27">
        <f>IF($A515="","",IF($L515&gt;0,"Live","Exited"))</f>
        <v/>
      </c>
      <c r="V515" s="40">
        <f>IF($A515="","",IF($A515='Client Report'!$C$4,COUNTIFS($A$6:$A515,'Client Report'!$C$4),""))</f>
        <v/>
      </c>
    </row>
    <row r="516">
      <c r="A516" s="11" t="n"/>
      <c r="B516" s="11" t="n"/>
      <c r="C516" s="11" t="n"/>
      <c r="D516" s="11" t="n"/>
      <c r="E516" s="12" t="n"/>
      <c r="F516" s="34" t="n"/>
      <c r="G516" s="34" t="n"/>
      <c r="H516" s="34" t="n"/>
      <c r="I516" s="34" t="n"/>
      <c r="J516" s="34" t="n"/>
      <c r="K516" s="34" t="n"/>
      <c r="L516" s="34" t="n"/>
      <c r="M516" s="36" t="n"/>
      <c r="N516" s="36" t="n"/>
      <c r="O516" s="41" t="n"/>
      <c r="P516" s="27">
        <f>IF($B516="","",IFERROR(TRIM(LEFT($B516,FIND(" - ",$B516)-1)),"Others"))</f>
        <v/>
      </c>
      <c r="Q516" s="39">
        <f>IF($A516="","",SUM($F516:$H516))</f>
        <v/>
      </c>
      <c r="R516" s="39">
        <f>IF($A516="","",SUM($I516:$K516))</f>
        <v/>
      </c>
      <c r="S516" s="39">
        <f>IF($A516="","",($L516+$R516)-$Q516)</f>
        <v/>
      </c>
      <c r="T516" s="31">
        <f>IF(OR($A516="",$Q516=0),"",$S516/$Q516)</f>
        <v/>
      </c>
      <c r="U516" s="27">
        <f>IF($A516="","",IF($L516&gt;0,"Live","Exited"))</f>
        <v/>
      </c>
      <c r="V516" s="40">
        <f>IF($A516="","",IF($A516='Client Report'!$C$4,COUNTIFS($A$6:$A516,'Client Report'!$C$4),""))</f>
        <v/>
      </c>
    </row>
    <row r="517">
      <c r="A517" s="11" t="n"/>
      <c r="B517" s="11" t="n"/>
      <c r="C517" s="11" t="n"/>
      <c r="D517" s="11" t="n"/>
      <c r="E517" s="12" t="n"/>
      <c r="F517" s="34" t="n"/>
      <c r="G517" s="34" t="n"/>
      <c r="H517" s="34" t="n"/>
      <c r="I517" s="34" t="n"/>
      <c r="J517" s="34" t="n"/>
      <c r="K517" s="34" t="n"/>
      <c r="L517" s="34" t="n"/>
      <c r="M517" s="36" t="n"/>
      <c r="N517" s="36" t="n"/>
      <c r="O517" s="41" t="n"/>
      <c r="P517" s="27">
        <f>IF($B517="","",IFERROR(TRIM(LEFT($B517,FIND(" - ",$B517)-1)),"Others"))</f>
        <v/>
      </c>
      <c r="Q517" s="39">
        <f>IF($A517="","",SUM($F517:$H517))</f>
        <v/>
      </c>
      <c r="R517" s="39">
        <f>IF($A517="","",SUM($I517:$K517))</f>
        <v/>
      </c>
      <c r="S517" s="39">
        <f>IF($A517="","",($L517+$R517)-$Q517)</f>
        <v/>
      </c>
      <c r="T517" s="31">
        <f>IF(OR($A517="",$Q517=0),"",$S517/$Q517)</f>
        <v/>
      </c>
      <c r="U517" s="27">
        <f>IF($A517="","",IF($L517&gt;0,"Live","Exited"))</f>
        <v/>
      </c>
      <c r="V517" s="40">
        <f>IF($A517="","",IF($A517='Client Report'!$C$4,COUNTIFS($A$6:$A517,'Client Report'!$C$4),""))</f>
        <v/>
      </c>
    </row>
    <row r="518">
      <c r="A518" s="11" t="n"/>
      <c r="B518" s="11" t="n"/>
      <c r="C518" s="11" t="n"/>
      <c r="D518" s="11" t="n"/>
      <c r="E518" s="12" t="n"/>
      <c r="F518" s="34" t="n"/>
      <c r="G518" s="34" t="n"/>
      <c r="H518" s="34" t="n"/>
      <c r="I518" s="34" t="n"/>
      <c r="J518" s="34" t="n"/>
      <c r="K518" s="34" t="n"/>
      <c r="L518" s="34" t="n"/>
      <c r="M518" s="36" t="n"/>
      <c r="N518" s="36" t="n"/>
      <c r="O518" s="41" t="n"/>
      <c r="P518" s="27">
        <f>IF($B518="","",IFERROR(TRIM(LEFT($B518,FIND(" - ",$B518)-1)),"Others"))</f>
        <v/>
      </c>
      <c r="Q518" s="39">
        <f>IF($A518="","",SUM($F518:$H518))</f>
        <v/>
      </c>
      <c r="R518" s="39">
        <f>IF($A518="","",SUM($I518:$K518))</f>
        <v/>
      </c>
      <c r="S518" s="39">
        <f>IF($A518="","",($L518+$R518)-$Q518)</f>
        <v/>
      </c>
      <c r="T518" s="31">
        <f>IF(OR($A518="",$Q518=0),"",$S518/$Q518)</f>
        <v/>
      </c>
      <c r="U518" s="27">
        <f>IF($A518="","",IF($L518&gt;0,"Live","Exited"))</f>
        <v/>
      </c>
      <c r="V518" s="40">
        <f>IF($A518="","",IF($A518='Client Report'!$C$4,COUNTIFS($A$6:$A518,'Client Report'!$C$4),""))</f>
        <v/>
      </c>
    </row>
    <row r="519">
      <c r="A519" s="11" t="n"/>
      <c r="B519" s="11" t="n"/>
      <c r="C519" s="11" t="n"/>
      <c r="D519" s="11" t="n"/>
      <c r="E519" s="12" t="n"/>
      <c r="F519" s="34" t="n"/>
      <c r="G519" s="34" t="n"/>
      <c r="H519" s="34" t="n"/>
      <c r="I519" s="34" t="n"/>
      <c r="J519" s="34" t="n"/>
      <c r="K519" s="34" t="n"/>
      <c r="L519" s="34" t="n"/>
      <c r="M519" s="36" t="n"/>
      <c r="N519" s="36" t="n"/>
      <c r="O519" s="41" t="n"/>
      <c r="P519" s="27">
        <f>IF($B519="","",IFERROR(TRIM(LEFT($B519,FIND(" - ",$B519)-1)),"Others"))</f>
        <v/>
      </c>
      <c r="Q519" s="39">
        <f>IF($A519="","",SUM($F519:$H519))</f>
        <v/>
      </c>
      <c r="R519" s="39">
        <f>IF($A519="","",SUM($I519:$K519))</f>
        <v/>
      </c>
      <c r="S519" s="39">
        <f>IF($A519="","",($L519+$R519)-$Q519)</f>
        <v/>
      </c>
      <c r="T519" s="31">
        <f>IF(OR($A519="",$Q519=0),"",$S519/$Q519)</f>
        <v/>
      </c>
      <c r="U519" s="27">
        <f>IF($A519="","",IF($L519&gt;0,"Live","Exited"))</f>
        <v/>
      </c>
      <c r="V519" s="40">
        <f>IF($A519="","",IF($A519='Client Report'!$C$4,COUNTIFS($A$6:$A519,'Client Report'!$C$4),""))</f>
        <v/>
      </c>
    </row>
    <row r="520">
      <c r="A520" s="11" t="n"/>
      <c r="B520" s="11" t="n"/>
      <c r="C520" s="11" t="n"/>
      <c r="D520" s="11" t="n"/>
      <c r="E520" s="12" t="n"/>
      <c r="F520" s="34" t="n"/>
      <c r="G520" s="34" t="n"/>
      <c r="H520" s="34" t="n"/>
      <c r="I520" s="34" t="n"/>
      <c r="J520" s="34" t="n"/>
      <c r="K520" s="34" t="n"/>
      <c r="L520" s="34" t="n"/>
      <c r="M520" s="36" t="n"/>
      <c r="N520" s="36" t="n"/>
      <c r="O520" s="41" t="n"/>
      <c r="P520" s="27">
        <f>IF($B520="","",IFERROR(TRIM(LEFT($B520,FIND(" - ",$B520)-1)),"Others"))</f>
        <v/>
      </c>
      <c r="Q520" s="39">
        <f>IF($A520="","",SUM($F520:$H520))</f>
        <v/>
      </c>
      <c r="R520" s="39">
        <f>IF($A520="","",SUM($I520:$K520))</f>
        <v/>
      </c>
      <c r="S520" s="39">
        <f>IF($A520="","",($L520+$R520)-$Q520)</f>
        <v/>
      </c>
      <c r="T520" s="31">
        <f>IF(OR($A520="",$Q520=0),"",$S520/$Q520)</f>
        <v/>
      </c>
      <c r="U520" s="27">
        <f>IF($A520="","",IF($L520&gt;0,"Live","Exited"))</f>
        <v/>
      </c>
      <c r="V520" s="40">
        <f>IF($A520="","",IF($A520='Client Report'!$C$4,COUNTIFS($A$6:$A520,'Client Report'!$C$4),""))</f>
        <v/>
      </c>
    </row>
    <row r="521">
      <c r="A521" s="11" t="n"/>
      <c r="B521" s="11" t="n"/>
      <c r="C521" s="11" t="n"/>
      <c r="D521" s="11" t="n"/>
      <c r="E521" s="12" t="n"/>
      <c r="F521" s="34" t="n"/>
      <c r="G521" s="34" t="n"/>
      <c r="H521" s="34" t="n"/>
      <c r="I521" s="34" t="n"/>
      <c r="J521" s="34" t="n"/>
      <c r="K521" s="34" t="n"/>
      <c r="L521" s="34" t="n"/>
      <c r="M521" s="36" t="n"/>
      <c r="N521" s="36" t="n"/>
      <c r="O521" s="41" t="n"/>
      <c r="P521" s="27">
        <f>IF($B521="","",IFERROR(TRIM(LEFT($B521,FIND(" - ",$B521)-1)),"Others"))</f>
        <v/>
      </c>
      <c r="Q521" s="39">
        <f>IF($A521="","",SUM($F521:$H521))</f>
        <v/>
      </c>
      <c r="R521" s="39">
        <f>IF($A521="","",SUM($I521:$K521))</f>
        <v/>
      </c>
      <c r="S521" s="39">
        <f>IF($A521="","",($L521+$R521)-$Q521)</f>
        <v/>
      </c>
      <c r="T521" s="31">
        <f>IF(OR($A521="",$Q521=0),"",$S521/$Q521)</f>
        <v/>
      </c>
      <c r="U521" s="27">
        <f>IF($A521="","",IF($L521&gt;0,"Live","Exited"))</f>
        <v/>
      </c>
      <c r="V521" s="40">
        <f>IF($A521="","",IF($A521='Client Report'!$C$4,COUNTIFS($A$6:$A521,'Client Report'!$C$4),""))</f>
        <v/>
      </c>
    </row>
    <row r="522">
      <c r="A522" s="11" t="n"/>
      <c r="B522" s="11" t="n"/>
      <c r="C522" s="11" t="n"/>
      <c r="D522" s="11" t="n"/>
      <c r="E522" s="12" t="n"/>
      <c r="F522" s="34" t="n"/>
      <c r="G522" s="34" t="n"/>
      <c r="H522" s="34" t="n"/>
      <c r="I522" s="34" t="n"/>
      <c r="J522" s="34" t="n"/>
      <c r="K522" s="34" t="n"/>
      <c r="L522" s="34" t="n"/>
      <c r="M522" s="36" t="n"/>
      <c r="N522" s="36" t="n"/>
      <c r="O522" s="41" t="n"/>
      <c r="P522" s="27">
        <f>IF($B522="","",IFERROR(TRIM(LEFT($B522,FIND(" - ",$B522)-1)),"Others"))</f>
        <v/>
      </c>
      <c r="Q522" s="39">
        <f>IF($A522="","",SUM($F522:$H522))</f>
        <v/>
      </c>
      <c r="R522" s="39">
        <f>IF($A522="","",SUM($I522:$K522))</f>
        <v/>
      </c>
      <c r="S522" s="39">
        <f>IF($A522="","",($L522+$R522)-$Q522)</f>
        <v/>
      </c>
      <c r="T522" s="31">
        <f>IF(OR($A522="",$Q522=0),"",$S522/$Q522)</f>
        <v/>
      </c>
      <c r="U522" s="27">
        <f>IF($A522="","",IF($L522&gt;0,"Live","Exited"))</f>
        <v/>
      </c>
      <c r="V522" s="40">
        <f>IF($A522="","",IF($A522='Client Report'!$C$4,COUNTIFS($A$6:$A522,'Client Report'!$C$4),""))</f>
        <v/>
      </c>
    </row>
    <row r="523">
      <c r="A523" s="11" t="n"/>
      <c r="B523" s="11" t="n"/>
      <c r="C523" s="11" t="n"/>
      <c r="D523" s="11" t="n"/>
      <c r="E523" s="12" t="n"/>
      <c r="F523" s="34" t="n"/>
      <c r="G523" s="34" t="n"/>
      <c r="H523" s="34" t="n"/>
      <c r="I523" s="34" t="n"/>
      <c r="J523" s="34" t="n"/>
      <c r="K523" s="34" t="n"/>
      <c r="L523" s="34" t="n"/>
      <c r="M523" s="36" t="n"/>
      <c r="N523" s="36" t="n"/>
      <c r="O523" s="41" t="n"/>
      <c r="P523" s="27">
        <f>IF($B523="","",IFERROR(TRIM(LEFT($B523,FIND(" - ",$B523)-1)),"Others"))</f>
        <v/>
      </c>
      <c r="Q523" s="39">
        <f>IF($A523="","",SUM($F523:$H523))</f>
        <v/>
      </c>
      <c r="R523" s="39">
        <f>IF($A523="","",SUM($I523:$K523))</f>
        <v/>
      </c>
      <c r="S523" s="39">
        <f>IF($A523="","",($L523+$R523)-$Q523)</f>
        <v/>
      </c>
      <c r="T523" s="31">
        <f>IF(OR($A523="",$Q523=0),"",$S523/$Q523)</f>
        <v/>
      </c>
      <c r="U523" s="27">
        <f>IF($A523="","",IF($L523&gt;0,"Live","Exited"))</f>
        <v/>
      </c>
      <c r="V523" s="40">
        <f>IF($A523="","",IF($A523='Client Report'!$C$4,COUNTIFS($A$6:$A523,'Client Report'!$C$4),""))</f>
        <v/>
      </c>
    </row>
    <row r="524">
      <c r="A524" s="11" t="n"/>
      <c r="B524" s="11" t="n"/>
      <c r="C524" s="11" t="n"/>
      <c r="D524" s="11" t="n"/>
      <c r="E524" s="12" t="n"/>
      <c r="F524" s="34" t="n"/>
      <c r="G524" s="34" t="n"/>
      <c r="H524" s="34" t="n"/>
      <c r="I524" s="34" t="n"/>
      <c r="J524" s="34" t="n"/>
      <c r="K524" s="34" t="n"/>
      <c r="L524" s="34" t="n"/>
      <c r="M524" s="36" t="n"/>
      <c r="N524" s="36" t="n"/>
      <c r="O524" s="41" t="n"/>
      <c r="P524" s="27">
        <f>IF($B524="","",IFERROR(TRIM(LEFT($B524,FIND(" - ",$B524)-1)),"Others"))</f>
        <v/>
      </c>
      <c r="Q524" s="39">
        <f>IF($A524="","",SUM($F524:$H524))</f>
        <v/>
      </c>
      <c r="R524" s="39">
        <f>IF($A524="","",SUM($I524:$K524))</f>
        <v/>
      </c>
      <c r="S524" s="39">
        <f>IF($A524="","",($L524+$R524)-$Q524)</f>
        <v/>
      </c>
      <c r="T524" s="31">
        <f>IF(OR($A524="",$Q524=0),"",$S524/$Q524)</f>
        <v/>
      </c>
      <c r="U524" s="27">
        <f>IF($A524="","",IF($L524&gt;0,"Live","Exited"))</f>
        <v/>
      </c>
      <c r="V524" s="40">
        <f>IF($A524="","",IF($A524='Client Report'!$C$4,COUNTIFS($A$6:$A524,'Client Report'!$C$4),""))</f>
        <v/>
      </c>
    </row>
    <row r="525">
      <c r="A525" s="11" t="n"/>
      <c r="B525" s="11" t="n"/>
      <c r="C525" s="11" t="n"/>
      <c r="D525" s="11" t="n"/>
      <c r="E525" s="12" t="n"/>
      <c r="F525" s="34" t="n"/>
      <c r="G525" s="34" t="n"/>
      <c r="H525" s="34" t="n"/>
      <c r="I525" s="34" t="n"/>
      <c r="J525" s="34" t="n"/>
      <c r="K525" s="34" t="n"/>
      <c r="L525" s="34" t="n"/>
      <c r="M525" s="36" t="n"/>
      <c r="N525" s="36" t="n"/>
      <c r="O525" s="41" t="n"/>
      <c r="P525" s="27">
        <f>IF($B525="","",IFERROR(TRIM(LEFT($B525,FIND(" - ",$B525)-1)),"Others"))</f>
        <v/>
      </c>
      <c r="Q525" s="39">
        <f>IF($A525="","",SUM($F525:$H525))</f>
        <v/>
      </c>
      <c r="R525" s="39">
        <f>IF($A525="","",SUM($I525:$K525))</f>
        <v/>
      </c>
      <c r="S525" s="39">
        <f>IF($A525="","",($L525+$R525)-$Q525)</f>
        <v/>
      </c>
      <c r="T525" s="31">
        <f>IF(OR($A525="",$Q525=0),"",$S525/$Q525)</f>
        <v/>
      </c>
      <c r="U525" s="27">
        <f>IF($A525="","",IF($L525&gt;0,"Live","Exited"))</f>
        <v/>
      </c>
      <c r="V525" s="40">
        <f>IF($A525="","",IF($A525='Client Report'!$C$4,COUNTIFS($A$6:$A525,'Client Report'!$C$4),""))</f>
        <v/>
      </c>
    </row>
    <row r="526">
      <c r="A526" s="11" t="n"/>
      <c r="B526" s="11" t="n"/>
      <c r="C526" s="11" t="n"/>
      <c r="D526" s="11" t="n"/>
      <c r="E526" s="12" t="n"/>
      <c r="F526" s="34" t="n"/>
      <c r="G526" s="34" t="n"/>
      <c r="H526" s="34" t="n"/>
      <c r="I526" s="34" t="n"/>
      <c r="J526" s="34" t="n"/>
      <c r="K526" s="34" t="n"/>
      <c r="L526" s="34" t="n"/>
      <c r="M526" s="36" t="n"/>
      <c r="N526" s="36" t="n"/>
      <c r="O526" s="41" t="n"/>
      <c r="P526" s="27">
        <f>IF($B526="","",IFERROR(TRIM(LEFT($B526,FIND(" - ",$B526)-1)),"Others"))</f>
        <v/>
      </c>
      <c r="Q526" s="39">
        <f>IF($A526="","",SUM($F526:$H526))</f>
        <v/>
      </c>
      <c r="R526" s="39">
        <f>IF($A526="","",SUM($I526:$K526))</f>
        <v/>
      </c>
      <c r="S526" s="39">
        <f>IF($A526="","",($L526+$R526)-$Q526)</f>
        <v/>
      </c>
      <c r="T526" s="31">
        <f>IF(OR($A526="",$Q526=0),"",$S526/$Q526)</f>
        <v/>
      </c>
      <c r="U526" s="27">
        <f>IF($A526="","",IF($L526&gt;0,"Live","Exited"))</f>
        <v/>
      </c>
      <c r="V526" s="40">
        <f>IF($A526="","",IF($A526='Client Report'!$C$4,COUNTIFS($A$6:$A526,'Client Report'!$C$4),""))</f>
        <v/>
      </c>
    </row>
    <row r="527">
      <c r="A527" s="11" t="n"/>
      <c r="B527" s="11" t="n"/>
      <c r="C527" s="11" t="n"/>
      <c r="D527" s="11" t="n"/>
      <c r="E527" s="12" t="n"/>
      <c r="F527" s="34" t="n"/>
      <c r="G527" s="34" t="n"/>
      <c r="H527" s="34" t="n"/>
      <c r="I527" s="34" t="n"/>
      <c r="J527" s="34" t="n"/>
      <c r="K527" s="34" t="n"/>
      <c r="L527" s="34" t="n"/>
      <c r="M527" s="36" t="n"/>
      <c r="N527" s="36" t="n"/>
      <c r="O527" s="41" t="n"/>
      <c r="P527" s="27">
        <f>IF($B527="","",IFERROR(TRIM(LEFT($B527,FIND(" - ",$B527)-1)),"Others"))</f>
        <v/>
      </c>
      <c r="Q527" s="39">
        <f>IF($A527="","",SUM($F527:$H527))</f>
        <v/>
      </c>
      <c r="R527" s="39">
        <f>IF($A527="","",SUM($I527:$K527))</f>
        <v/>
      </c>
      <c r="S527" s="39">
        <f>IF($A527="","",($L527+$R527)-$Q527)</f>
        <v/>
      </c>
      <c r="T527" s="31">
        <f>IF(OR($A527="",$Q527=0),"",$S527/$Q527)</f>
        <v/>
      </c>
      <c r="U527" s="27">
        <f>IF($A527="","",IF($L527&gt;0,"Live","Exited"))</f>
        <v/>
      </c>
      <c r="V527" s="40">
        <f>IF($A527="","",IF($A527='Client Report'!$C$4,COUNTIFS($A$6:$A527,'Client Report'!$C$4),""))</f>
        <v/>
      </c>
    </row>
    <row r="528">
      <c r="A528" s="11" t="n"/>
      <c r="B528" s="11" t="n"/>
      <c r="C528" s="11" t="n"/>
      <c r="D528" s="11" t="n"/>
      <c r="E528" s="12" t="n"/>
      <c r="F528" s="34" t="n"/>
      <c r="G528" s="34" t="n"/>
      <c r="H528" s="34" t="n"/>
      <c r="I528" s="34" t="n"/>
      <c r="J528" s="34" t="n"/>
      <c r="K528" s="34" t="n"/>
      <c r="L528" s="34" t="n"/>
      <c r="M528" s="36" t="n"/>
      <c r="N528" s="36" t="n"/>
      <c r="O528" s="41" t="n"/>
      <c r="P528" s="27">
        <f>IF($B528="","",IFERROR(TRIM(LEFT($B528,FIND(" - ",$B528)-1)),"Others"))</f>
        <v/>
      </c>
      <c r="Q528" s="39">
        <f>IF($A528="","",SUM($F528:$H528))</f>
        <v/>
      </c>
      <c r="R528" s="39">
        <f>IF($A528="","",SUM($I528:$K528))</f>
        <v/>
      </c>
      <c r="S528" s="39">
        <f>IF($A528="","",($L528+$R528)-$Q528)</f>
        <v/>
      </c>
      <c r="T528" s="31">
        <f>IF(OR($A528="",$Q528=0),"",$S528/$Q528)</f>
        <v/>
      </c>
      <c r="U528" s="27">
        <f>IF($A528="","",IF($L528&gt;0,"Live","Exited"))</f>
        <v/>
      </c>
      <c r="V528" s="40">
        <f>IF($A528="","",IF($A528='Client Report'!$C$4,COUNTIFS($A$6:$A528,'Client Report'!$C$4),""))</f>
        <v/>
      </c>
    </row>
    <row r="529">
      <c r="A529" s="11" t="n"/>
      <c r="B529" s="11" t="n"/>
      <c r="C529" s="11" t="n"/>
      <c r="D529" s="11" t="n"/>
      <c r="E529" s="12" t="n"/>
      <c r="F529" s="34" t="n"/>
      <c r="G529" s="34" t="n"/>
      <c r="H529" s="34" t="n"/>
      <c r="I529" s="34" t="n"/>
      <c r="J529" s="34" t="n"/>
      <c r="K529" s="34" t="n"/>
      <c r="L529" s="34" t="n"/>
      <c r="M529" s="36" t="n"/>
      <c r="N529" s="36" t="n"/>
      <c r="O529" s="41" t="n"/>
      <c r="P529" s="27">
        <f>IF($B529="","",IFERROR(TRIM(LEFT($B529,FIND(" - ",$B529)-1)),"Others"))</f>
        <v/>
      </c>
      <c r="Q529" s="39">
        <f>IF($A529="","",SUM($F529:$H529))</f>
        <v/>
      </c>
      <c r="R529" s="39">
        <f>IF($A529="","",SUM($I529:$K529))</f>
        <v/>
      </c>
      <c r="S529" s="39">
        <f>IF($A529="","",($L529+$R529)-$Q529)</f>
        <v/>
      </c>
      <c r="T529" s="31">
        <f>IF(OR($A529="",$Q529=0),"",$S529/$Q529)</f>
        <v/>
      </c>
      <c r="U529" s="27">
        <f>IF($A529="","",IF($L529&gt;0,"Live","Exited"))</f>
        <v/>
      </c>
      <c r="V529" s="40">
        <f>IF($A529="","",IF($A529='Client Report'!$C$4,COUNTIFS($A$6:$A529,'Client Report'!$C$4),""))</f>
        <v/>
      </c>
    </row>
    <row r="530">
      <c r="A530" s="11" t="n"/>
      <c r="B530" s="11" t="n"/>
      <c r="C530" s="11" t="n"/>
      <c r="D530" s="11" t="n"/>
      <c r="E530" s="12" t="n"/>
      <c r="F530" s="34" t="n"/>
      <c r="G530" s="34" t="n"/>
      <c r="H530" s="34" t="n"/>
      <c r="I530" s="34" t="n"/>
      <c r="J530" s="34" t="n"/>
      <c r="K530" s="34" t="n"/>
      <c r="L530" s="34" t="n"/>
      <c r="M530" s="36" t="n"/>
      <c r="N530" s="36" t="n"/>
      <c r="O530" s="41" t="n"/>
      <c r="P530" s="27">
        <f>IF($B530="","",IFERROR(TRIM(LEFT($B530,FIND(" - ",$B530)-1)),"Others"))</f>
        <v/>
      </c>
      <c r="Q530" s="39">
        <f>IF($A530="","",SUM($F530:$H530))</f>
        <v/>
      </c>
      <c r="R530" s="39">
        <f>IF($A530="","",SUM($I530:$K530))</f>
        <v/>
      </c>
      <c r="S530" s="39">
        <f>IF($A530="","",($L530+$R530)-$Q530)</f>
        <v/>
      </c>
      <c r="T530" s="31">
        <f>IF(OR($A530="",$Q530=0),"",$S530/$Q530)</f>
        <v/>
      </c>
      <c r="U530" s="27">
        <f>IF($A530="","",IF($L530&gt;0,"Live","Exited"))</f>
        <v/>
      </c>
      <c r="V530" s="40">
        <f>IF($A530="","",IF($A530='Client Report'!$C$4,COUNTIFS($A$6:$A530,'Client Report'!$C$4),""))</f>
        <v/>
      </c>
    </row>
    <row r="531">
      <c r="A531" s="11" t="n"/>
      <c r="B531" s="11" t="n"/>
      <c r="C531" s="11" t="n"/>
      <c r="D531" s="11" t="n"/>
      <c r="E531" s="12" t="n"/>
      <c r="F531" s="34" t="n"/>
      <c r="G531" s="34" t="n"/>
      <c r="H531" s="34" t="n"/>
      <c r="I531" s="34" t="n"/>
      <c r="J531" s="34" t="n"/>
      <c r="K531" s="34" t="n"/>
      <c r="L531" s="34" t="n"/>
      <c r="M531" s="36" t="n"/>
      <c r="N531" s="36" t="n"/>
      <c r="O531" s="41" t="n"/>
      <c r="P531" s="27">
        <f>IF($B531="","",IFERROR(TRIM(LEFT($B531,FIND(" - ",$B531)-1)),"Others"))</f>
        <v/>
      </c>
      <c r="Q531" s="39">
        <f>IF($A531="","",SUM($F531:$H531))</f>
        <v/>
      </c>
      <c r="R531" s="39">
        <f>IF($A531="","",SUM($I531:$K531))</f>
        <v/>
      </c>
      <c r="S531" s="39">
        <f>IF($A531="","",($L531+$R531)-$Q531)</f>
        <v/>
      </c>
      <c r="T531" s="31">
        <f>IF(OR($A531="",$Q531=0),"",$S531/$Q531)</f>
        <v/>
      </c>
      <c r="U531" s="27">
        <f>IF($A531="","",IF($L531&gt;0,"Live","Exited"))</f>
        <v/>
      </c>
      <c r="V531" s="40">
        <f>IF($A531="","",IF($A531='Client Report'!$C$4,COUNTIFS($A$6:$A531,'Client Report'!$C$4),""))</f>
        <v/>
      </c>
    </row>
    <row r="532">
      <c r="A532" s="11" t="n"/>
      <c r="B532" s="11" t="n"/>
      <c r="C532" s="11" t="n"/>
      <c r="D532" s="11" t="n"/>
      <c r="E532" s="12" t="n"/>
      <c r="F532" s="34" t="n"/>
      <c r="G532" s="34" t="n"/>
      <c r="H532" s="34" t="n"/>
      <c r="I532" s="34" t="n"/>
      <c r="J532" s="34" t="n"/>
      <c r="K532" s="34" t="n"/>
      <c r="L532" s="34" t="n"/>
      <c r="M532" s="36" t="n"/>
      <c r="N532" s="36" t="n"/>
      <c r="O532" s="41" t="n"/>
      <c r="P532" s="27">
        <f>IF($B532="","",IFERROR(TRIM(LEFT($B532,FIND(" - ",$B532)-1)),"Others"))</f>
        <v/>
      </c>
      <c r="Q532" s="39">
        <f>IF($A532="","",SUM($F532:$H532))</f>
        <v/>
      </c>
      <c r="R532" s="39">
        <f>IF($A532="","",SUM($I532:$K532))</f>
        <v/>
      </c>
      <c r="S532" s="39">
        <f>IF($A532="","",($L532+$R532)-$Q532)</f>
        <v/>
      </c>
      <c r="T532" s="31">
        <f>IF(OR($A532="",$Q532=0),"",$S532/$Q532)</f>
        <v/>
      </c>
      <c r="U532" s="27">
        <f>IF($A532="","",IF($L532&gt;0,"Live","Exited"))</f>
        <v/>
      </c>
      <c r="V532" s="40">
        <f>IF($A532="","",IF($A532='Client Report'!$C$4,COUNTIFS($A$6:$A532,'Client Report'!$C$4),""))</f>
        <v/>
      </c>
    </row>
    <row r="533">
      <c r="A533" s="11" t="n"/>
      <c r="B533" s="11" t="n"/>
      <c r="C533" s="11" t="n"/>
      <c r="D533" s="11" t="n"/>
      <c r="E533" s="12" t="n"/>
      <c r="F533" s="34" t="n"/>
      <c r="G533" s="34" t="n"/>
      <c r="H533" s="34" t="n"/>
      <c r="I533" s="34" t="n"/>
      <c r="J533" s="34" t="n"/>
      <c r="K533" s="34" t="n"/>
      <c r="L533" s="34" t="n"/>
      <c r="M533" s="36" t="n"/>
      <c r="N533" s="36" t="n"/>
      <c r="O533" s="41" t="n"/>
      <c r="P533" s="27">
        <f>IF($B533="","",IFERROR(TRIM(LEFT($B533,FIND(" - ",$B533)-1)),"Others"))</f>
        <v/>
      </c>
      <c r="Q533" s="39">
        <f>IF($A533="","",SUM($F533:$H533))</f>
        <v/>
      </c>
      <c r="R533" s="39">
        <f>IF($A533="","",SUM($I533:$K533))</f>
        <v/>
      </c>
      <c r="S533" s="39">
        <f>IF($A533="","",($L533+$R533)-$Q533)</f>
        <v/>
      </c>
      <c r="T533" s="31">
        <f>IF(OR($A533="",$Q533=0),"",$S533/$Q533)</f>
        <v/>
      </c>
      <c r="U533" s="27">
        <f>IF($A533="","",IF($L533&gt;0,"Live","Exited"))</f>
        <v/>
      </c>
      <c r="V533" s="40">
        <f>IF($A533="","",IF($A533='Client Report'!$C$4,COUNTIFS($A$6:$A533,'Client Report'!$C$4),""))</f>
        <v/>
      </c>
    </row>
    <row r="534">
      <c r="A534" s="11" t="n"/>
      <c r="B534" s="11" t="n"/>
      <c r="C534" s="11" t="n"/>
      <c r="D534" s="11" t="n"/>
      <c r="E534" s="12" t="n"/>
      <c r="F534" s="34" t="n"/>
      <c r="G534" s="34" t="n"/>
      <c r="H534" s="34" t="n"/>
      <c r="I534" s="34" t="n"/>
      <c r="J534" s="34" t="n"/>
      <c r="K534" s="34" t="n"/>
      <c r="L534" s="34" t="n"/>
      <c r="M534" s="36" t="n"/>
      <c r="N534" s="36" t="n"/>
      <c r="O534" s="41" t="n"/>
      <c r="P534" s="27">
        <f>IF($B534="","",IFERROR(TRIM(LEFT($B534,FIND(" - ",$B534)-1)),"Others"))</f>
        <v/>
      </c>
      <c r="Q534" s="39">
        <f>IF($A534="","",SUM($F534:$H534))</f>
        <v/>
      </c>
      <c r="R534" s="39">
        <f>IF($A534="","",SUM($I534:$K534))</f>
        <v/>
      </c>
      <c r="S534" s="39">
        <f>IF($A534="","",($L534+$R534)-$Q534)</f>
        <v/>
      </c>
      <c r="T534" s="31">
        <f>IF(OR($A534="",$Q534=0),"",$S534/$Q534)</f>
        <v/>
      </c>
      <c r="U534" s="27">
        <f>IF($A534="","",IF($L534&gt;0,"Live","Exited"))</f>
        <v/>
      </c>
      <c r="V534" s="40">
        <f>IF($A534="","",IF($A534='Client Report'!$C$4,COUNTIFS($A$6:$A534,'Client Report'!$C$4),""))</f>
        <v/>
      </c>
    </row>
    <row r="535">
      <c r="A535" s="11" t="n"/>
      <c r="B535" s="11" t="n"/>
      <c r="C535" s="11" t="n"/>
      <c r="D535" s="11" t="n"/>
      <c r="E535" s="12" t="n"/>
      <c r="F535" s="34" t="n"/>
      <c r="G535" s="34" t="n"/>
      <c r="H535" s="34" t="n"/>
      <c r="I535" s="34" t="n"/>
      <c r="J535" s="34" t="n"/>
      <c r="K535" s="34" t="n"/>
      <c r="L535" s="34" t="n"/>
      <c r="M535" s="36" t="n"/>
      <c r="N535" s="36" t="n"/>
      <c r="O535" s="41" t="n"/>
      <c r="P535" s="27">
        <f>IF($B535="","",IFERROR(TRIM(LEFT($B535,FIND(" - ",$B535)-1)),"Others"))</f>
        <v/>
      </c>
      <c r="Q535" s="39">
        <f>IF($A535="","",SUM($F535:$H535))</f>
        <v/>
      </c>
      <c r="R535" s="39">
        <f>IF($A535="","",SUM($I535:$K535))</f>
        <v/>
      </c>
      <c r="S535" s="39">
        <f>IF($A535="","",($L535+$R535)-$Q535)</f>
        <v/>
      </c>
      <c r="T535" s="31">
        <f>IF(OR($A535="",$Q535=0),"",$S535/$Q535)</f>
        <v/>
      </c>
      <c r="U535" s="27">
        <f>IF($A535="","",IF($L535&gt;0,"Live","Exited"))</f>
        <v/>
      </c>
      <c r="V535" s="40">
        <f>IF($A535="","",IF($A535='Client Report'!$C$4,COUNTIFS($A$6:$A535,'Client Report'!$C$4),""))</f>
        <v/>
      </c>
    </row>
    <row r="536">
      <c r="A536" s="11" t="n"/>
      <c r="B536" s="11" t="n"/>
      <c r="C536" s="11" t="n"/>
      <c r="D536" s="11" t="n"/>
      <c r="E536" s="12" t="n"/>
      <c r="F536" s="34" t="n"/>
      <c r="G536" s="34" t="n"/>
      <c r="H536" s="34" t="n"/>
      <c r="I536" s="34" t="n"/>
      <c r="J536" s="34" t="n"/>
      <c r="K536" s="34" t="n"/>
      <c r="L536" s="34" t="n"/>
      <c r="M536" s="36" t="n"/>
      <c r="N536" s="36" t="n"/>
      <c r="O536" s="41" t="n"/>
      <c r="P536" s="27">
        <f>IF($B536="","",IFERROR(TRIM(LEFT($B536,FIND(" - ",$B536)-1)),"Others"))</f>
        <v/>
      </c>
      <c r="Q536" s="39">
        <f>IF($A536="","",SUM($F536:$H536))</f>
        <v/>
      </c>
      <c r="R536" s="39">
        <f>IF($A536="","",SUM($I536:$K536))</f>
        <v/>
      </c>
      <c r="S536" s="39">
        <f>IF($A536="","",($L536+$R536)-$Q536)</f>
        <v/>
      </c>
      <c r="T536" s="31">
        <f>IF(OR($A536="",$Q536=0),"",$S536/$Q536)</f>
        <v/>
      </c>
      <c r="U536" s="27">
        <f>IF($A536="","",IF($L536&gt;0,"Live","Exited"))</f>
        <v/>
      </c>
      <c r="V536" s="40">
        <f>IF($A536="","",IF($A536='Client Report'!$C$4,COUNTIFS($A$6:$A536,'Client Report'!$C$4),""))</f>
        <v/>
      </c>
    </row>
    <row r="537">
      <c r="A537" s="11" t="n"/>
      <c r="B537" s="11" t="n"/>
      <c r="C537" s="11" t="n"/>
      <c r="D537" s="11" t="n"/>
      <c r="E537" s="12" t="n"/>
      <c r="F537" s="34" t="n"/>
      <c r="G537" s="34" t="n"/>
      <c r="H537" s="34" t="n"/>
      <c r="I537" s="34" t="n"/>
      <c r="J537" s="34" t="n"/>
      <c r="K537" s="34" t="n"/>
      <c r="L537" s="34" t="n"/>
      <c r="M537" s="36" t="n"/>
      <c r="N537" s="36" t="n"/>
      <c r="O537" s="41" t="n"/>
      <c r="P537" s="27">
        <f>IF($B537="","",IFERROR(TRIM(LEFT($B537,FIND(" - ",$B537)-1)),"Others"))</f>
        <v/>
      </c>
      <c r="Q537" s="39">
        <f>IF($A537="","",SUM($F537:$H537))</f>
        <v/>
      </c>
      <c r="R537" s="39">
        <f>IF($A537="","",SUM($I537:$K537))</f>
        <v/>
      </c>
      <c r="S537" s="39">
        <f>IF($A537="","",($L537+$R537)-$Q537)</f>
        <v/>
      </c>
      <c r="T537" s="31">
        <f>IF(OR($A537="",$Q537=0),"",$S537/$Q537)</f>
        <v/>
      </c>
      <c r="U537" s="27">
        <f>IF($A537="","",IF($L537&gt;0,"Live","Exited"))</f>
        <v/>
      </c>
      <c r="V537" s="40">
        <f>IF($A537="","",IF($A537='Client Report'!$C$4,COUNTIFS($A$6:$A537,'Client Report'!$C$4),""))</f>
        <v/>
      </c>
    </row>
    <row r="538">
      <c r="A538" s="11" t="n"/>
      <c r="B538" s="11" t="n"/>
      <c r="C538" s="11" t="n"/>
      <c r="D538" s="11" t="n"/>
      <c r="E538" s="12" t="n"/>
      <c r="F538" s="34" t="n"/>
      <c r="G538" s="34" t="n"/>
      <c r="H538" s="34" t="n"/>
      <c r="I538" s="34" t="n"/>
      <c r="J538" s="34" t="n"/>
      <c r="K538" s="34" t="n"/>
      <c r="L538" s="34" t="n"/>
      <c r="M538" s="36" t="n"/>
      <c r="N538" s="36" t="n"/>
      <c r="O538" s="41" t="n"/>
      <c r="P538" s="27">
        <f>IF($B538="","",IFERROR(TRIM(LEFT($B538,FIND(" - ",$B538)-1)),"Others"))</f>
        <v/>
      </c>
      <c r="Q538" s="39">
        <f>IF($A538="","",SUM($F538:$H538))</f>
        <v/>
      </c>
      <c r="R538" s="39">
        <f>IF($A538="","",SUM($I538:$K538))</f>
        <v/>
      </c>
      <c r="S538" s="39">
        <f>IF($A538="","",($L538+$R538)-$Q538)</f>
        <v/>
      </c>
      <c r="T538" s="31">
        <f>IF(OR($A538="",$Q538=0),"",$S538/$Q538)</f>
        <v/>
      </c>
      <c r="U538" s="27">
        <f>IF($A538="","",IF($L538&gt;0,"Live","Exited"))</f>
        <v/>
      </c>
      <c r="V538" s="40">
        <f>IF($A538="","",IF($A538='Client Report'!$C$4,COUNTIFS($A$6:$A538,'Client Report'!$C$4),""))</f>
        <v/>
      </c>
    </row>
    <row r="539">
      <c r="A539" s="11" t="n"/>
      <c r="B539" s="11" t="n"/>
      <c r="C539" s="11" t="n"/>
      <c r="D539" s="11" t="n"/>
      <c r="E539" s="12" t="n"/>
      <c r="F539" s="34" t="n"/>
      <c r="G539" s="34" t="n"/>
      <c r="H539" s="34" t="n"/>
      <c r="I539" s="34" t="n"/>
      <c r="J539" s="34" t="n"/>
      <c r="K539" s="34" t="n"/>
      <c r="L539" s="34" t="n"/>
      <c r="M539" s="36" t="n"/>
      <c r="N539" s="36" t="n"/>
      <c r="O539" s="41" t="n"/>
      <c r="P539" s="27">
        <f>IF($B539="","",IFERROR(TRIM(LEFT($B539,FIND(" - ",$B539)-1)),"Others"))</f>
        <v/>
      </c>
      <c r="Q539" s="39">
        <f>IF($A539="","",SUM($F539:$H539))</f>
        <v/>
      </c>
      <c r="R539" s="39">
        <f>IF($A539="","",SUM($I539:$K539))</f>
        <v/>
      </c>
      <c r="S539" s="39">
        <f>IF($A539="","",($L539+$R539)-$Q539)</f>
        <v/>
      </c>
      <c r="T539" s="31">
        <f>IF(OR($A539="",$Q539=0),"",$S539/$Q539)</f>
        <v/>
      </c>
      <c r="U539" s="27">
        <f>IF($A539="","",IF($L539&gt;0,"Live","Exited"))</f>
        <v/>
      </c>
      <c r="V539" s="40">
        <f>IF($A539="","",IF($A539='Client Report'!$C$4,COUNTIFS($A$6:$A539,'Client Report'!$C$4),""))</f>
        <v/>
      </c>
    </row>
    <row r="540">
      <c r="A540" s="11" t="n"/>
      <c r="B540" s="11" t="n"/>
      <c r="C540" s="11" t="n"/>
      <c r="D540" s="11" t="n"/>
      <c r="E540" s="12" t="n"/>
      <c r="F540" s="34" t="n"/>
      <c r="G540" s="34" t="n"/>
      <c r="H540" s="34" t="n"/>
      <c r="I540" s="34" t="n"/>
      <c r="J540" s="34" t="n"/>
      <c r="K540" s="34" t="n"/>
      <c r="L540" s="34" t="n"/>
      <c r="M540" s="36" t="n"/>
      <c r="N540" s="36" t="n"/>
      <c r="O540" s="41" t="n"/>
      <c r="P540" s="27">
        <f>IF($B540="","",IFERROR(TRIM(LEFT($B540,FIND(" - ",$B540)-1)),"Others"))</f>
        <v/>
      </c>
      <c r="Q540" s="39">
        <f>IF($A540="","",SUM($F540:$H540))</f>
        <v/>
      </c>
      <c r="R540" s="39">
        <f>IF($A540="","",SUM($I540:$K540))</f>
        <v/>
      </c>
      <c r="S540" s="39">
        <f>IF($A540="","",($L540+$R540)-$Q540)</f>
        <v/>
      </c>
      <c r="T540" s="31">
        <f>IF(OR($A540="",$Q540=0),"",$S540/$Q540)</f>
        <v/>
      </c>
      <c r="U540" s="27">
        <f>IF($A540="","",IF($L540&gt;0,"Live","Exited"))</f>
        <v/>
      </c>
      <c r="V540" s="40">
        <f>IF($A540="","",IF($A540='Client Report'!$C$4,COUNTIFS($A$6:$A540,'Client Report'!$C$4),""))</f>
        <v/>
      </c>
    </row>
    <row r="541">
      <c r="A541" s="11" t="n"/>
      <c r="B541" s="11" t="n"/>
      <c r="C541" s="11" t="n"/>
      <c r="D541" s="11" t="n"/>
      <c r="E541" s="12" t="n"/>
      <c r="F541" s="34" t="n"/>
      <c r="G541" s="34" t="n"/>
      <c r="H541" s="34" t="n"/>
      <c r="I541" s="34" t="n"/>
      <c r="J541" s="34" t="n"/>
      <c r="K541" s="34" t="n"/>
      <c r="L541" s="34" t="n"/>
      <c r="M541" s="36" t="n"/>
      <c r="N541" s="36" t="n"/>
      <c r="O541" s="41" t="n"/>
      <c r="P541" s="27">
        <f>IF($B541="","",IFERROR(TRIM(LEFT($B541,FIND(" - ",$B541)-1)),"Others"))</f>
        <v/>
      </c>
      <c r="Q541" s="39">
        <f>IF($A541="","",SUM($F541:$H541))</f>
        <v/>
      </c>
      <c r="R541" s="39">
        <f>IF($A541="","",SUM($I541:$K541))</f>
        <v/>
      </c>
      <c r="S541" s="39">
        <f>IF($A541="","",($L541+$R541)-$Q541)</f>
        <v/>
      </c>
      <c r="T541" s="31">
        <f>IF(OR($A541="",$Q541=0),"",$S541/$Q541)</f>
        <v/>
      </c>
      <c r="U541" s="27">
        <f>IF($A541="","",IF($L541&gt;0,"Live","Exited"))</f>
        <v/>
      </c>
      <c r="V541" s="40">
        <f>IF($A541="","",IF($A541='Client Report'!$C$4,COUNTIFS($A$6:$A541,'Client Report'!$C$4),""))</f>
        <v/>
      </c>
    </row>
    <row r="542">
      <c r="A542" s="11" t="n"/>
      <c r="B542" s="11" t="n"/>
      <c r="C542" s="11" t="n"/>
      <c r="D542" s="11" t="n"/>
      <c r="E542" s="12" t="n"/>
      <c r="F542" s="34" t="n"/>
      <c r="G542" s="34" t="n"/>
      <c r="H542" s="34" t="n"/>
      <c r="I542" s="34" t="n"/>
      <c r="J542" s="34" t="n"/>
      <c r="K542" s="34" t="n"/>
      <c r="L542" s="34" t="n"/>
      <c r="M542" s="36" t="n"/>
      <c r="N542" s="36" t="n"/>
      <c r="O542" s="41" t="n"/>
      <c r="P542" s="27">
        <f>IF($B542="","",IFERROR(TRIM(LEFT($B542,FIND(" - ",$B542)-1)),"Others"))</f>
        <v/>
      </c>
      <c r="Q542" s="39">
        <f>IF($A542="","",SUM($F542:$H542))</f>
        <v/>
      </c>
      <c r="R542" s="39">
        <f>IF($A542="","",SUM($I542:$K542))</f>
        <v/>
      </c>
      <c r="S542" s="39">
        <f>IF($A542="","",($L542+$R542)-$Q542)</f>
        <v/>
      </c>
      <c r="T542" s="31">
        <f>IF(OR($A542="",$Q542=0),"",$S542/$Q542)</f>
        <v/>
      </c>
      <c r="U542" s="27">
        <f>IF($A542="","",IF($L542&gt;0,"Live","Exited"))</f>
        <v/>
      </c>
      <c r="V542" s="40">
        <f>IF($A542="","",IF($A542='Client Report'!$C$4,COUNTIFS($A$6:$A542,'Client Report'!$C$4),""))</f>
        <v/>
      </c>
    </row>
    <row r="543">
      <c r="A543" s="11" t="n"/>
      <c r="B543" s="11" t="n"/>
      <c r="C543" s="11" t="n"/>
      <c r="D543" s="11" t="n"/>
      <c r="E543" s="12" t="n"/>
      <c r="F543" s="34" t="n"/>
      <c r="G543" s="34" t="n"/>
      <c r="H543" s="34" t="n"/>
      <c r="I543" s="34" t="n"/>
      <c r="J543" s="34" t="n"/>
      <c r="K543" s="34" t="n"/>
      <c r="L543" s="34" t="n"/>
      <c r="M543" s="36" t="n"/>
      <c r="N543" s="36" t="n"/>
      <c r="O543" s="41" t="n"/>
      <c r="P543" s="27">
        <f>IF($B543="","",IFERROR(TRIM(LEFT($B543,FIND(" - ",$B543)-1)),"Others"))</f>
        <v/>
      </c>
      <c r="Q543" s="39">
        <f>IF($A543="","",SUM($F543:$H543))</f>
        <v/>
      </c>
      <c r="R543" s="39">
        <f>IF($A543="","",SUM($I543:$K543))</f>
        <v/>
      </c>
      <c r="S543" s="39">
        <f>IF($A543="","",($L543+$R543)-$Q543)</f>
        <v/>
      </c>
      <c r="T543" s="31">
        <f>IF(OR($A543="",$Q543=0),"",$S543/$Q543)</f>
        <v/>
      </c>
      <c r="U543" s="27">
        <f>IF($A543="","",IF($L543&gt;0,"Live","Exited"))</f>
        <v/>
      </c>
      <c r="V543" s="40">
        <f>IF($A543="","",IF($A543='Client Report'!$C$4,COUNTIFS($A$6:$A543,'Client Report'!$C$4),""))</f>
        <v/>
      </c>
    </row>
    <row r="544">
      <c r="A544" s="11" t="n"/>
      <c r="B544" s="11" t="n"/>
      <c r="C544" s="11" t="n"/>
      <c r="D544" s="11" t="n"/>
      <c r="E544" s="12" t="n"/>
      <c r="F544" s="34" t="n"/>
      <c r="G544" s="34" t="n"/>
      <c r="H544" s="34" t="n"/>
      <c r="I544" s="34" t="n"/>
      <c r="J544" s="34" t="n"/>
      <c r="K544" s="34" t="n"/>
      <c r="L544" s="34" t="n"/>
      <c r="M544" s="36" t="n"/>
      <c r="N544" s="36" t="n"/>
      <c r="O544" s="41" t="n"/>
      <c r="P544" s="27">
        <f>IF($B544="","",IFERROR(TRIM(LEFT($B544,FIND(" - ",$B544)-1)),"Others"))</f>
        <v/>
      </c>
      <c r="Q544" s="39">
        <f>IF($A544="","",SUM($F544:$H544))</f>
        <v/>
      </c>
      <c r="R544" s="39">
        <f>IF($A544="","",SUM($I544:$K544))</f>
        <v/>
      </c>
      <c r="S544" s="39">
        <f>IF($A544="","",($L544+$R544)-$Q544)</f>
        <v/>
      </c>
      <c r="T544" s="31">
        <f>IF(OR($A544="",$Q544=0),"",$S544/$Q544)</f>
        <v/>
      </c>
      <c r="U544" s="27">
        <f>IF($A544="","",IF($L544&gt;0,"Live","Exited"))</f>
        <v/>
      </c>
      <c r="V544" s="40">
        <f>IF($A544="","",IF($A544='Client Report'!$C$4,COUNTIFS($A$6:$A544,'Client Report'!$C$4),""))</f>
        <v/>
      </c>
    </row>
    <row r="545">
      <c r="A545" s="11" t="n"/>
      <c r="B545" s="11" t="n"/>
      <c r="C545" s="11" t="n"/>
      <c r="D545" s="11" t="n"/>
      <c r="E545" s="12" t="n"/>
      <c r="F545" s="34" t="n"/>
      <c r="G545" s="34" t="n"/>
      <c r="H545" s="34" t="n"/>
      <c r="I545" s="34" t="n"/>
      <c r="J545" s="34" t="n"/>
      <c r="K545" s="34" t="n"/>
      <c r="L545" s="34" t="n"/>
      <c r="M545" s="36" t="n"/>
      <c r="N545" s="36" t="n"/>
      <c r="O545" s="41" t="n"/>
      <c r="P545" s="27">
        <f>IF($B545="","",IFERROR(TRIM(LEFT($B545,FIND(" - ",$B545)-1)),"Others"))</f>
        <v/>
      </c>
      <c r="Q545" s="39">
        <f>IF($A545="","",SUM($F545:$H545))</f>
        <v/>
      </c>
      <c r="R545" s="39">
        <f>IF($A545="","",SUM($I545:$K545))</f>
        <v/>
      </c>
      <c r="S545" s="39">
        <f>IF($A545="","",($L545+$R545)-$Q545)</f>
        <v/>
      </c>
      <c r="T545" s="31">
        <f>IF(OR($A545="",$Q545=0),"",$S545/$Q545)</f>
        <v/>
      </c>
      <c r="U545" s="27">
        <f>IF($A545="","",IF($L545&gt;0,"Live","Exited"))</f>
        <v/>
      </c>
      <c r="V545" s="40">
        <f>IF($A545="","",IF($A545='Client Report'!$C$4,COUNTIFS($A$6:$A545,'Client Report'!$C$4),""))</f>
        <v/>
      </c>
    </row>
    <row r="546">
      <c r="A546" s="11" t="n"/>
      <c r="B546" s="11" t="n"/>
      <c r="C546" s="11" t="n"/>
      <c r="D546" s="11" t="n"/>
      <c r="E546" s="12" t="n"/>
      <c r="F546" s="34" t="n"/>
      <c r="G546" s="34" t="n"/>
      <c r="H546" s="34" t="n"/>
      <c r="I546" s="34" t="n"/>
      <c r="J546" s="34" t="n"/>
      <c r="K546" s="34" t="n"/>
      <c r="L546" s="34" t="n"/>
      <c r="M546" s="36" t="n"/>
      <c r="N546" s="36" t="n"/>
      <c r="O546" s="41" t="n"/>
      <c r="P546" s="27">
        <f>IF($B546="","",IFERROR(TRIM(LEFT($B546,FIND(" - ",$B546)-1)),"Others"))</f>
        <v/>
      </c>
      <c r="Q546" s="39">
        <f>IF($A546="","",SUM($F546:$H546))</f>
        <v/>
      </c>
      <c r="R546" s="39">
        <f>IF($A546="","",SUM($I546:$K546))</f>
        <v/>
      </c>
      <c r="S546" s="39">
        <f>IF($A546="","",($L546+$R546)-$Q546)</f>
        <v/>
      </c>
      <c r="T546" s="31">
        <f>IF(OR($A546="",$Q546=0),"",$S546/$Q546)</f>
        <v/>
      </c>
      <c r="U546" s="27">
        <f>IF($A546="","",IF($L546&gt;0,"Live","Exited"))</f>
        <v/>
      </c>
      <c r="V546" s="40">
        <f>IF($A546="","",IF($A546='Client Report'!$C$4,COUNTIFS($A$6:$A546,'Client Report'!$C$4),""))</f>
        <v/>
      </c>
    </row>
    <row r="547">
      <c r="A547" s="11" t="n"/>
      <c r="B547" s="11" t="n"/>
      <c r="C547" s="11" t="n"/>
      <c r="D547" s="11" t="n"/>
      <c r="E547" s="12" t="n"/>
      <c r="F547" s="34" t="n"/>
      <c r="G547" s="34" t="n"/>
      <c r="H547" s="34" t="n"/>
      <c r="I547" s="34" t="n"/>
      <c r="J547" s="34" t="n"/>
      <c r="K547" s="34" t="n"/>
      <c r="L547" s="34" t="n"/>
      <c r="M547" s="36" t="n"/>
      <c r="N547" s="36" t="n"/>
      <c r="O547" s="41" t="n"/>
      <c r="P547" s="27">
        <f>IF($B547="","",IFERROR(TRIM(LEFT($B547,FIND(" - ",$B547)-1)),"Others"))</f>
        <v/>
      </c>
      <c r="Q547" s="39">
        <f>IF($A547="","",SUM($F547:$H547))</f>
        <v/>
      </c>
      <c r="R547" s="39">
        <f>IF($A547="","",SUM($I547:$K547))</f>
        <v/>
      </c>
      <c r="S547" s="39">
        <f>IF($A547="","",($L547+$R547)-$Q547)</f>
        <v/>
      </c>
      <c r="T547" s="31">
        <f>IF(OR($A547="",$Q547=0),"",$S547/$Q547)</f>
        <v/>
      </c>
      <c r="U547" s="27">
        <f>IF($A547="","",IF($L547&gt;0,"Live","Exited"))</f>
        <v/>
      </c>
      <c r="V547" s="40">
        <f>IF($A547="","",IF($A547='Client Report'!$C$4,COUNTIFS($A$6:$A547,'Client Report'!$C$4),""))</f>
        <v/>
      </c>
    </row>
    <row r="548">
      <c r="A548" s="11" t="n"/>
      <c r="B548" s="11" t="n"/>
      <c r="C548" s="11" t="n"/>
      <c r="D548" s="11" t="n"/>
      <c r="E548" s="12" t="n"/>
      <c r="F548" s="34" t="n"/>
      <c r="G548" s="34" t="n"/>
      <c r="H548" s="34" t="n"/>
      <c r="I548" s="34" t="n"/>
      <c r="J548" s="34" t="n"/>
      <c r="K548" s="34" t="n"/>
      <c r="L548" s="34" t="n"/>
      <c r="M548" s="36" t="n"/>
      <c r="N548" s="36" t="n"/>
      <c r="O548" s="41" t="n"/>
      <c r="P548" s="27">
        <f>IF($B548="","",IFERROR(TRIM(LEFT($B548,FIND(" - ",$B548)-1)),"Others"))</f>
        <v/>
      </c>
      <c r="Q548" s="39">
        <f>IF($A548="","",SUM($F548:$H548))</f>
        <v/>
      </c>
      <c r="R548" s="39">
        <f>IF($A548="","",SUM($I548:$K548))</f>
        <v/>
      </c>
      <c r="S548" s="39">
        <f>IF($A548="","",($L548+$R548)-$Q548)</f>
        <v/>
      </c>
      <c r="T548" s="31">
        <f>IF(OR($A548="",$Q548=0),"",$S548/$Q548)</f>
        <v/>
      </c>
      <c r="U548" s="27">
        <f>IF($A548="","",IF($L548&gt;0,"Live","Exited"))</f>
        <v/>
      </c>
      <c r="V548" s="40">
        <f>IF($A548="","",IF($A548='Client Report'!$C$4,COUNTIFS($A$6:$A548,'Client Report'!$C$4),""))</f>
        <v/>
      </c>
    </row>
    <row r="549">
      <c r="A549" s="11" t="n"/>
      <c r="B549" s="11" t="n"/>
      <c r="C549" s="11" t="n"/>
      <c r="D549" s="11" t="n"/>
      <c r="E549" s="12" t="n"/>
      <c r="F549" s="34" t="n"/>
      <c r="G549" s="34" t="n"/>
      <c r="H549" s="34" t="n"/>
      <c r="I549" s="34" t="n"/>
      <c r="J549" s="34" t="n"/>
      <c r="K549" s="34" t="n"/>
      <c r="L549" s="34" t="n"/>
      <c r="M549" s="36" t="n"/>
      <c r="N549" s="36" t="n"/>
      <c r="O549" s="41" t="n"/>
      <c r="P549" s="27">
        <f>IF($B549="","",IFERROR(TRIM(LEFT($B549,FIND(" - ",$B549)-1)),"Others"))</f>
        <v/>
      </c>
      <c r="Q549" s="39">
        <f>IF($A549="","",SUM($F549:$H549))</f>
        <v/>
      </c>
      <c r="R549" s="39">
        <f>IF($A549="","",SUM($I549:$K549))</f>
        <v/>
      </c>
      <c r="S549" s="39">
        <f>IF($A549="","",($L549+$R549)-$Q549)</f>
        <v/>
      </c>
      <c r="T549" s="31">
        <f>IF(OR($A549="",$Q549=0),"",$S549/$Q549)</f>
        <v/>
      </c>
      <c r="U549" s="27">
        <f>IF($A549="","",IF($L549&gt;0,"Live","Exited"))</f>
        <v/>
      </c>
      <c r="V549" s="40">
        <f>IF($A549="","",IF($A549='Client Report'!$C$4,COUNTIFS($A$6:$A549,'Client Report'!$C$4),""))</f>
        <v/>
      </c>
    </row>
    <row r="550">
      <c r="A550" s="11" t="n"/>
      <c r="B550" s="11" t="n"/>
      <c r="C550" s="11" t="n"/>
      <c r="D550" s="11" t="n"/>
      <c r="E550" s="12" t="n"/>
      <c r="F550" s="34" t="n"/>
      <c r="G550" s="34" t="n"/>
      <c r="H550" s="34" t="n"/>
      <c r="I550" s="34" t="n"/>
      <c r="J550" s="34" t="n"/>
      <c r="K550" s="34" t="n"/>
      <c r="L550" s="34" t="n"/>
      <c r="M550" s="36" t="n"/>
      <c r="N550" s="36" t="n"/>
      <c r="O550" s="41" t="n"/>
      <c r="P550" s="27">
        <f>IF($B550="","",IFERROR(TRIM(LEFT($B550,FIND(" - ",$B550)-1)),"Others"))</f>
        <v/>
      </c>
      <c r="Q550" s="39">
        <f>IF($A550="","",SUM($F550:$H550))</f>
        <v/>
      </c>
      <c r="R550" s="39">
        <f>IF($A550="","",SUM($I550:$K550))</f>
        <v/>
      </c>
      <c r="S550" s="39">
        <f>IF($A550="","",($L550+$R550)-$Q550)</f>
        <v/>
      </c>
      <c r="T550" s="31">
        <f>IF(OR($A550="",$Q550=0),"",$S550/$Q550)</f>
        <v/>
      </c>
      <c r="U550" s="27">
        <f>IF($A550="","",IF($L550&gt;0,"Live","Exited"))</f>
        <v/>
      </c>
      <c r="V550" s="40">
        <f>IF($A550="","",IF($A550='Client Report'!$C$4,COUNTIFS($A$6:$A550,'Client Report'!$C$4),""))</f>
        <v/>
      </c>
    </row>
    <row r="551">
      <c r="A551" s="11" t="n"/>
      <c r="B551" s="11" t="n"/>
      <c r="C551" s="11" t="n"/>
      <c r="D551" s="11" t="n"/>
      <c r="E551" s="12" t="n"/>
      <c r="F551" s="34" t="n"/>
      <c r="G551" s="34" t="n"/>
      <c r="H551" s="34" t="n"/>
      <c r="I551" s="34" t="n"/>
      <c r="J551" s="34" t="n"/>
      <c r="K551" s="34" t="n"/>
      <c r="L551" s="34" t="n"/>
      <c r="M551" s="36" t="n"/>
      <c r="N551" s="36" t="n"/>
      <c r="O551" s="41" t="n"/>
      <c r="P551" s="27">
        <f>IF($B551="","",IFERROR(TRIM(LEFT($B551,FIND(" - ",$B551)-1)),"Others"))</f>
        <v/>
      </c>
      <c r="Q551" s="39">
        <f>IF($A551="","",SUM($F551:$H551))</f>
        <v/>
      </c>
      <c r="R551" s="39">
        <f>IF($A551="","",SUM($I551:$K551))</f>
        <v/>
      </c>
      <c r="S551" s="39">
        <f>IF($A551="","",($L551+$R551)-$Q551)</f>
        <v/>
      </c>
      <c r="T551" s="31">
        <f>IF(OR($A551="",$Q551=0),"",$S551/$Q551)</f>
        <v/>
      </c>
      <c r="U551" s="27">
        <f>IF($A551="","",IF($L551&gt;0,"Live","Exited"))</f>
        <v/>
      </c>
      <c r="V551" s="40">
        <f>IF($A551="","",IF($A551='Client Report'!$C$4,COUNTIFS($A$6:$A551,'Client Report'!$C$4),""))</f>
        <v/>
      </c>
    </row>
    <row r="552">
      <c r="A552" s="11" t="n"/>
      <c r="B552" s="11" t="n"/>
      <c r="C552" s="11" t="n"/>
      <c r="D552" s="11" t="n"/>
      <c r="E552" s="12" t="n"/>
      <c r="F552" s="34" t="n"/>
      <c r="G552" s="34" t="n"/>
      <c r="H552" s="34" t="n"/>
      <c r="I552" s="34" t="n"/>
      <c r="J552" s="34" t="n"/>
      <c r="K552" s="34" t="n"/>
      <c r="L552" s="34" t="n"/>
      <c r="M552" s="36" t="n"/>
      <c r="N552" s="36" t="n"/>
      <c r="O552" s="41" t="n"/>
      <c r="P552" s="27">
        <f>IF($B552="","",IFERROR(TRIM(LEFT($B552,FIND(" - ",$B552)-1)),"Others"))</f>
        <v/>
      </c>
      <c r="Q552" s="39">
        <f>IF($A552="","",SUM($F552:$H552))</f>
        <v/>
      </c>
      <c r="R552" s="39">
        <f>IF($A552="","",SUM($I552:$K552))</f>
        <v/>
      </c>
      <c r="S552" s="39">
        <f>IF($A552="","",($L552+$R552)-$Q552)</f>
        <v/>
      </c>
      <c r="T552" s="31">
        <f>IF(OR($A552="",$Q552=0),"",$S552/$Q552)</f>
        <v/>
      </c>
      <c r="U552" s="27">
        <f>IF($A552="","",IF($L552&gt;0,"Live","Exited"))</f>
        <v/>
      </c>
      <c r="V552" s="40">
        <f>IF($A552="","",IF($A552='Client Report'!$C$4,COUNTIFS($A$6:$A552,'Client Report'!$C$4),""))</f>
        <v/>
      </c>
    </row>
    <row r="553">
      <c r="A553" s="11" t="n"/>
      <c r="B553" s="11" t="n"/>
      <c r="C553" s="11" t="n"/>
      <c r="D553" s="11" t="n"/>
      <c r="E553" s="12" t="n"/>
      <c r="F553" s="34" t="n"/>
      <c r="G553" s="34" t="n"/>
      <c r="H553" s="34" t="n"/>
      <c r="I553" s="34" t="n"/>
      <c r="J553" s="34" t="n"/>
      <c r="K553" s="34" t="n"/>
      <c r="L553" s="34" t="n"/>
      <c r="M553" s="36" t="n"/>
      <c r="N553" s="36" t="n"/>
      <c r="O553" s="41" t="n"/>
      <c r="P553" s="27">
        <f>IF($B553="","",IFERROR(TRIM(LEFT($B553,FIND(" - ",$B553)-1)),"Others"))</f>
        <v/>
      </c>
      <c r="Q553" s="39">
        <f>IF($A553="","",SUM($F553:$H553))</f>
        <v/>
      </c>
      <c r="R553" s="39">
        <f>IF($A553="","",SUM($I553:$K553))</f>
        <v/>
      </c>
      <c r="S553" s="39">
        <f>IF($A553="","",($L553+$R553)-$Q553)</f>
        <v/>
      </c>
      <c r="T553" s="31">
        <f>IF(OR($A553="",$Q553=0),"",$S553/$Q553)</f>
        <v/>
      </c>
      <c r="U553" s="27">
        <f>IF($A553="","",IF($L553&gt;0,"Live","Exited"))</f>
        <v/>
      </c>
      <c r="V553" s="40">
        <f>IF($A553="","",IF($A553='Client Report'!$C$4,COUNTIFS($A$6:$A553,'Client Report'!$C$4),""))</f>
        <v/>
      </c>
    </row>
    <row r="554">
      <c r="A554" s="11" t="n"/>
      <c r="B554" s="11" t="n"/>
      <c r="C554" s="11" t="n"/>
      <c r="D554" s="11" t="n"/>
      <c r="E554" s="12" t="n"/>
      <c r="F554" s="34" t="n"/>
      <c r="G554" s="34" t="n"/>
      <c r="H554" s="34" t="n"/>
      <c r="I554" s="34" t="n"/>
      <c r="J554" s="34" t="n"/>
      <c r="K554" s="34" t="n"/>
      <c r="L554" s="34" t="n"/>
      <c r="M554" s="36" t="n"/>
      <c r="N554" s="36" t="n"/>
      <c r="O554" s="41" t="n"/>
      <c r="P554" s="27">
        <f>IF($B554="","",IFERROR(TRIM(LEFT($B554,FIND(" - ",$B554)-1)),"Others"))</f>
        <v/>
      </c>
      <c r="Q554" s="39">
        <f>IF($A554="","",SUM($F554:$H554))</f>
        <v/>
      </c>
      <c r="R554" s="39">
        <f>IF($A554="","",SUM($I554:$K554))</f>
        <v/>
      </c>
      <c r="S554" s="39">
        <f>IF($A554="","",($L554+$R554)-$Q554)</f>
        <v/>
      </c>
      <c r="T554" s="31">
        <f>IF(OR($A554="",$Q554=0),"",$S554/$Q554)</f>
        <v/>
      </c>
      <c r="U554" s="27">
        <f>IF($A554="","",IF($L554&gt;0,"Live","Exited"))</f>
        <v/>
      </c>
      <c r="V554" s="40">
        <f>IF($A554="","",IF($A554='Client Report'!$C$4,COUNTIFS($A$6:$A554,'Client Report'!$C$4),""))</f>
        <v/>
      </c>
    </row>
    <row r="555">
      <c r="A555" s="11" t="n"/>
      <c r="B555" s="11" t="n"/>
      <c r="C555" s="11" t="n"/>
      <c r="D555" s="11" t="n"/>
      <c r="E555" s="12" t="n"/>
      <c r="F555" s="34" t="n"/>
      <c r="G555" s="34" t="n"/>
      <c r="H555" s="34" t="n"/>
      <c r="I555" s="34" t="n"/>
      <c r="J555" s="34" t="n"/>
      <c r="K555" s="34" t="n"/>
      <c r="L555" s="34" t="n"/>
      <c r="M555" s="36" t="n"/>
      <c r="N555" s="36" t="n"/>
      <c r="O555" s="41" t="n"/>
      <c r="P555" s="27">
        <f>IF($B555="","",IFERROR(TRIM(LEFT($B555,FIND(" - ",$B555)-1)),"Others"))</f>
        <v/>
      </c>
      <c r="Q555" s="39">
        <f>IF($A555="","",SUM($F555:$H555))</f>
        <v/>
      </c>
      <c r="R555" s="39">
        <f>IF($A555="","",SUM($I555:$K555))</f>
        <v/>
      </c>
      <c r="S555" s="39">
        <f>IF($A555="","",($L555+$R555)-$Q555)</f>
        <v/>
      </c>
      <c r="T555" s="31">
        <f>IF(OR($A555="",$Q555=0),"",$S555/$Q555)</f>
        <v/>
      </c>
      <c r="U555" s="27">
        <f>IF($A555="","",IF($L555&gt;0,"Live","Exited"))</f>
        <v/>
      </c>
      <c r="V555" s="40">
        <f>IF($A555="","",IF($A555='Client Report'!$C$4,COUNTIFS($A$6:$A555,'Client Report'!$C$4),""))</f>
        <v/>
      </c>
    </row>
    <row r="556">
      <c r="A556" s="11" t="n"/>
      <c r="B556" s="11" t="n"/>
      <c r="C556" s="11" t="n"/>
      <c r="D556" s="11" t="n"/>
      <c r="E556" s="12" t="n"/>
      <c r="F556" s="34" t="n"/>
      <c r="G556" s="34" t="n"/>
      <c r="H556" s="34" t="n"/>
      <c r="I556" s="34" t="n"/>
      <c r="J556" s="34" t="n"/>
      <c r="K556" s="34" t="n"/>
      <c r="L556" s="34" t="n"/>
      <c r="M556" s="36" t="n"/>
      <c r="N556" s="36" t="n"/>
      <c r="O556" s="41" t="n"/>
      <c r="P556" s="27">
        <f>IF($B556="","",IFERROR(TRIM(LEFT($B556,FIND(" - ",$B556)-1)),"Others"))</f>
        <v/>
      </c>
      <c r="Q556" s="39">
        <f>IF($A556="","",SUM($F556:$H556))</f>
        <v/>
      </c>
      <c r="R556" s="39">
        <f>IF($A556="","",SUM($I556:$K556))</f>
        <v/>
      </c>
      <c r="S556" s="39">
        <f>IF($A556="","",($L556+$R556)-$Q556)</f>
        <v/>
      </c>
      <c r="T556" s="31">
        <f>IF(OR($A556="",$Q556=0),"",$S556/$Q556)</f>
        <v/>
      </c>
      <c r="U556" s="27">
        <f>IF($A556="","",IF($L556&gt;0,"Live","Exited"))</f>
        <v/>
      </c>
      <c r="V556" s="40">
        <f>IF($A556="","",IF($A556='Client Report'!$C$4,COUNTIFS($A$6:$A556,'Client Report'!$C$4),""))</f>
        <v/>
      </c>
    </row>
    <row r="557">
      <c r="A557" s="11" t="n"/>
      <c r="B557" s="11" t="n"/>
      <c r="C557" s="11" t="n"/>
      <c r="D557" s="11" t="n"/>
      <c r="E557" s="12" t="n"/>
      <c r="F557" s="34" t="n"/>
      <c r="G557" s="34" t="n"/>
      <c r="H557" s="34" t="n"/>
      <c r="I557" s="34" t="n"/>
      <c r="J557" s="34" t="n"/>
      <c r="K557" s="34" t="n"/>
      <c r="L557" s="34" t="n"/>
      <c r="M557" s="36" t="n"/>
      <c r="N557" s="36" t="n"/>
      <c r="O557" s="41" t="n"/>
      <c r="P557" s="27">
        <f>IF($B557="","",IFERROR(TRIM(LEFT($B557,FIND(" - ",$B557)-1)),"Others"))</f>
        <v/>
      </c>
      <c r="Q557" s="39">
        <f>IF($A557="","",SUM($F557:$H557))</f>
        <v/>
      </c>
      <c r="R557" s="39">
        <f>IF($A557="","",SUM($I557:$K557))</f>
        <v/>
      </c>
      <c r="S557" s="39">
        <f>IF($A557="","",($L557+$R557)-$Q557)</f>
        <v/>
      </c>
      <c r="T557" s="31">
        <f>IF(OR($A557="",$Q557=0),"",$S557/$Q557)</f>
        <v/>
      </c>
      <c r="U557" s="27">
        <f>IF($A557="","",IF($L557&gt;0,"Live","Exited"))</f>
        <v/>
      </c>
      <c r="V557" s="40">
        <f>IF($A557="","",IF($A557='Client Report'!$C$4,COUNTIFS($A$6:$A557,'Client Report'!$C$4),""))</f>
        <v/>
      </c>
    </row>
    <row r="558">
      <c r="A558" s="11" t="n"/>
      <c r="B558" s="11" t="n"/>
      <c r="C558" s="11" t="n"/>
      <c r="D558" s="11" t="n"/>
      <c r="E558" s="12" t="n"/>
      <c r="F558" s="34" t="n"/>
      <c r="G558" s="34" t="n"/>
      <c r="H558" s="34" t="n"/>
      <c r="I558" s="34" t="n"/>
      <c r="J558" s="34" t="n"/>
      <c r="K558" s="34" t="n"/>
      <c r="L558" s="34" t="n"/>
      <c r="M558" s="36" t="n"/>
      <c r="N558" s="36" t="n"/>
      <c r="O558" s="41" t="n"/>
      <c r="P558" s="27">
        <f>IF($B558="","",IFERROR(TRIM(LEFT($B558,FIND(" - ",$B558)-1)),"Others"))</f>
        <v/>
      </c>
      <c r="Q558" s="39">
        <f>IF($A558="","",SUM($F558:$H558))</f>
        <v/>
      </c>
      <c r="R558" s="39">
        <f>IF($A558="","",SUM($I558:$K558))</f>
        <v/>
      </c>
      <c r="S558" s="39">
        <f>IF($A558="","",($L558+$R558)-$Q558)</f>
        <v/>
      </c>
      <c r="T558" s="31">
        <f>IF(OR($A558="",$Q558=0),"",$S558/$Q558)</f>
        <v/>
      </c>
      <c r="U558" s="27">
        <f>IF($A558="","",IF($L558&gt;0,"Live","Exited"))</f>
        <v/>
      </c>
      <c r="V558" s="40">
        <f>IF($A558="","",IF($A558='Client Report'!$C$4,COUNTIFS($A$6:$A558,'Client Report'!$C$4),""))</f>
        <v/>
      </c>
    </row>
    <row r="559">
      <c r="A559" s="11" t="n"/>
      <c r="B559" s="11" t="n"/>
      <c r="C559" s="11" t="n"/>
      <c r="D559" s="11" t="n"/>
      <c r="E559" s="12" t="n"/>
      <c r="F559" s="34" t="n"/>
      <c r="G559" s="34" t="n"/>
      <c r="H559" s="34" t="n"/>
      <c r="I559" s="34" t="n"/>
      <c r="J559" s="34" t="n"/>
      <c r="K559" s="34" t="n"/>
      <c r="L559" s="34" t="n"/>
      <c r="M559" s="36" t="n"/>
      <c r="N559" s="36" t="n"/>
      <c r="O559" s="41" t="n"/>
      <c r="P559" s="27">
        <f>IF($B559="","",IFERROR(TRIM(LEFT($B559,FIND(" - ",$B559)-1)),"Others"))</f>
        <v/>
      </c>
      <c r="Q559" s="39">
        <f>IF($A559="","",SUM($F559:$H559))</f>
        <v/>
      </c>
      <c r="R559" s="39">
        <f>IF($A559="","",SUM($I559:$K559))</f>
        <v/>
      </c>
      <c r="S559" s="39">
        <f>IF($A559="","",($L559+$R559)-$Q559)</f>
        <v/>
      </c>
      <c r="T559" s="31">
        <f>IF(OR($A559="",$Q559=0),"",$S559/$Q559)</f>
        <v/>
      </c>
      <c r="U559" s="27">
        <f>IF($A559="","",IF($L559&gt;0,"Live","Exited"))</f>
        <v/>
      </c>
      <c r="V559" s="40">
        <f>IF($A559="","",IF($A559='Client Report'!$C$4,COUNTIFS($A$6:$A559,'Client Report'!$C$4),""))</f>
        <v/>
      </c>
    </row>
    <row r="560">
      <c r="A560" s="11" t="n"/>
      <c r="B560" s="11" t="n"/>
      <c r="C560" s="11" t="n"/>
      <c r="D560" s="11" t="n"/>
      <c r="E560" s="12" t="n"/>
      <c r="F560" s="34" t="n"/>
      <c r="G560" s="34" t="n"/>
      <c r="H560" s="34" t="n"/>
      <c r="I560" s="34" t="n"/>
      <c r="J560" s="34" t="n"/>
      <c r="K560" s="34" t="n"/>
      <c r="L560" s="34" t="n"/>
      <c r="M560" s="36" t="n"/>
      <c r="N560" s="36" t="n"/>
      <c r="O560" s="41" t="n"/>
      <c r="P560" s="27">
        <f>IF($B560="","",IFERROR(TRIM(LEFT($B560,FIND(" - ",$B560)-1)),"Others"))</f>
        <v/>
      </c>
      <c r="Q560" s="39">
        <f>IF($A560="","",SUM($F560:$H560))</f>
        <v/>
      </c>
      <c r="R560" s="39">
        <f>IF($A560="","",SUM($I560:$K560))</f>
        <v/>
      </c>
      <c r="S560" s="39">
        <f>IF($A560="","",($L560+$R560)-$Q560)</f>
        <v/>
      </c>
      <c r="T560" s="31">
        <f>IF(OR($A560="",$Q560=0),"",$S560/$Q560)</f>
        <v/>
      </c>
      <c r="U560" s="27">
        <f>IF($A560="","",IF($L560&gt;0,"Live","Exited"))</f>
        <v/>
      </c>
      <c r="V560" s="40">
        <f>IF($A560="","",IF($A560='Client Report'!$C$4,COUNTIFS($A$6:$A560,'Client Report'!$C$4),""))</f>
        <v/>
      </c>
    </row>
    <row r="561">
      <c r="A561" s="11" t="n"/>
      <c r="B561" s="11" t="n"/>
      <c r="C561" s="11" t="n"/>
      <c r="D561" s="11" t="n"/>
      <c r="E561" s="12" t="n"/>
      <c r="F561" s="34" t="n"/>
      <c r="G561" s="34" t="n"/>
      <c r="H561" s="34" t="n"/>
      <c r="I561" s="34" t="n"/>
      <c r="J561" s="34" t="n"/>
      <c r="K561" s="34" t="n"/>
      <c r="L561" s="34" t="n"/>
      <c r="M561" s="36" t="n"/>
      <c r="N561" s="36" t="n"/>
      <c r="O561" s="41" t="n"/>
      <c r="P561" s="27">
        <f>IF($B561="","",IFERROR(TRIM(LEFT($B561,FIND(" - ",$B561)-1)),"Others"))</f>
        <v/>
      </c>
      <c r="Q561" s="39">
        <f>IF($A561="","",SUM($F561:$H561))</f>
        <v/>
      </c>
      <c r="R561" s="39">
        <f>IF($A561="","",SUM($I561:$K561))</f>
        <v/>
      </c>
      <c r="S561" s="39">
        <f>IF($A561="","",($L561+$R561)-$Q561)</f>
        <v/>
      </c>
      <c r="T561" s="31">
        <f>IF(OR($A561="",$Q561=0),"",$S561/$Q561)</f>
        <v/>
      </c>
      <c r="U561" s="27">
        <f>IF($A561="","",IF($L561&gt;0,"Live","Exited"))</f>
        <v/>
      </c>
      <c r="V561" s="40">
        <f>IF($A561="","",IF($A561='Client Report'!$C$4,COUNTIFS($A$6:$A561,'Client Report'!$C$4),""))</f>
        <v/>
      </c>
    </row>
    <row r="562">
      <c r="A562" s="11" t="n"/>
      <c r="B562" s="11" t="n"/>
      <c r="C562" s="11" t="n"/>
      <c r="D562" s="11" t="n"/>
      <c r="E562" s="12" t="n"/>
      <c r="F562" s="34" t="n"/>
      <c r="G562" s="34" t="n"/>
      <c r="H562" s="34" t="n"/>
      <c r="I562" s="34" t="n"/>
      <c r="J562" s="34" t="n"/>
      <c r="K562" s="34" t="n"/>
      <c r="L562" s="34" t="n"/>
      <c r="M562" s="36" t="n"/>
      <c r="N562" s="36" t="n"/>
      <c r="O562" s="41" t="n"/>
      <c r="P562" s="27">
        <f>IF($B562="","",IFERROR(TRIM(LEFT($B562,FIND(" - ",$B562)-1)),"Others"))</f>
        <v/>
      </c>
      <c r="Q562" s="39">
        <f>IF($A562="","",SUM($F562:$H562))</f>
        <v/>
      </c>
      <c r="R562" s="39">
        <f>IF($A562="","",SUM($I562:$K562))</f>
        <v/>
      </c>
      <c r="S562" s="39">
        <f>IF($A562="","",($L562+$R562)-$Q562)</f>
        <v/>
      </c>
      <c r="T562" s="31">
        <f>IF(OR($A562="",$Q562=0),"",$S562/$Q562)</f>
        <v/>
      </c>
      <c r="U562" s="27">
        <f>IF($A562="","",IF($L562&gt;0,"Live","Exited"))</f>
        <v/>
      </c>
      <c r="V562" s="40">
        <f>IF($A562="","",IF($A562='Client Report'!$C$4,COUNTIFS($A$6:$A562,'Client Report'!$C$4),""))</f>
        <v/>
      </c>
    </row>
    <row r="563">
      <c r="A563" s="11" t="n"/>
      <c r="B563" s="11" t="n"/>
      <c r="C563" s="11" t="n"/>
      <c r="D563" s="11" t="n"/>
      <c r="E563" s="12" t="n"/>
      <c r="F563" s="34" t="n"/>
      <c r="G563" s="34" t="n"/>
      <c r="H563" s="34" t="n"/>
      <c r="I563" s="34" t="n"/>
      <c r="J563" s="34" t="n"/>
      <c r="K563" s="34" t="n"/>
      <c r="L563" s="34" t="n"/>
      <c r="M563" s="36" t="n"/>
      <c r="N563" s="36" t="n"/>
      <c r="O563" s="41" t="n"/>
      <c r="P563" s="27">
        <f>IF($B563="","",IFERROR(TRIM(LEFT($B563,FIND(" - ",$B563)-1)),"Others"))</f>
        <v/>
      </c>
      <c r="Q563" s="39">
        <f>IF($A563="","",SUM($F563:$H563))</f>
        <v/>
      </c>
      <c r="R563" s="39">
        <f>IF($A563="","",SUM($I563:$K563))</f>
        <v/>
      </c>
      <c r="S563" s="39">
        <f>IF($A563="","",($L563+$R563)-$Q563)</f>
        <v/>
      </c>
      <c r="T563" s="31">
        <f>IF(OR($A563="",$Q563=0),"",$S563/$Q563)</f>
        <v/>
      </c>
      <c r="U563" s="27">
        <f>IF($A563="","",IF($L563&gt;0,"Live","Exited"))</f>
        <v/>
      </c>
      <c r="V563" s="40">
        <f>IF($A563="","",IF($A563='Client Report'!$C$4,COUNTIFS($A$6:$A563,'Client Report'!$C$4),""))</f>
        <v/>
      </c>
    </row>
    <row r="564">
      <c r="A564" s="11" t="n"/>
      <c r="B564" s="11" t="n"/>
      <c r="C564" s="11" t="n"/>
      <c r="D564" s="11" t="n"/>
      <c r="E564" s="12" t="n"/>
      <c r="F564" s="34" t="n"/>
      <c r="G564" s="34" t="n"/>
      <c r="H564" s="34" t="n"/>
      <c r="I564" s="34" t="n"/>
      <c r="J564" s="34" t="n"/>
      <c r="K564" s="34" t="n"/>
      <c r="L564" s="34" t="n"/>
      <c r="M564" s="36" t="n"/>
      <c r="N564" s="36" t="n"/>
      <c r="O564" s="41" t="n"/>
      <c r="P564" s="27">
        <f>IF($B564="","",IFERROR(TRIM(LEFT($B564,FIND(" - ",$B564)-1)),"Others"))</f>
        <v/>
      </c>
      <c r="Q564" s="39">
        <f>IF($A564="","",SUM($F564:$H564))</f>
        <v/>
      </c>
      <c r="R564" s="39">
        <f>IF($A564="","",SUM($I564:$K564))</f>
        <v/>
      </c>
      <c r="S564" s="39">
        <f>IF($A564="","",($L564+$R564)-$Q564)</f>
        <v/>
      </c>
      <c r="T564" s="31">
        <f>IF(OR($A564="",$Q564=0),"",$S564/$Q564)</f>
        <v/>
      </c>
      <c r="U564" s="27">
        <f>IF($A564="","",IF($L564&gt;0,"Live","Exited"))</f>
        <v/>
      </c>
      <c r="V564" s="40">
        <f>IF($A564="","",IF($A564='Client Report'!$C$4,COUNTIFS($A$6:$A564,'Client Report'!$C$4),""))</f>
        <v/>
      </c>
    </row>
    <row r="565">
      <c r="A565" s="11" t="n"/>
      <c r="B565" s="11" t="n"/>
      <c r="C565" s="11" t="n"/>
      <c r="D565" s="11" t="n"/>
      <c r="E565" s="12" t="n"/>
      <c r="F565" s="34" t="n"/>
      <c r="G565" s="34" t="n"/>
      <c r="H565" s="34" t="n"/>
      <c r="I565" s="34" t="n"/>
      <c r="J565" s="34" t="n"/>
      <c r="K565" s="34" t="n"/>
      <c r="L565" s="34" t="n"/>
      <c r="M565" s="36" t="n"/>
      <c r="N565" s="36" t="n"/>
      <c r="O565" s="41" t="n"/>
      <c r="P565" s="27">
        <f>IF($B565="","",IFERROR(TRIM(LEFT($B565,FIND(" - ",$B565)-1)),"Others"))</f>
        <v/>
      </c>
      <c r="Q565" s="39">
        <f>IF($A565="","",SUM($F565:$H565))</f>
        <v/>
      </c>
      <c r="R565" s="39">
        <f>IF($A565="","",SUM($I565:$K565))</f>
        <v/>
      </c>
      <c r="S565" s="39">
        <f>IF($A565="","",($L565+$R565)-$Q565)</f>
        <v/>
      </c>
      <c r="T565" s="31">
        <f>IF(OR($A565="",$Q565=0),"",$S565/$Q565)</f>
        <v/>
      </c>
      <c r="U565" s="27">
        <f>IF($A565="","",IF($L565&gt;0,"Live","Exited"))</f>
        <v/>
      </c>
      <c r="V565" s="40">
        <f>IF($A565="","",IF($A565='Client Report'!$C$4,COUNTIFS($A$6:$A565,'Client Report'!$C$4),""))</f>
        <v/>
      </c>
    </row>
    <row r="566">
      <c r="A566" s="11" t="n"/>
      <c r="B566" s="11" t="n"/>
      <c r="C566" s="11" t="n"/>
      <c r="D566" s="11" t="n"/>
      <c r="E566" s="12" t="n"/>
      <c r="F566" s="34" t="n"/>
      <c r="G566" s="34" t="n"/>
      <c r="H566" s="34" t="n"/>
      <c r="I566" s="34" t="n"/>
      <c r="J566" s="34" t="n"/>
      <c r="K566" s="34" t="n"/>
      <c r="L566" s="34" t="n"/>
      <c r="M566" s="36" t="n"/>
      <c r="N566" s="36" t="n"/>
      <c r="O566" s="41" t="n"/>
      <c r="P566" s="27">
        <f>IF($B566="","",IFERROR(TRIM(LEFT($B566,FIND(" - ",$B566)-1)),"Others"))</f>
        <v/>
      </c>
      <c r="Q566" s="39">
        <f>IF($A566="","",SUM($F566:$H566))</f>
        <v/>
      </c>
      <c r="R566" s="39">
        <f>IF($A566="","",SUM($I566:$K566))</f>
        <v/>
      </c>
      <c r="S566" s="39">
        <f>IF($A566="","",($L566+$R566)-$Q566)</f>
        <v/>
      </c>
      <c r="T566" s="31">
        <f>IF(OR($A566="",$Q566=0),"",$S566/$Q566)</f>
        <v/>
      </c>
      <c r="U566" s="27">
        <f>IF($A566="","",IF($L566&gt;0,"Live","Exited"))</f>
        <v/>
      </c>
      <c r="V566" s="40">
        <f>IF($A566="","",IF($A566='Client Report'!$C$4,COUNTIFS($A$6:$A566,'Client Report'!$C$4),""))</f>
        <v/>
      </c>
    </row>
    <row r="567">
      <c r="A567" s="11" t="n"/>
      <c r="B567" s="11" t="n"/>
      <c r="C567" s="11" t="n"/>
      <c r="D567" s="11" t="n"/>
      <c r="E567" s="12" t="n"/>
      <c r="F567" s="34" t="n"/>
      <c r="G567" s="34" t="n"/>
      <c r="H567" s="34" t="n"/>
      <c r="I567" s="34" t="n"/>
      <c r="J567" s="34" t="n"/>
      <c r="K567" s="34" t="n"/>
      <c r="L567" s="34" t="n"/>
      <c r="M567" s="36" t="n"/>
      <c r="N567" s="36" t="n"/>
      <c r="O567" s="41" t="n"/>
      <c r="P567" s="27">
        <f>IF($B567="","",IFERROR(TRIM(LEFT($B567,FIND(" - ",$B567)-1)),"Others"))</f>
        <v/>
      </c>
      <c r="Q567" s="39">
        <f>IF($A567="","",SUM($F567:$H567))</f>
        <v/>
      </c>
      <c r="R567" s="39">
        <f>IF($A567="","",SUM($I567:$K567))</f>
        <v/>
      </c>
      <c r="S567" s="39">
        <f>IF($A567="","",($L567+$R567)-$Q567)</f>
        <v/>
      </c>
      <c r="T567" s="31">
        <f>IF(OR($A567="",$Q567=0),"",$S567/$Q567)</f>
        <v/>
      </c>
      <c r="U567" s="27">
        <f>IF($A567="","",IF($L567&gt;0,"Live","Exited"))</f>
        <v/>
      </c>
      <c r="V567" s="40">
        <f>IF($A567="","",IF($A567='Client Report'!$C$4,COUNTIFS($A$6:$A567,'Client Report'!$C$4),""))</f>
        <v/>
      </c>
    </row>
    <row r="568">
      <c r="A568" s="11" t="n"/>
      <c r="B568" s="11" t="n"/>
      <c r="C568" s="11" t="n"/>
      <c r="D568" s="11" t="n"/>
      <c r="E568" s="12" t="n"/>
      <c r="F568" s="34" t="n"/>
      <c r="G568" s="34" t="n"/>
      <c r="H568" s="34" t="n"/>
      <c r="I568" s="34" t="n"/>
      <c r="J568" s="34" t="n"/>
      <c r="K568" s="34" t="n"/>
      <c r="L568" s="34" t="n"/>
      <c r="M568" s="36" t="n"/>
      <c r="N568" s="36" t="n"/>
      <c r="O568" s="41" t="n"/>
      <c r="P568" s="27">
        <f>IF($B568="","",IFERROR(TRIM(LEFT($B568,FIND(" - ",$B568)-1)),"Others"))</f>
        <v/>
      </c>
      <c r="Q568" s="39">
        <f>IF($A568="","",SUM($F568:$H568))</f>
        <v/>
      </c>
      <c r="R568" s="39">
        <f>IF($A568="","",SUM($I568:$K568))</f>
        <v/>
      </c>
      <c r="S568" s="39">
        <f>IF($A568="","",($L568+$R568)-$Q568)</f>
        <v/>
      </c>
      <c r="T568" s="31">
        <f>IF(OR($A568="",$Q568=0),"",$S568/$Q568)</f>
        <v/>
      </c>
      <c r="U568" s="27">
        <f>IF($A568="","",IF($L568&gt;0,"Live","Exited"))</f>
        <v/>
      </c>
      <c r="V568" s="40">
        <f>IF($A568="","",IF($A568='Client Report'!$C$4,COUNTIFS($A$6:$A568,'Client Report'!$C$4),""))</f>
        <v/>
      </c>
    </row>
    <row r="569">
      <c r="A569" s="11" t="n"/>
      <c r="B569" s="11" t="n"/>
      <c r="C569" s="11" t="n"/>
      <c r="D569" s="11" t="n"/>
      <c r="E569" s="12" t="n"/>
      <c r="F569" s="34" t="n"/>
      <c r="G569" s="34" t="n"/>
      <c r="H569" s="34" t="n"/>
      <c r="I569" s="34" t="n"/>
      <c r="J569" s="34" t="n"/>
      <c r="K569" s="34" t="n"/>
      <c r="L569" s="34" t="n"/>
      <c r="M569" s="36" t="n"/>
      <c r="N569" s="36" t="n"/>
      <c r="O569" s="41" t="n"/>
      <c r="P569" s="27">
        <f>IF($B569="","",IFERROR(TRIM(LEFT($B569,FIND(" - ",$B569)-1)),"Others"))</f>
        <v/>
      </c>
      <c r="Q569" s="39">
        <f>IF($A569="","",SUM($F569:$H569))</f>
        <v/>
      </c>
      <c r="R569" s="39">
        <f>IF($A569="","",SUM($I569:$K569))</f>
        <v/>
      </c>
      <c r="S569" s="39">
        <f>IF($A569="","",($L569+$R569)-$Q569)</f>
        <v/>
      </c>
      <c r="T569" s="31">
        <f>IF(OR($A569="",$Q569=0),"",$S569/$Q569)</f>
        <v/>
      </c>
      <c r="U569" s="27">
        <f>IF($A569="","",IF($L569&gt;0,"Live","Exited"))</f>
        <v/>
      </c>
      <c r="V569" s="40">
        <f>IF($A569="","",IF($A569='Client Report'!$C$4,COUNTIFS($A$6:$A569,'Client Report'!$C$4),""))</f>
        <v/>
      </c>
    </row>
    <row r="570">
      <c r="A570" s="11" t="n"/>
      <c r="B570" s="11" t="n"/>
      <c r="C570" s="11" t="n"/>
      <c r="D570" s="11" t="n"/>
      <c r="E570" s="12" t="n"/>
      <c r="F570" s="34" t="n"/>
      <c r="G570" s="34" t="n"/>
      <c r="H570" s="34" t="n"/>
      <c r="I570" s="34" t="n"/>
      <c r="J570" s="34" t="n"/>
      <c r="K570" s="34" t="n"/>
      <c r="L570" s="34" t="n"/>
      <c r="M570" s="36" t="n"/>
      <c r="N570" s="36" t="n"/>
      <c r="O570" s="41" t="n"/>
      <c r="P570" s="27">
        <f>IF($B570="","",IFERROR(TRIM(LEFT($B570,FIND(" - ",$B570)-1)),"Others"))</f>
        <v/>
      </c>
      <c r="Q570" s="39">
        <f>IF($A570="","",SUM($F570:$H570))</f>
        <v/>
      </c>
      <c r="R570" s="39">
        <f>IF($A570="","",SUM($I570:$K570))</f>
        <v/>
      </c>
      <c r="S570" s="39">
        <f>IF($A570="","",($L570+$R570)-$Q570)</f>
        <v/>
      </c>
      <c r="T570" s="31">
        <f>IF(OR($A570="",$Q570=0),"",$S570/$Q570)</f>
        <v/>
      </c>
      <c r="U570" s="27">
        <f>IF($A570="","",IF($L570&gt;0,"Live","Exited"))</f>
        <v/>
      </c>
      <c r="V570" s="40">
        <f>IF($A570="","",IF($A570='Client Report'!$C$4,COUNTIFS($A$6:$A570,'Client Report'!$C$4),""))</f>
        <v/>
      </c>
    </row>
    <row r="571">
      <c r="A571" s="11" t="n"/>
      <c r="B571" s="11" t="n"/>
      <c r="C571" s="11" t="n"/>
      <c r="D571" s="11" t="n"/>
      <c r="E571" s="12" t="n"/>
      <c r="F571" s="34" t="n"/>
      <c r="G571" s="34" t="n"/>
      <c r="H571" s="34" t="n"/>
      <c r="I571" s="34" t="n"/>
      <c r="J571" s="34" t="n"/>
      <c r="K571" s="34" t="n"/>
      <c r="L571" s="34" t="n"/>
      <c r="M571" s="36" t="n"/>
      <c r="N571" s="36" t="n"/>
      <c r="O571" s="41" t="n"/>
      <c r="P571" s="27">
        <f>IF($B571="","",IFERROR(TRIM(LEFT($B571,FIND(" - ",$B571)-1)),"Others"))</f>
        <v/>
      </c>
      <c r="Q571" s="39">
        <f>IF($A571="","",SUM($F571:$H571))</f>
        <v/>
      </c>
      <c r="R571" s="39">
        <f>IF($A571="","",SUM($I571:$K571))</f>
        <v/>
      </c>
      <c r="S571" s="39">
        <f>IF($A571="","",($L571+$R571)-$Q571)</f>
        <v/>
      </c>
      <c r="T571" s="31">
        <f>IF(OR($A571="",$Q571=0),"",$S571/$Q571)</f>
        <v/>
      </c>
      <c r="U571" s="27">
        <f>IF($A571="","",IF($L571&gt;0,"Live","Exited"))</f>
        <v/>
      </c>
      <c r="V571" s="40">
        <f>IF($A571="","",IF($A571='Client Report'!$C$4,COUNTIFS($A$6:$A571,'Client Report'!$C$4),""))</f>
        <v/>
      </c>
    </row>
    <row r="572">
      <c r="A572" s="11" t="n"/>
      <c r="B572" s="11" t="n"/>
      <c r="C572" s="11" t="n"/>
      <c r="D572" s="11" t="n"/>
      <c r="E572" s="12" t="n"/>
      <c r="F572" s="34" t="n"/>
      <c r="G572" s="34" t="n"/>
      <c r="H572" s="34" t="n"/>
      <c r="I572" s="34" t="n"/>
      <c r="J572" s="34" t="n"/>
      <c r="K572" s="34" t="n"/>
      <c r="L572" s="34" t="n"/>
      <c r="M572" s="36" t="n"/>
      <c r="N572" s="36" t="n"/>
      <c r="O572" s="41" t="n"/>
      <c r="P572" s="27">
        <f>IF($B572="","",IFERROR(TRIM(LEFT($B572,FIND(" - ",$B572)-1)),"Others"))</f>
        <v/>
      </c>
      <c r="Q572" s="39">
        <f>IF($A572="","",SUM($F572:$H572))</f>
        <v/>
      </c>
      <c r="R572" s="39">
        <f>IF($A572="","",SUM($I572:$K572))</f>
        <v/>
      </c>
      <c r="S572" s="39">
        <f>IF($A572="","",($L572+$R572)-$Q572)</f>
        <v/>
      </c>
      <c r="T572" s="31">
        <f>IF(OR($A572="",$Q572=0),"",$S572/$Q572)</f>
        <v/>
      </c>
      <c r="U572" s="27">
        <f>IF($A572="","",IF($L572&gt;0,"Live","Exited"))</f>
        <v/>
      </c>
      <c r="V572" s="40">
        <f>IF($A572="","",IF($A572='Client Report'!$C$4,COUNTIFS($A$6:$A572,'Client Report'!$C$4),""))</f>
        <v/>
      </c>
    </row>
    <row r="573">
      <c r="A573" s="11" t="n"/>
      <c r="B573" s="11" t="n"/>
      <c r="C573" s="11" t="n"/>
      <c r="D573" s="11" t="n"/>
      <c r="E573" s="12" t="n"/>
      <c r="F573" s="34" t="n"/>
      <c r="G573" s="34" t="n"/>
      <c r="H573" s="34" t="n"/>
      <c r="I573" s="34" t="n"/>
      <c r="J573" s="34" t="n"/>
      <c r="K573" s="34" t="n"/>
      <c r="L573" s="34" t="n"/>
      <c r="M573" s="36" t="n"/>
      <c r="N573" s="36" t="n"/>
      <c r="O573" s="41" t="n"/>
      <c r="P573" s="27">
        <f>IF($B573="","",IFERROR(TRIM(LEFT($B573,FIND(" - ",$B573)-1)),"Others"))</f>
        <v/>
      </c>
      <c r="Q573" s="39">
        <f>IF($A573="","",SUM($F573:$H573))</f>
        <v/>
      </c>
      <c r="R573" s="39">
        <f>IF($A573="","",SUM($I573:$K573))</f>
        <v/>
      </c>
      <c r="S573" s="39">
        <f>IF($A573="","",($L573+$R573)-$Q573)</f>
        <v/>
      </c>
      <c r="T573" s="31">
        <f>IF(OR($A573="",$Q573=0),"",$S573/$Q573)</f>
        <v/>
      </c>
      <c r="U573" s="27">
        <f>IF($A573="","",IF($L573&gt;0,"Live","Exited"))</f>
        <v/>
      </c>
      <c r="V573" s="40">
        <f>IF($A573="","",IF($A573='Client Report'!$C$4,COUNTIFS($A$6:$A573,'Client Report'!$C$4),""))</f>
        <v/>
      </c>
    </row>
    <row r="574">
      <c r="A574" s="11" t="n"/>
      <c r="B574" s="11" t="n"/>
      <c r="C574" s="11" t="n"/>
      <c r="D574" s="11" t="n"/>
      <c r="E574" s="12" t="n"/>
      <c r="F574" s="34" t="n"/>
      <c r="G574" s="34" t="n"/>
      <c r="H574" s="34" t="n"/>
      <c r="I574" s="34" t="n"/>
      <c r="J574" s="34" t="n"/>
      <c r="K574" s="34" t="n"/>
      <c r="L574" s="34" t="n"/>
      <c r="M574" s="36" t="n"/>
      <c r="N574" s="36" t="n"/>
      <c r="O574" s="41" t="n"/>
      <c r="P574" s="27">
        <f>IF($B574="","",IFERROR(TRIM(LEFT($B574,FIND(" - ",$B574)-1)),"Others"))</f>
        <v/>
      </c>
      <c r="Q574" s="39">
        <f>IF($A574="","",SUM($F574:$H574))</f>
        <v/>
      </c>
      <c r="R574" s="39">
        <f>IF($A574="","",SUM($I574:$K574))</f>
        <v/>
      </c>
      <c r="S574" s="39">
        <f>IF($A574="","",($L574+$R574)-$Q574)</f>
        <v/>
      </c>
      <c r="T574" s="31">
        <f>IF(OR($A574="",$Q574=0),"",$S574/$Q574)</f>
        <v/>
      </c>
      <c r="U574" s="27">
        <f>IF($A574="","",IF($L574&gt;0,"Live","Exited"))</f>
        <v/>
      </c>
      <c r="V574" s="40">
        <f>IF($A574="","",IF($A574='Client Report'!$C$4,COUNTIFS($A$6:$A574,'Client Report'!$C$4),""))</f>
        <v/>
      </c>
    </row>
    <row r="575">
      <c r="A575" s="11" t="n"/>
      <c r="B575" s="11" t="n"/>
      <c r="C575" s="11" t="n"/>
      <c r="D575" s="11" t="n"/>
      <c r="E575" s="12" t="n"/>
      <c r="F575" s="34" t="n"/>
      <c r="G575" s="34" t="n"/>
      <c r="H575" s="34" t="n"/>
      <c r="I575" s="34" t="n"/>
      <c r="J575" s="34" t="n"/>
      <c r="K575" s="34" t="n"/>
      <c r="L575" s="34" t="n"/>
      <c r="M575" s="36" t="n"/>
      <c r="N575" s="36" t="n"/>
      <c r="O575" s="41" t="n"/>
      <c r="P575" s="27">
        <f>IF($B575="","",IFERROR(TRIM(LEFT($B575,FIND(" - ",$B575)-1)),"Others"))</f>
        <v/>
      </c>
      <c r="Q575" s="39">
        <f>IF($A575="","",SUM($F575:$H575))</f>
        <v/>
      </c>
      <c r="R575" s="39">
        <f>IF($A575="","",SUM($I575:$K575))</f>
        <v/>
      </c>
      <c r="S575" s="39">
        <f>IF($A575="","",($L575+$R575)-$Q575)</f>
        <v/>
      </c>
      <c r="T575" s="31">
        <f>IF(OR($A575="",$Q575=0),"",$S575/$Q575)</f>
        <v/>
      </c>
      <c r="U575" s="27">
        <f>IF($A575="","",IF($L575&gt;0,"Live","Exited"))</f>
        <v/>
      </c>
      <c r="V575" s="40">
        <f>IF($A575="","",IF($A575='Client Report'!$C$4,COUNTIFS($A$6:$A575,'Client Report'!$C$4),""))</f>
        <v/>
      </c>
    </row>
    <row r="576">
      <c r="A576" s="11" t="n"/>
      <c r="B576" s="11" t="n"/>
      <c r="C576" s="11" t="n"/>
      <c r="D576" s="11" t="n"/>
      <c r="E576" s="12" t="n"/>
      <c r="F576" s="34" t="n"/>
      <c r="G576" s="34" t="n"/>
      <c r="H576" s="34" t="n"/>
      <c r="I576" s="34" t="n"/>
      <c r="J576" s="34" t="n"/>
      <c r="K576" s="34" t="n"/>
      <c r="L576" s="34" t="n"/>
      <c r="M576" s="36" t="n"/>
      <c r="N576" s="36" t="n"/>
      <c r="O576" s="41" t="n"/>
      <c r="P576" s="27">
        <f>IF($B576="","",IFERROR(TRIM(LEFT($B576,FIND(" - ",$B576)-1)),"Others"))</f>
        <v/>
      </c>
      <c r="Q576" s="39">
        <f>IF($A576="","",SUM($F576:$H576))</f>
        <v/>
      </c>
      <c r="R576" s="39">
        <f>IF($A576="","",SUM($I576:$K576))</f>
        <v/>
      </c>
      <c r="S576" s="39">
        <f>IF($A576="","",($L576+$R576)-$Q576)</f>
        <v/>
      </c>
      <c r="T576" s="31">
        <f>IF(OR($A576="",$Q576=0),"",$S576/$Q576)</f>
        <v/>
      </c>
      <c r="U576" s="27">
        <f>IF($A576="","",IF($L576&gt;0,"Live","Exited"))</f>
        <v/>
      </c>
      <c r="V576" s="40">
        <f>IF($A576="","",IF($A576='Client Report'!$C$4,COUNTIFS($A$6:$A576,'Client Report'!$C$4),""))</f>
        <v/>
      </c>
    </row>
    <row r="577">
      <c r="A577" s="11" t="n"/>
      <c r="B577" s="11" t="n"/>
      <c r="C577" s="11" t="n"/>
      <c r="D577" s="11" t="n"/>
      <c r="E577" s="12" t="n"/>
      <c r="F577" s="34" t="n"/>
      <c r="G577" s="34" t="n"/>
      <c r="H577" s="34" t="n"/>
      <c r="I577" s="34" t="n"/>
      <c r="J577" s="34" t="n"/>
      <c r="K577" s="34" t="n"/>
      <c r="L577" s="34" t="n"/>
      <c r="M577" s="36" t="n"/>
      <c r="N577" s="36" t="n"/>
      <c r="O577" s="41" t="n"/>
      <c r="P577" s="27">
        <f>IF($B577="","",IFERROR(TRIM(LEFT($B577,FIND(" - ",$B577)-1)),"Others"))</f>
        <v/>
      </c>
      <c r="Q577" s="39">
        <f>IF($A577="","",SUM($F577:$H577))</f>
        <v/>
      </c>
      <c r="R577" s="39">
        <f>IF($A577="","",SUM($I577:$K577))</f>
        <v/>
      </c>
      <c r="S577" s="39">
        <f>IF($A577="","",($L577+$R577)-$Q577)</f>
        <v/>
      </c>
      <c r="T577" s="31">
        <f>IF(OR($A577="",$Q577=0),"",$S577/$Q577)</f>
        <v/>
      </c>
      <c r="U577" s="27">
        <f>IF($A577="","",IF($L577&gt;0,"Live","Exited"))</f>
        <v/>
      </c>
      <c r="V577" s="40">
        <f>IF($A577="","",IF($A577='Client Report'!$C$4,COUNTIFS($A$6:$A577,'Client Report'!$C$4),""))</f>
        <v/>
      </c>
    </row>
    <row r="578">
      <c r="A578" s="11" t="n"/>
      <c r="B578" s="11" t="n"/>
      <c r="C578" s="11" t="n"/>
      <c r="D578" s="11" t="n"/>
      <c r="E578" s="12" t="n"/>
      <c r="F578" s="34" t="n"/>
      <c r="G578" s="34" t="n"/>
      <c r="H578" s="34" t="n"/>
      <c r="I578" s="34" t="n"/>
      <c r="J578" s="34" t="n"/>
      <c r="K578" s="34" t="n"/>
      <c r="L578" s="34" t="n"/>
      <c r="M578" s="36" t="n"/>
      <c r="N578" s="36" t="n"/>
      <c r="O578" s="41" t="n"/>
      <c r="P578" s="27">
        <f>IF($B578="","",IFERROR(TRIM(LEFT($B578,FIND(" - ",$B578)-1)),"Others"))</f>
        <v/>
      </c>
      <c r="Q578" s="39">
        <f>IF($A578="","",SUM($F578:$H578))</f>
        <v/>
      </c>
      <c r="R578" s="39">
        <f>IF($A578="","",SUM($I578:$K578))</f>
        <v/>
      </c>
      <c r="S578" s="39">
        <f>IF($A578="","",($L578+$R578)-$Q578)</f>
        <v/>
      </c>
      <c r="T578" s="31">
        <f>IF(OR($A578="",$Q578=0),"",$S578/$Q578)</f>
        <v/>
      </c>
      <c r="U578" s="27">
        <f>IF($A578="","",IF($L578&gt;0,"Live","Exited"))</f>
        <v/>
      </c>
      <c r="V578" s="40">
        <f>IF($A578="","",IF($A578='Client Report'!$C$4,COUNTIFS($A$6:$A578,'Client Report'!$C$4),""))</f>
        <v/>
      </c>
    </row>
    <row r="579">
      <c r="A579" s="11" t="n"/>
      <c r="B579" s="11" t="n"/>
      <c r="C579" s="11" t="n"/>
      <c r="D579" s="11" t="n"/>
      <c r="E579" s="12" t="n"/>
      <c r="F579" s="34" t="n"/>
      <c r="G579" s="34" t="n"/>
      <c r="H579" s="34" t="n"/>
      <c r="I579" s="34" t="n"/>
      <c r="J579" s="34" t="n"/>
      <c r="K579" s="34" t="n"/>
      <c r="L579" s="34" t="n"/>
      <c r="M579" s="36" t="n"/>
      <c r="N579" s="36" t="n"/>
      <c r="O579" s="41" t="n"/>
      <c r="P579" s="27">
        <f>IF($B579="","",IFERROR(TRIM(LEFT($B579,FIND(" - ",$B579)-1)),"Others"))</f>
        <v/>
      </c>
      <c r="Q579" s="39">
        <f>IF($A579="","",SUM($F579:$H579))</f>
        <v/>
      </c>
      <c r="R579" s="39">
        <f>IF($A579="","",SUM($I579:$K579))</f>
        <v/>
      </c>
      <c r="S579" s="39">
        <f>IF($A579="","",($L579+$R579)-$Q579)</f>
        <v/>
      </c>
      <c r="T579" s="31">
        <f>IF(OR($A579="",$Q579=0),"",$S579/$Q579)</f>
        <v/>
      </c>
      <c r="U579" s="27">
        <f>IF($A579="","",IF($L579&gt;0,"Live","Exited"))</f>
        <v/>
      </c>
      <c r="V579" s="40">
        <f>IF($A579="","",IF($A579='Client Report'!$C$4,COUNTIFS($A$6:$A579,'Client Report'!$C$4),""))</f>
        <v/>
      </c>
    </row>
    <row r="580">
      <c r="A580" s="11" t="n"/>
      <c r="B580" s="11" t="n"/>
      <c r="C580" s="11" t="n"/>
      <c r="D580" s="11" t="n"/>
      <c r="E580" s="12" t="n"/>
      <c r="F580" s="34" t="n"/>
      <c r="G580" s="34" t="n"/>
      <c r="H580" s="34" t="n"/>
      <c r="I580" s="34" t="n"/>
      <c r="J580" s="34" t="n"/>
      <c r="K580" s="34" t="n"/>
      <c r="L580" s="34" t="n"/>
      <c r="M580" s="36" t="n"/>
      <c r="N580" s="36" t="n"/>
      <c r="O580" s="41" t="n"/>
      <c r="P580" s="27">
        <f>IF($B580="","",IFERROR(TRIM(LEFT($B580,FIND(" - ",$B580)-1)),"Others"))</f>
        <v/>
      </c>
      <c r="Q580" s="39">
        <f>IF($A580="","",SUM($F580:$H580))</f>
        <v/>
      </c>
      <c r="R580" s="39">
        <f>IF($A580="","",SUM($I580:$K580))</f>
        <v/>
      </c>
      <c r="S580" s="39">
        <f>IF($A580="","",($L580+$R580)-$Q580)</f>
        <v/>
      </c>
      <c r="T580" s="31">
        <f>IF(OR($A580="",$Q580=0),"",$S580/$Q580)</f>
        <v/>
      </c>
      <c r="U580" s="27">
        <f>IF($A580="","",IF($L580&gt;0,"Live","Exited"))</f>
        <v/>
      </c>
      <c r="V580" s="40">
        <f>IF($A580="","",IF($A580='Client Report'!$C$4,COUNTIFS($A$6:$A580,'Client Report'!$C$4),""))</f>
        <v/>
      </c>
    </row>
    <row r="581">
      <c r="A581" s="11" t="n"/>
      <c r="B581" s="11" t="n"/>
      <c r="C581" s="11" t="n"/>
      <c r="D581" s="11" t="n"/>
      <c r="E581" s="12" t="n"/>
      <c r="F581" s="34" t="n"/>
      <c r="G581" s="34" t="n"/>
      <c r="H581" s="34" t="n"/>
      <c r="I581" s="34" t="n"/>
      <c r="J581" s="34" t="n"/>
      <c r="K581" s="34" t="n"/>
      <c r="L581" s="34" t="n"/>
      <c r="M581" s="36" t="n"/>
      <c r="N581" s="36" t="n"/>
      <c r="O581" s="41" t="n"/>
      <c r="P581" s="27">
        <f>IF($B581="","",IFERROR(TRIM(LEFT($B581,FIND(" - ",$B581)-1)),"Others"))</f>
        <v/>
      </c>
      <c r="Q581" s="39">
        <f>IF($A581="","",SUM($F581:$H581))</f>
        <v/>
      </c>
      <c r="R581" s="39">
        <f>IF($A581="","",SUM($I581:$K581))</f>
        <v/>
      </c>
      <c r="S581" s="39">
        <f>IF($A581="","",($L581+$R581)-$Q581)</f>
        <v/>
      </c>
      <c r="T581" s="31">
        <f>IF(OR($A581="",$Q581=0),"",$S581/$Q581)</f>
        <v/>
      </c>
      <c r="U581" s="27">
        <f>IF($A581="","",IF($L581&gt;0,"Live","Exited"))</f>
        <v/>
      </c>
      <c r="V581" s="40">
        <f>IF($A581="","",IF($A581='Client Report'!$C$4,COUNTIFS($A$6:$A581,'Client Report'!$C$4),""))</f>
        <v/>
      </c>
    </row>
    <row r="582">
      <c r="A582" s="11" t="n"/>
      <c r="B582" s="11" t="n"/>
      <c r="C582" s="11" t="n"/>
      <c r="D582" s="11" t="n"/>
      <c r="E582" s="12" t="n"/>
      <c r="F582" s="34" t="n"/>
      <c r="G582" s="34" t="n"/>
      <c r="H582" s="34" t="n"/>
      <c r="I582" s="34" t="n"/>
      <c r="J582" s="34" t="n"/>
      <c r="K582" s="34" t="n"/>
      <c r="L582" s="34" t="n"/>
      <c r="M582" s="36" t="n"/>
      <c r="N582" s="36" t="n"/>
      <c r="O582" s="41" t="n"/>
      <c r="P582" s="27">
        <f>IF($B582="","",IFERROR(TRIM(LEFT($B582,FIND(" - ",$B582)-1)),"Others"))</f>
        <v/>
      </c>
      <c r="Q582" s="39">
        <f>IF($A582="","",SUM($F582:$H582))</f>
        <v/>
      </c>
      <c r="R582" s="39">
        <f>IF($A582="","",SUM($I582:$K582))</f>
        <v/>
      </c>
      <c r="S582" s="39">
        <f>IF($A582="","",($L582+$R582)-$Q582)</f>
        <v/>
      </c>
      <c r="T582" s="31">
        <f>IF(OR($A582="",$Q582=0),"",$S582/$Q582)</f>
        <v/>
      </c>
      <c r="U582" s="27">
        <f>IF($A582="","",IF($L582&gt;0,"Live","Exited"))</f>
        <v/>
      </c>
      <c r="V582" s="40">
        <f>IF($A582="","",IF($A582='Client Report'!$C$4,COUNTIFS($A$6:$A582,'Client Report'!$C$4),""))</f>
        <v/>
      </c>
    </row>
    <row r="583">
      <c r="A583" s="11" t="n"/>
      <c r="B583" s="11" t="n"/>
      <c r="C583" s="11" t="n"/>
      <c r="D583" s="11" t="n"/>
      <c r="E583" s="12" t="n"/>
      <c r="F583" s="34" t="n"/>
      <c r="G583" s="34" t="n"/>
      <c r="H583" s="34" t="n"/>
      <c r="I583" s="34" t="n"/>
      <c r="J583" s="34" t="n"/>
      <c r="K583" s="34" t="n"/>
      <c r="L583" s="34" t="n"/>
      <c r="M583" s="36" t="n"/>
      <c r="N583" s="36" t="n"/>
      <c r="O583" s="41" t="n"/>
      <c r="P583" s="27">
        <f>IF($B583="","",IFERROR(TRIM(LEFT($B583,FIND(" - ",$B583)-1)),"Others"))</f>
        <v/>
      </c>
      <c r="Q583" s="39">
        <f>IF($A583="","",SUM($F583:$H583))</f>
        <v/>
      </c>
      <c r="R583" s="39">
        <f>IF($A583="","",SUM($I583:$K583))</f>
        <v/>
      </c>
      <c r="S583" s="39">
        <f>IF($A583="","",($L583+$R583)-$Q583)</f>
        <v/>
      </c>
      <c r="T583" s="31">
        <f>IF(OR($A583="",$Q583=0),"",$S583/$Q583)</f>
        <v/>
      </c>
      <c r="U583" s="27">
        <f>IF($A583="","",IF($L583&gt;0,"Live","Exited"))</f>
        <v/>
      </c>
      <c r="V583" s="40">
        <f>IF($A583="","",IF($A583='Client Report'!$C$4,COUNTIFS($A$6:$A583,'Client Report'!$C$4),""))</f>
        <v/>
      </c>
    </row>
    <row r="584">
      <c r="A584" s="11" t="n"/>
      <c r="B584" s="11" t="n"/>
      <c r="C584" s="11" t="n"/>
      <c r="D584" s="11" t="n"/>
      <c r="E584" s="12" t="n"/>
      <c r="F584" s="34" t="n"/>
      <c r="G584" s="34" t="n"/>
      <c r="H584" s="34" t="n"/>
      <c r="I584" s="34" t="n"/>
      <c r="J584" s="34" t="n"/>
      <c r="K584" s="34" t="n"/>
      <c r="L584" s="34" t="n"/>
      <c r="M584" s="36" t="n"/>
      <c r="N584" s="36" t="n"/>
      <c r="O584" s="41" t="n"/>
      <c r="P584" s="27">
        <f>IF($B584="","",IFERROR(TRIM(LEFT($B584,FIND(" - ",$B584)-1)),"Others"))</f>
        <v/>
      </c>
      <c r="Q584" s="39">
        <f>IF($A584="","",SUM($F584:$H584))</f>
        <v/>
      </c>
      <c r="R584" s="39">
        <f>IF($A584="","",SUM($I584:$K584))</f>
        <v/>
      </c>
      <c r="S584" s="39">
        <f>IF($A584="","",($L584+$R584)-$Q584)</f>
        <v/>
      </c>
      <c r="T584" s="31">
        <f>IF(OR($A584="",$Q584=0),"",$S584/$Q584)</f>
        <v/>
      </c>
      <c r="U584" s="27">
        <f>IF($A584="","",IF($L584&gt;0,"Live","Exited"))</f>
        <v/>
      </c>
      <c r="V584" s="40">
        <f>IF($A584="","",IF($A584='Client Report'!$C$4,COUNTIFS($A$6:$A584,'Client Report'!$C$4),""))</f>
        <v/>
      </c>
    </row>
    <row r="585">
      <c r="A585" s="11" t="n"/>
      <c r="B585" s="11" t="n"/>
      <c r="C585" s="11" t="n"/>
      <c r="D585" s="11" t="n"/>
      <c r="E585" s="12" t="n"/>
      <c r="F585" s="34" t="n"/>
      <c r="G585" s="34" t="n"/>
      <c r="H585" s="34" t="n"/>
      <c r="I585" s="34" t="n"/>
      <c r="J585" s="34" t="n"/>
      <c r="K585" s="34" t="n"/>
      <c r="L585" s="34" t="n"/>
      <c r="M585" s="36" t="n"/>
      <c r="N585" s="36" t="n"/>
      <c r="O585" s="41" t="n"/>
      <c r="P585" s="27">
        <f>IF($B585="","",IFERROR(TRIM(LEFT($B585,FIND(" - ",$B585)-1)),"Others"))</f>
        <v/>
      </c>
      <c r="Q585" s="39">
        <f>IF($A585="","",SUM($F585:$H585))</f>
        <v/>
      </c>
      <c r="R585" s="39">
        <f>IF($A585="","",SUM($I585:$K585))</f>
        <v/>
      </c>
      <c r="S585" s="39">
        <f>IF($A585="","",($L585+$R585)-$Q585)</f>
        <v/>
      </c>
      <c r="T585" s="31">
        <f>IF(OR($A585="",$Q585=0),"",$S585/$Q585)</f>
        <v/>
      </c>
      <c r="U585" s="27">
        <f>IF($A585="","",IF($L585&gt;0,"Live","Exited"))</f>
        <v/>
      </c>
      <c r="V585" s="40">
        <f>IF($A585="","",IF($A585='Client Report'!$C$4,COUNTIFS($A$6:$A585,'Client Report'!$C$4),""))</f>
        <v/>
      </c>
    </row>
    <row r="586">
      <c r="A586" s="11" t="n"/>
      <c r="B586" s="11" t="n"/>
      <c r="C586" s="11" t="n"/>
      <c r="D586" s="11" t="n"/>
      <c r="E586" s="12" t="n"/>
      <c r="F586" s="34" t="n"/>
      <c r="G586" s="34" t="n"/>
      <c r="H586" s="34" t="n"/>
      <c r="I586" s="34" t="n"/>
      <c r="J586" s="34" t="n"/>
      <c r="K586" s="34" t="n"/>
      <c r="L586" s="34" t="n"/>
      <c r="M586" s="36" t="n"/>
      <c r="N586" s="36" t="n"/>
      <c r="O586" s="41" t="n"/>
      <c r="P586" s="27">
        <f>IF($B586="","",IFERROR(TRIM(LEFT($B586,FIND(" - ",$B586)-1)),"Others"))</f>
        <v/>
      </c>
      <c r="Q586" s="39">
        <f>IF($A586="","",SUM($F586:$H586))</f>
        <v/>
      </c>
      <c r="R586" s="39">
        <f>IF($A586="","",SUM($I586:$K586))</f>
        <v/>
      </c>
      <c r="S586" s="39">
        <f>IF($A586="","",($L586+$R586)-$Q586)</f>
        <v/>
      </c>
      <c r="T586" s="31">
        <f>IF(OR($A586="",$Q586=0),"",$S586/$Q586)</f>
        <v/>
      </c>
      <c r="U586" s="27">
        <f>IF($A586="","",IF($L586&gt;0,"Live","Exited"))</f>
        <v/>
      </c>
      <c r="V586" s="40">
        <f>IF($A586="","",IF($A586='Client Report'!$C$4,COUNTIFS($A$6:$A586,'Client Report'!$C$4),""))</f>
        <v/>
      </c>
    </row>
    <row r="587">
      <c r="A587" s="11" t="n"/>
      <c r="B587" s="11" t="n"/>
      <c r="C587" s="11" t="n"/>
      <c r="D587" s="11" t="n"/>
      <c r="E587" s="12" t="n"/>
      <c r="F587" s="34" t="n"/>
      <c r="G587" s="34" t="n"/>
      <c r="H587" s="34" t="n"/>
      <c r="I587" s="34" t="n"/>
      <c r="J587" s="34" t="n"/>
      <c r="K587" s="34" t="n"/>
      <c r="L587" s="34" t="n"/>
      <c r="M587" s="36" t="n"/>
      <c r="N587" s="36" t="n"/>
      <c r="O587" s="41" t="n"/>
      <c r="P587" s="27">
        <f>IF($B587="","",IFERROR(TRIM(LEFT($B587,FIND(" - ",$B587)-1)),"Others"))</f>
        <v/>
      </c>
      <c r="Q587" s="39">
        <f>IF($A587="","",SUM($F587:$H587))</f>
        <v/>
      </c>
      <c r="R587" s="39">
        <f>IF($A587="","",SUM($I587:$K587))</f>
        <v/>
      </c>
      <c r="S587" s="39">
        <f>IF($A587="","",($L587+$R587)-$Q587)</f>
        <v/>
      </c>
      <c r="T587" s="31">
        <f>IF(OR($A587="",$Q587=0),"",$S587/$Q587)</f>
        <v/>
      </c>
      <c r="U587" s="27">
        <f>IF($A587="","",IF($L587&gt;0,"Live","Exited"))</f>
        <v/>
      </c>
      <c r="V587" s="40">
        <f>IF($A587="","",IF($A587='Client Report'!$C$4,COUNTIFS($A$6:$A587,'Client Report'!$C$4),""))</f>
        <v/>
      </c>
    </row>
    <row r="588">
      <c r="A588" s="11" t="n"/>
      <c r="B588" s="11" t="n"/>
      <c r="C588" s="11" t="n"/>
      <c r="D588" s="11" t="n"/>
      <c r="E588" s="12" t="n"/>
      <c r="F588" s="34" t="n"/>
      <c r="G588" s="34" t="n"/>
      <c r="H588" s="34" t="n"/>
      <c r="I588" s="34" t="n"/>
      <c r="J588" s="34" t="n"/>
      <c r="K588" s="34" t="n"/>
      <c r="L588" s="34" t="n"/>
      <c r="M588" s="36" t="n"/>
      <c r="N588" s="36" t="n"/>
      <c r="O588" s="41" t="n"/>
      <c r="P588" s="27">
        <f>IF($B588="","",IFERROR(TRIM(LEFT($B588,FIND(" - ",$B588)-1)),"Others"))</f>
        <v/>
      </c>
      <c r="Q588" s="39">
        <f>IF($A588="","",SUM($F588:$H588))</f>
        <v/>
      </c>
      <c r="R588" s="39">
        <f>IF($A588="","",SUM($I588:$K588))</f>
        <v/>
      </c>
      <c r="S588" s="39">
        <f>IF($A588="","",($L588+$R588)-$Q588)</f>
        <v/>
      </c>
      <c r="T588" s="31">
        <f>IF(OR($A588="",$Q588=0),"",$S588/$Q588)</f>
        <v/>
      </c>
      <c r="U588" s="27">
        <f>IF($A588="","",IF($L588&gt;0,"Live","Exited"))</f>
        <v/>
      </c>
      <c r="V588" s="40">
        <f>IF($A588="","",IF($A588='Client Report'!$C$4,COUNTIFS($A$6:$A588,'Client Report'!$C$4),""))</f>
        <v/>
      </c>
    </row>
    <row r="589">
      <c r="A589" s="11" t="n"/>
      <c r="B589" s="11" t="n"/>
      <c r="C589" s="11" t="n"/>
      <c r="D589" s="11" t="n"/>
      <c r="E589" s="12" t="n"/>
      <c r="F589" s="34" t="n"/>
      <c r="G589" s="34" t="n"/>
      <c r="H589" s="34" t="n"/>
      <c r="I589" s="34" t="n"/>
      <c r="J589" s="34" t="n"/>
      <c r="K589" s="34" t="n"/>
      <c r="L589" s="34" t="n"/>
      <c r="M589" s="36" t="n"/>
      <c r="N589" s="36" t="n"/>
      <c r="O589" s="41" t="n"/>
      <c r="P589" s="27">
        <f>IF($B589="","",IFERROR(TRIM(LEFT($B589,FIND(" - ",$B589)-1)),"Others"))</f>
        <v/>
      </c>
      <c r="Q589" s="39">
        <f>IF($A589="","",SUM($F589:$H589))</f>
        <v/>
      </c>
      <c r="R589" s="39">
        <f>IF($A589="","",SUM($I589:$K589))</f>
        <v/>
      </c>
      <c r="S589" s="39">
        <f>IF($A589="","",($L589+$R589)-$Q589)</f>
        <v/>
      </c>
      <c r="T589" s="31">
        <f>IF(OR($A589="",$Q589=0),"",$S589/$Q589)</f>
        <v/>
      </c>
      <c r="U589" s="27">
        <f>IF($A589="","",IF($L589&gt;0,"Live","Exited"))</f>
        <v/>
      </c>
      <c r="V589" s="40">
        <f>IF($A589="","",IF($A589='Client Report'!$C$4,COUNTIFS($A$6:$A589,'Client Report'!$C$4),""))</f>
        <v/>
      </c>
    </row>
    <row r="590">
      <c r="A590" s="11" t="n"/>
      <c r="B590" s="11" t="n"/>
      <c r="C590" s="11" t="n"/>
      <c r="D590" s="11" t="n"/>
      <c r="E590" s="12" t="n"/>
      <c r="F590" s="34" t="n"/>
      <c r="G590" s="34" t="n"/>
      <c r="H590" s="34" t="n"/>
      <c r="I590" s="34" t="n"/>
      <c r="J590" s="34" t="n"/>
      <c r="K590" s="34" t="n"/>
      <c r="L590" s="34" t="n"/>
      <c r="M590" s="36" t="n"/>
      <c r="N590" s="36" t="n"/>
      <c r="O590" s="41" t="n"/>
      <c r="P590" s="27">
        <f>IF($B590="","",IFERROR(TRIM(LEFT($B590,FIND(" - ",$B590)-1)),"Others"))</f>
        <v/>
      </c>
      <c r="Q590" s="39">
        <f>IF($A590="","",SUM($F590:$H590))</f>
        <v/>
      </c>
      <c r="R590" s="39">
        <f>IF($A590="","",SUM($I590:$K590))</f>
        <v/>
      </c>
      <c r="S590" s="39">
        <f>IF($A590="","",($L590+$R590)-$Q590)</f>
        <v/>
      </c>
      <c r="T590" s="31">
        <f>IF(OR($A590="",$Q590=0),"",$S590/$Q590)</f>
        <v/>
      </c>
      <c r="U590" s="27">
        <f>IF($A590="","",IF($L590&gt;0,"Live","Exited"))</f>
        <v/>
      </c>
      <c r="V590" s="40">
        <f>IF($A590="","",IF($A590='Client Report'!$C$4,COUNTIFS($A$6:$A590,'Client Report'!$C$4),""))</f>
        <v/>
      </c>
    </row>
    <row r="591">
      <c r="A591" s="11" t="n"/>
      <c r="B591" s="11" t="n"/>
      <c r="C591" s="11" t="n"/>
      <c r="D591" s="11" t="n"/>
      <c r="E591" s="12" t="n"/>
      <c r="F591" s="34" t="n"/>
      <c r="G591" s="34" t="n"/>
      <c r="H591" s="34" t="n"/>
      <c r="I591" s="34" t="n"/>
      <c r="J591" s="34" t="n"/>
      <c r="K591" s="34" t="n"/>
      <c r="L591" s="34" t="n"/>
      <c r="M591" s="36" t="n"/>
      <c r="N591" s="36" t="n"/>
      <c r="O591" s="41" t="n"/>
      <c r="P591" s="27">
        <f>IF($B591="","",IFERROR(TRIM(LEFT($B591,FIND(" - ",$B591)-1)),"Others"))</f>
        <v/>
      </c>
      <c r="Q591" s="39">
        <f>IF($A591="","",SUM($F591:$H591))</f>
        <v/>
      </c>
      <c r="R591" s="39">
        <f>IF($A591="","",SUM($I591:$K591))</f>
        <v/>
      </c>
      <c r="S591" s="39">
        <f>IF($A591="","",($L591+$R591)-$Q591)</f>
        <v/>
      </c>
      <c r="T591" s="31">
        <f>IF(OR($A591="",$Q591=0),"",$S591/$Q591)</f>
        <v/>
      </c>
      <c r="U591" s="27">
        <f>IF($A591="","",IF($L591&gt;0,"Live","Exited"))</f>
        <v/>
      </c>
      <c r="V591" s="40">
        <f>IF($A591="","",IF($A591='Client Report'!$C$4,COUNTIFS($A$6:$A591,'Client Report'!$C$4),""))</f>
        <v/>
      </c>
    </row>
    <row r="592">
      <c r="A592" s="11" t="n"/>
      <c r="B592" s="11" t="n"/>
      <c r="C592" s="11" t="n"/>
      <c r="D592" s="11" t="n"/>
      <c r="E592" s="12" t="n"/>
      <c r="F592" s="34" t="n"/>
      <c r="G592" s="34" t="n"/>
      <c r="H592" s="34" t="n"/>
      <c r="I592" s="34" t="n"/>
      <c r="J592" s="34" t="n"/>
      <c r="K592" s="34" t="n"/>
      <c r="L592" s="34" t="n"/>
      <c r="M592" s="36" t="n"/>
      <c r="N592" s="36" t="n"/>
      <c r="O592" s="41" t="n"/>
      <c r="P592" s="27">
        <f>IF($B592="","",IFERROR(TRIM(LEFT($B592,FIND(" - ",$B592)-1)),"Others"))</f>
        <v/>
      </c>
      <c r="Q592" s="39">
        <f>IF($A592="","",SUM($F592:$H592))</f>
        <v/>
      </c>
      <c r="R592" s="39">
        <f>IF($A592="","",SUM($I592:$K592))</f>
        <v/>
      </c>
      <c r="S592" s="39">
        <f>IF($A592="","",($L592+$R592)-$Q592)</f>
        <v/>
      </c>
      <c r="T592" s="31">
        <f>IF(OR($A592="",$Q592=0),"",$S592/$Q592)</f>
        <v/>
      </c>
      <c r="U592" s="27">
        <f>IF($A592="","",IF($L592&gt;0,"Live","Exited"))</f>
        <v/>
      </c>
      <c r="V592" s="40">
        <f>IF($A592="","",IF($A592='Client Report'!$C$4,COUNTIFS($A$6:$A592,'Client Report'!$C$4),""))</f>
        <v/>
      </c>
    </row>
    <row r="593">
      <c r="A593" s="11" t="n"/>
      <c r="B593" s="11" t="n"/>
      <c r="C593" s="11" t="n"/>
      <c r="D593" s="11" t="n"/>
      <c r="E593" s="12" t="n"/>
      <c r="F593" s="34" t="n"/>
      <c r="G593" s="34" t="n"/>
      <c r="H593" s="34" t="n"/>
      <c r="I593" s="34" t="n"/>
      <c r="J593" s="34" t="n"/>
      <c r="K593" s="34" t="n"/>
      <c r="L593" s="34" t="n"/>
      <c r="M593" s="36" t="n"/>
      <c r="N593" s="36" t="n"/>
      <c r="O593" s="41" t="n"/>
      <c r="P593" s="27">
        <f>IF($B593="","",IFERROR(TRIM(LEFT($B593,FIND(" - ",$B593)-1)),"Others"))</f>
        <v/>
      </c>
      <c r="Q593" s="39">
        <f>IF($A593="","",SUM($F593:$H593))</f>
        <v/>
      </c>
      <c r="R593" s="39">
        <f>IF($A593="","",SUM($I593:$K593))</f>
        <v/>
      </c>
      <c r="S593" s="39">
        <f>IF($A593="","",($L593+$R593)-$Q593)</f>
        <v/>
      </c>
      <c r="T593" s="31">
        <f>IF(OR($A593="",$Q593=0),"",$S593/$Q593)</f>
        <v/>
      </c>
      <c r="U593" s="27">
        <f>IF($A593="","",IF($L593&gt;0,"Live","Exited"))</f>
        <v/>
      </c>
      <c r="V593" s="40">
        <f>IF($A593="","",IF($A593='Client Report'!$C$4,COUNTIFS($A$6:$A593,'Client Report'!$C$4),""))</f>
        <v/>
      </c>
    </row>
    <row r="594">
      <c r="A594" s="11" t="n"/>
      <c r="B594" s="11" t="n"/>
      <c r="C594" s="11" t="n"/>
      <c r="D594" s="11" t="n"/>
      <c r="E594" s="12" t="n"/>
      <c r="F594" s="34" t="n"/>
      <c r="G594" s="34" t="n"/>
      <c r="H594" s="34" t="n"/>
      <c r="I594" s="34" t="n"/>
      <c r="J594" s="34" t="n"/>
      <c r="K594" s="34" t="n"/>
      <c r="L594" s="34" t="n"/>
      <c r="M594" s="36" t="n"/>
      <c r="N594" s="36" t="n"/>
      <c r="O594" s="41" t="n"/>
      <c r="P594" s="27">
        <f>IF($B594="","",IFERROR(TRIM(LEFT($B594,FIND(" - ",$B594)-1)),"Others"))</f>
        <v/>
      </c>
      <c r="Q594" s="39">
        <f>IF($A594="","",SUM($F594:$H594))</f>
        <v/>
      </c>
      <c r="R594" s="39">
        <f>IF($A594="","",SUM($I594:$K594))</f>
        <v/>
      </c>
      <c r="S594" s="39">
        <f>IF($A594="","",($L594+$R594)-$Q594)</f>
        <v/>
      </c>
      <c r="T594" s="31">
        <f>IF(OR($A594="",$Q594=0),"",$S594/$Q594)</f>
        <v/>
      </c>
      <c r="U594" s="27">
        <f>IF($A594="","",IF($L594&gt;0,"Live","Exited"))</f>
        <v/>
      </c>
      <c r="V594" s="40">
        <f>IF($A594="","",IF($A594='Client Report'!$C$4,COUNTIFS($A$6:$A594,'Client Report'!$C$4),""))</f>
        <v/>
      </c>
    </row>
    <row r="595">
      <c r="A595" s="11" t="n"/>
      <c r="B595" s="11" t="n"/>
      <c r="C595" s="11" t="n"/>
      <c r="D595" s="11" t="n"/>
      <c r="E595" s="12" t="n"/>
      <c r="F595" s="34" t="n"/>
      <c r="G595" s="34" t="n"/>
      <c r="H595" s="34" t="n"/>
      <c r="I595" s="34" t="n"/>
      <c r="J595" s="34" t="n"/>
      <c r="K595" s="34" t="n"/>
      <c r="L595" s="34" t="n"/>
      <c r="M595" s="36" t="n"/>
      <c r="N595" s="36" t="n"/>
      <c r="O595" s="41" t="n"/>
      <c r="P595" s="27">
        <f>IF($B595="","",IFERROR(TRIM(LEFT($B595,FIND(" - ",$B595)-1)),"Others"))</f>
        <v/>
      </c>
      <c r="Q595" s="39">
        <f>IF($A595="","",SUM($F595:$H595))</f>
        <v/>
      </c>
      <c r="R595" s="39">
        <f>IF($A595="","",SUM($I595:$K595))</f>
        <v/>
      </c>
      <c r="S595" s="39">
        <f>IF($A595="","",($L595+$R595)-$Q595)</f>
        <v/>
      </c>
      <c r="T595" s="31">
        <f>IF(OR($A595="",$Q595=0),"",$S595/$Q595)</f>
        <v/>
      </c>
      <c r="U595" s="27">
        <f>IF($A595="","",IF($L595&gt;0,"Live","Exited"))</f>
        <v/>
      </c>
      <c r="V595" s="40">
        <f>IF($A595="","",IF($A595='Client Report'!$C$4,COUNTIFS($A$6:$A595,'Client Report'!$C$4),""))</f>
        <v/>
      </c>
    </row>
    <row r="596">
      <c r="A596" s="11" t="n"/>
      <c r="B596" s="11" t="n"/>
      <c r="C596" s="11" t="n"/>
      <c r="D596" s="11" t="n"/>
      <c r="E596" s="12" t="n"/>
      <c r="F596" s="34" t="n"/>
      <c r="G596" s="34" t="n"/>
      <c r="H596" s="34" t="n"/>
      <c r="I596" s="34" t="n"/>
      <c r="J596" s="34" t="n"/>
      <c r="K596" s="34" t="n"/>
      <c r="L596" s="34" t="n"/>
      <c r="M596" s="36" t="n"/>
      <c r="N596" s="36" t="n"/>
      <c r="O596" s="41" t="n"/>
      <c r="P596" s="27">
        <f>IF($B596="","",IFERROR(TRIM(LEFT($B596,FIND(" - ",$B596)-1)),"Others"))</f>
        <v/>
      </c>
      <c r="Q596" s="39">
        <f>IF($A596="","",SUM($F596:$H596))</f>
        <v/>
      </c>
      <c r="R596" s="39">
        <f>IF($A596="","",SUM($I596:$K596))</f>
        <v/>
      </c>
      <c r="S596" s="39">
        <f>IF($A596="","",($L596+$R596)-$Q596)</f>
        <v/>
      </c>
      <c r="T596" s="31">
        <f>IF(OR($A596="",$Q596=0),"",$S596/$Q596)</f>
        <v/>
      </c>
      <c r="U596" s="27">
        <f>IF($A596="","",IF($L596&gt;0,"Live","Exited"))</f>
        <v/>
      </c>
      <c r="V596" s="40">
        <f>IF($A596="","",IF($A596='Client Report'!$C$4,COUNTIFS($A$6:$A596,'Client Report'!$C$4),""))</f>
        <v/>
      </c>
    </row>
    <row r="597">
      <c r="A597" s="11" t="n"/>
      <c r="B597" s="11" t="n"/>
      <c r="C597" s="11" t="n"/>
      <c r="D597" s="11" t="n"/>
      <c r="E597" s="12" t="n"/>
      <c r="F597" s="34" t="n"/>
      <c r="G597" s="34" t="n"/>
      <c r="H597" s="34" t="n"/>
      <c r="I597" s="34" t="n"/>
      <c r="J597" s="34" t="n"/>
      <c r="K597" s="34" t="n"/>
      <c r="L597" s="34" t="n"/>
      <c r="M597" s="36" t="n"/>
      <c r="N597" s="36" t="n"/>
      <c r="O597" s="41" t="n"/>
      <c r="P597" s="27">
        <f>IF($B597="","",IFERROR(TRIM(LEFT($B597,FIND(" - ",$B597)-1)),"Others"))</f>
        <v/>
      </c>
      <c r="Q597" s="39">
        <f>IF($A597="","",SUM($F597:$H597))</f>
        <v/>
      </c>
      <c r="R597" s="39">
        <f>IF($A597="","",SUM($I597:$K597))</f>
        <v/>
      </c>
      <c r="S597" s="39">
        <f>IF($A597="","",($L597+$R597)-$Q597)</f>
        <v/>
      </c>
      <c r="T597" s="31">
        <f>IF(OR($A597="",$Q597=0),"",$S597/$Q597)</f>
        <v/>
      </c>
      <c r="U597" s="27">
        <f>IF($A597="","",IF($L597&gt;0,"Live","Exited"))</f>
        <v/>
      </c>
      <c r="V597" s="40">
        <f>IF($A597="","",IF($A597='Client Report'!$C$4,COUNTIFS($A$6:$A597,'Client Report'!$C$4),""))</f>
        <v/>
      </c>
    </row>
    <row r="598">
      <c r="A598" s="11" t="n"/>
      <c r="B598" s="11" t="n"/>
      <c r="C598" s="11" t="n"/>
      <c r="D598" s="11" t="n"/>
      <c r="E598" s="12" t="n"/>
      <c r="F598" s="34" t="n"/>
      <c r="G598" s="34" t="n"/>
      <c r="H598" s="34" t="n"/>
      <c r="I598" s="34" t="n"/>
      <c r="J598" s="34" t="n"/>
      <c r="K598" s="34" t="n"/>
      <c r="L598" s="34" t="n"/>
      <c r="M598" s="36" t="n"/>
      <c r="N598" s="36" t="n"/>
      <c r="O598" s="41" t="n"/>
      <c r="P598" s="27">
        <f>IF($B598="","",IFERROR(TRIM(LEFT($B598,FIND(" - ",$B598)-1)),"Others"))</f>
        <v/>
      </c>
      <c r="Q598" s="39">
        <f>IF($A598="","",SUM($F598:$H598))</f>
        <v/>
      </c>
      <c r="R598" s="39">
        <f>IF($A598="","",SUM($I598:$K598))</f>
        <v/>
      </c>
      <c r="S598" s="39">
        <f>IF($A598="","",($L598+$R598)-$Q598)</f>
        <v/>
      </c>
      <c r="T598" s="31">
        <f>IF(OR($A598="",$Q598=0),"",$S598/$Q598)</f>
        <v/>
      </c>
      <c r="U598" s="27">
        <f>IF($A598="","",IF($L598&gt;0,"Live","Exited"))</f>
        <v/>
      </c>
      <c r="V598" s="40">
        <f>IF($A598="","",IF($A598='Client Report'!$C$4,COUNTIFS($A$6:$A598,'Client Report'!$C$4),""))</f>
        <v/>
      </c>
    </row>
    <row r="599">
      <c r="A599" s="11" t="n"/>
      <c r="B599" s="11" t="n"/>
      <c r="C599" s="11" t="n"/>
      <c r="D599" s="11" t="n"/>
      <c r="E599" s="12" t="n"/>
      <c r="F599" s="34" t="n"/>
      <c r="G599" s="34" t="n"/>
      <c r="H599" s="34" t="n"/>
      <c r="I599" s="34" t="n"/>
      <c r="J599" s="34" t="n"/>
      <c r="K599" s="34" t="n"/>
      <c r="L599" s="34" t="n"/>
      <c r="M599" s="36" t="n"/>
      <c r="N599" s="36" t="n"/>
      <c r="O599" s="41" t="n"/>
      <c r="P599" s="27">
        <f>IF($B599="","",IFERROR(TRIM(LEFT($B599,FIND(" - ",$B599)-1)),"Others"))</f>
        <v/>
      </c>
      <c r="Q599" s="39">
        <f>IF($A599="","",SUM($F599:$H599))</f>
        <v/>
      </c>
      <c r="R599" s="39">
        <f>IF($A599="","",SUM($I599:$K599))</f>
        <v/>
      </c>
      <c r="S599" s="39">
        <f>IF($A599="","",($L599+$R599)-$Q599)</f>
        <v/>
      </c>
      <c r="T599" s="31">
        <f>IF(OR($A599="",$Q599=0),"",$S599/$Q599)</f>
        <v/>
      </c>
      <c r="U599" s="27">
        <f>IF($A599="","",IF($L599&gt;0,"Live","Exited"))</f>
        <v/>
      </c>
      <c r="V599" s="40">
        <f>IF($A599="","",IF($A599='Client Report'!$C$4,COUNTIFS($A$6:$A599,'Client Report'!$C$4),""))</f>
        <v/>
      </c>
    </row>
    <row r="600">
      <c r="A600" s="11" t="n"/>
      <c r="B600" s="11" t="n"/>
      <c r="C600" s="11" t="n"/>
      <c r="D600" s="11" t="n"/>
      <c r="E600" s="12" t="n"/>
      <c r="F600" s="34" t="n"/>
      <c r="G600" s="34" t="n"/>
      <c r="H600" s="34" t="n"/>
      <c r="I600" s="34" t="n"/>
      <c r="J600" s="34" t="n"/>
      <c r="K600" s="34" t="n"/>
      <c r="L600" s="34" t="n"/>
      <c r="M600" s="36" t="n"/>
      <c r="N600" s="36" t="n"/>
      <c r="O600" s="41" t="n"/>
      <c r="P600" s="27">
        <f>IF($B600="","",IFERROR(TRIM(LEFT($B600,FIND(" - ",$B600)-1)),"Others"))</f>
        <v/>
      </c>
      <c r="Q600" s="39">
        <f>IF($A600="","",SUM($F600:$H600))</f>
        <v/>
      </c>
      <c r="R600" s="39">
        <f>IF($A600="","",SUM($I600:$K600))</f>
        <v/>
      </c>
      <c r="S600" s="39">
        <f>IF($A600="","",($L600+$R600)-$Q600)</f>
        <v/>
      </c>
      <c r="T600" s="31">
        <f>IF(OR($A600="",$Q600=0),"",$S600/$Q600)</f>
        <v/>
      </c>
      <c r="U600" s="27">
        <f>IF($A600="","",IF($L600&gt;0,"Live","Exited"))</f>
        <v/>
      </c>
      <c r="V600" s="40">
        <f>IF($A600="","",IF($A600='Client Report'!$C$4,COUNTIFS($A$6:$A600,'Client Report'!$C$4),""))</f>
        <v/>
      </c>
    </row>
    <row r="601">
      <c r="A601" s="11" t="n"/>
      <c r="B601" s="11" t="n"/>
      <c r="C601" s="11" t="n"/>
      <c r="D601" s="11" t="n"/>
      <c r="E601" s="12" t="n"/>
      <c r="F601" s="34" t="n"/>
      <c r="G601" s="34" t="n"/>
      <c r="H601" s="34" t="n"/>
      <c r="I601" s="34" t="n"/>
      <c r="J601" s="34" t="n"/>
      <c r="K601" s="34" t="n"/>
      <c r="L601" s="34" t="n"/>
      <c r="M601" s="36" t="n"/>
      <c r="N601" s="36" t="n"/>
      <c r="O601" s="41" t="n"/>
      <c r="P601" s="27">
        <f>IF($B601="","",IFERROR(TRIM(LEFT($B601,FIND(" - ",$B601)-1)),"Others"))</f>
        <v/>
      </c>
      <c r="Q601" s="39">
        <f>IF($A601="","",SUM($F601:$H601))</f>
        <v/>
      </c>
      <c r="R601" s="39">
        <f>IF($A601="","",SUM($I601:$K601))</f>
        <v/>
      </c>
      <c r="S601" s="39">
        <f>IF($A601="","",($L601+$R601)-$Q601)</f>
        <v/>
      </c>
      <c r="T601" s="31">
        <f>IF(OR($A601="",$Q601=0),"",$S601/$Q601)</f>
        <v/>
      </c>
      <c r="U601" s="27">
        <f>IF($A601="","",IF($L601&gt;0,"Live","Exited"))</f>
        <v/>
      </c>
      <c r="V601" s="40">
        <f>IF($A601="","",IF($A601='Client Report'!$C$4,COUNTIFS($A$6:$A601,'Client Report'!$C$4),""))</f>
        <v/>
      </c>
    </row>
    <row r="602">
      <c r="A602" s="11" t="n"/>
      <c r="B602" s="11" t="n"/>
      <c r="C602" s="11" t="n"/>
      <c r="D602" s="11" t="n"/>
      <c r="E602" s="12" t="n"/>
      <c r="F602" s="34" t="n"/>
      <c r="G602" s="34" t="n"/>
      <c r="H602" s="34" t="n"/>
      <c r="I602" s="34" t="n"/>
      <c r="J602" s="34" t="n"/>
      <c r="K602" s="34" t="n"/>
      <c r="L602" s="34" t="n"/>
      <c r="M602" s="36" t="n"/>
      <c r="N602" s="36" t="n"/>
      <c r="O602" s="41" t="n"/>
      <c r="P602" s="27">
        <f>IF($B602="","",IFERROR(TRIM(LEFT($B602,FIND(" - ",$B602)-1)),"Others"))</f>
        <v/>
      </c>
      <c r="Q602" s="39">
        <f>IF($A602="","",SUM($F602:$H602))</f>
        <v/>
      </c>
      <c r="R602" s="39">
        <f>IF($A602="","",SUM($I602:$K602))</f>
        <v/>
      </c>
      <c r="S602" s="39">
        <f>IF($A602="","",($L602+$R602)-$Q602)</f>
        <v/>
      </c>
      <c r="T602" s="31">
        <f>IF(OR($A602="",$Q602=0),"",$S602/$Q602)</f>
        <v/>
      </c>
      <c r="U602" s="27">
        <f>IF($A602="","",IF($L602&gt;0,"Live","Exited"))</f>
        <v/>
      </c>
      <c r="V602" s="40">
        <f>IF($A602="","",IF($A602='Client Report'!$C$4,COUNTIFS($A$6:$A602,'Client Report'!$C$4),""))</f>
        <v/>
      </c>
    </row>
    <row r="603">
      <c r="A603" s="11" t="n"/>
      <c r="B603" s="11" t="n"/>
      <c r="C603" s="11" t="n"/>
      <c r="D603" s="11" t="n"/>
      <c r="E603" s="12" t="n"/>
      <c r="F603" s="34" t="n"/>
      <c r="G603" s="34" t="n"/>
      <c r="H603" s="34" t="n"/>
      <c r="I603" s="34" t="n"/>
      <c r="J603" s="34" t="n"/>
      <c r="K603" s="34" t="n"/>
      <c r="L603" s="34" t="n"/>
      <c r="M603" s="36" t="n"/>
      <c r="N603" s="36" t="n"/>
      <c r="O603" s="41" t="n"/>
      <c r="P603" s="27">
        <f>IF($B603="","",IFERROR(TRIM(LEFT($B603,FIND(" - ",$B603)-1)),"Others"))</f>
        <v/>
      </c>
      <c r="Q603" s="39">
        <f>IF($A603="","",SUM($F603:$H603))</f>
        <v/>
      </c>
      <c r="R603" s="39">
        <f>IF($A603="","",SUM($I603:$K603))</f>
        <v/>
      </c>
      <c r="S603" s="39">
        <f>IF($A603="","",($L603+$R603)-$Q603)</f>
        <v/>
      </c>
      <c r="T603" s="31">
        <f>IF(OR($A603="",$Q603=0),"",$S603/$Q603)</f>
        <v/>
      </c>
      <c r="U603" s="27">
        <f>IF($A603="","",IF($L603&gt;0,"Live","Exited"))</f>
        <v/>
      </c>
      <c r="V603" s="40">
        <f>IF($A603="","",IF($A603='Client Report'!$C$4,COUNTIFS($A$6:$A603,'Client Report'!$C$4),""))</f>
        <v/>
      </c>
    </row>
    <row r="604">
      <c r="A604" s="11" t="n"/>
      <c r="B604" s="11" t="n"/>
      <c r="C604" s="11" t="n"/>
      <c r="D604" s="11" t="n"/>
      <c r="E604" s="12" t="n"/>
      <c r="F604" s="34" t="n"/>
      <c r="G604" s="34" t="n"/>
      <c r="H604" s="34" t="n"/>
      <c r="I604" s="34" t="n"/>
      <c r="J604" s="34" t="n"/>
      <c r="K604" s="34" t="n"/>
      <c r="L604" s="34" t="n"/>
      <c r="M604" s="36" t="n"/>
      <c r="N604" s="36" t="n"/>
      <c r="O604" s="41" t="n"/>
      <c r="P604" s="27">
        <f>IF($B604="","",IFERROR(TRIM(LEFT($B604,FIND(" - ",$B604)-1)),"Others"))</f>
        <v/>
      </c>
      <c r="Q604" s="39">
        <f>IF($A604="","",SUM($F604:$H604))</f>
        <v/>
      </c>
      <c r="R604" s="39">
        <f>IF($A604="","",SUM($I604:$K604))</f>
        <v/>
      </c>
      <c r="S604" s="39">
        <f>IF($A604="","",($L604+$R604)-$Q604)</f>
        <v/>
      </c>
      <c r="T604" s="31">
        <f>IF(OR($A604="",$Q604=0),"",$S604/$Q604)</f>
        <v/>
      </c>
      <c r="U604" s="27">
        <f>IF($A604="","",IF($L604&gt;0,"Live","Exited"))</f>
        <v/>
      </c>
      <c r="V604" s="40">
        <f>IF($A604="","",IF($A604='Client Report'!$C$4,COUNTIFS($A$6:$A604,'Client Report'!$C$4),""))</f>
        <v/>
      </c>
    </row>
    <row r="605">
      <c r="A605" s="11" t="n"/>
      <c r="B605" s="11" t="n"/>
      <c r="C605" s="11" t="n"/>
      <c r="D605" s="11" t="n"/>
      <c r="E605" s="12" t="n"/>
      <c r="F605" s="34" t="n"/>
      <c r="G605" s="34" t="n"/>
      <c r="H605" s="34" t="n"/>
      <c r="I605" s="34" t="n"/>
      <c r="J605" s="34" t="n"/>
      <c r="K605" s="34" t="n"/>
      <c r="L605" s="34" t="n"/>
      <c r="M605" s="36" t="n"/>
      <c r="N605" s="36" t="n"/>
      <c r="O605" s="41" t="n"/>
      <c r="P605" s="27">
        <f>IF($B605="","",IFERROR(TRIM(LEFT($B605,FIND(" - ",$B605)-1)),"Others"))</f>
        <v/>
      </c>
      <c r="Q605" s="39">
        <f>IF($A605="","",SUM($F605:$H605))</f>
        <v/>
      </c>
      <c r="R605" s="39">
        <f>IF($A605="","",SUM($I605:$K605))</f>
        <v/>
      </c>
      <c r="S605" s="39">
        <f>IF($A605="","",($L605+$R605)-$Q605)</f>
        <v/>
      </c>
      <c r="T605" s="31">
        <f>IF(OR($A605="",$Q605=0),"",$S605/$Q605)</f>
        <v/>
      </c>
      <c r="U605" s="27">
        <f>IF($A605="","",IF($L605&gt;0,"Live","Exited"))</f>
        <v/>
      </c>
      <c r="V605" s="40">
        <f>IF($A605="","",IF($A605='Client Report'!$C$4,COUNTIFS($A$6:$A605,'Client Report'!$C$4),""))</f>
        <v/>
      </c>
    </row>
    <row r="606">
      <c r="A606" s="11" t="n"/>
      <c r="B606" s="11" t="n"/>
      <c r="C606" s="11" t="n"/>
      <c r="D606" s="11" t="n"/>
      <c r="E606" s="12" t="n"/>
      <c r="F606" s="34" t="n"/>
      <c r="G606" s="34" t="n"/>
      <c r="H606" s="34" t="n"/>
      <c r="I606" s="34" t="n"/>
      <c r="J606" s="34" t="n"/>
      <c r="K606" s="34" t="n"/>
      <c r="L606" s="34" t="n"/>
      <c r="M606" s="36" t="n"/>
      <c r="N606" s="36" t="n"/>
      <c r="O606" s="41" t="n"/>
      <c r="P606" s="27">
        <f>IF($B606="","",IFERROR(TRIM(LEFT($B606,FIND(" - ",$B606)-1)),"Others"))</f>
        <v/>
      </c>
      <c r="Q606" s="39">
        <f>IF($A606="","",SUM($F606:$H606))</f>
        <v/>
      </c>
      <c r="R606" s="39">
        <f>IF($A606="","",SUM($I606:$K606))</f>
        <v/>
      </c>
      <c r="S606" s="39">
        <f>IF($A606="","",($L606+$R606)-$Q606)</f>
        <v/>
      </c>
      <c r="T606" s="31">
        <f>IF(OR($A606="",$Q606=0),"",$S606/$Q606)</f>
        <v/>
      </c>
      <c r="U606" s="27">
        <f>IF($A606="","",IF($L606&gt;0,"Live","Exited"))</f>
        <v/>
      </c>
      <c r="V606" s="40">
        <f>IF($A606="","",IF($A606='Client Report'!$C$4,COUNTIFS($A$6:$A606,'Client Report'!$C$4),""))</f>
        <v/>
      </c>
    </row>
    <row r="607">
      <c r="A607" s="11" t="n"/>
      <c r="B607" s="11" t="n"/>
      <c r="C607" s="11" t="n"/>
      <c r="D607" s="11" t="n"/>
      <c r="E607" s="12" t="n"/>
      <c r="F607" s="34" t="n"/>
      <c r="G607" s="34" t="n"/>
      <c r="H607" s="34" t="n"/>
      <c r="I607" s="34" t="n"/>
      <c r="J607" s="34" t="n"/>
      <c r="K607" s="34" t="n"/>
      <c r="L607" s="34" t="n"/>
      <c r="M607" s="36" t="n"/>
      <c r="N607" s="36" t="n"/>
      <c r="O607" s="41" t="n"/>
      <c r="P607" s="27">
        <f>IF($B607="","",IFERROR(TRIM(LEFT($B607,FIND(" - ",$B607)-1)),"Others"))</f>
        <v/>
      </c>
      <c r="Q607" s="39">
        <f>IF($A607="","",SUM($F607:$H607))</f>
        <v/>
      </c>
      <c r="R607" s="39">
        <f>IF($A607="","",SUM($I607:$K607))</f>
        <v/>
      </c>
      <c r="S607" s="39">
        <f>IF($A607="","",($L607+$R607)-$Q607)</f>
        <v/>
      </c>
      <c r="T607" s="31">
        <f>IF(OR($A607="",$Q607=0),"",$S607/$Q607)</f>
        <v/>
      </c>
      <c r="U607" s="27">
        <f>IF($A607="","",IF($L607&gt;0,"Live","Exited"))</f>
        <v/>
      </c>
      <c r="V607" s="40">
        <f>IF($A607="","",IF($A607='Client Report'!$C$4,COUNTIFS($A$6:$A607,'Client Report'!$C$4),""))</f>
        <v/>
      </c>
    </row>
    <row r="608">
      <c r="A608" s="11" t="n"/>
      <c r="B608" s="11" t="n"/>
      <c r="C608" s="11" t="n"/>
      <c r="D608" s="11" t="n"/>
      <c r="E608" s="12" t="n"/>
      <c r="F608" s="34" t="n"/>
      <c r="G608" s="34" t="n"/>
      <c r="H608" s="34" t="n"/>
      <c r="I608" s="34" t="n"/>
      <c r="J608" s="34" t="n"/>
      <c r="K608" s="34" t="n"/>
      <c r="L608" s="34" t="n"/>
      <c r="M608" s="36" t="n"/>
      <c r="N608" s="36" t="n"/>
      <c r="O608" s="41" t="n"/>
      <c r="P608" s="27">
        <f>IF($B608="","",IFERROR(TRIM(LEFT($B608,FIND(" - ",$B608)-1)),"Others"))</f>
        <v/>
      </c>
      <c r="Q608" s="39">
        <f>IF($A608="","",SUM($F608:$H608))</f>
        <v/>
      </c>
      <c r="R608" s="39">
        <f>IF($A608="","",SUM($I608:$K608))</f>
        <v/>
      </c>
      <c r="S608" s="39">
        <f>IF($A608="","",($L608+$R608)-$Q608)</f>
        <v/>
      </c>
      <c r="T608" s="31">
        <f>IF(OR($A608="",$Q608=0),"",$S608/$Q608)</f>
        <v/>
      </c>
      <c r="U608" s="27">
        <f>IF($A608="","",IF($L608&gt;0,"Live","Exited"))</f>
        <v/>
      </c>
      <c r="V608" s="40">
        <f>IF($A608="","",IF($A608='Client Report'!$C$4,COUNTIFS($A$6:$A608,'Client Report'!$C$4),""))</f>
        <v/>
      </c>
    </row>
    <row r="609">
      <c r="A609" s="11" t="n"/>
      <c r="B609" s="11" t="n"/>
      <c r="C609" s="11" t="n"/>
      <c r="D609" s="11" t="n"/>
      <c r="E609" s="12" t="n"/>
      <c r="F609" s="34" t="n"/>
      <c r="G609" s="34" t="n"/>
      <c r="H609" s="34" t="n"/>
      <c r="I609" s="34" t="n"/>
      <c r="J609" s="34" t="n"/>
      <c r="K609" s="34" t="n"/>
      <c r="L609" s="34" t="n"/>
      <c r="M609" s="36" t="n"/>
      <c r="N609" s="36" t="n"/>
      <c r="O609" s="41" t="n"/>
      <c r="P609" s="27">
        <f>IF($B609="","",IFERROR(TRIM(LEFT($B609,FIND(" - ",$B609)-1)),"Others"))</f>
        <v/>
      </c>
      <c r="Q609" s="39">
        <f>IF($A609="","",SUM($F609:$H609))</f>
        <v/>
      </c>
      <c r="R609" s="39">
        <f>IF($A609="","",SUM($I609:$K609))</f>
        <v/>
      </c>
      <c r="S609" s="39">
        <f>IF($A609="","",($L609+$R609)-$Q609)</f>
        <v/>
      </c>
      <c r="T609" s="31">
        <f>IF(OR($A609="",$Q609=0),"",$S609/$Q609)</f>
        <v/>
      </c>
      <c r="U609" s="27">
        <f>IF($A609="","",IF($L609&gt;0,"Live","Exited"))</f>
        <v/>
      </c>
      <c r="V609" s="40">
        <f>IF($A609="","",IF($A609='Client Report'!$C$4,COUNTIFS($A$6:$A609,'Client Report'!$C$4),""))</f>
        <v/>
      </c>
    </row>
    <row r="610">
      <c r="A610" s="11" t="n"/>
      <c r="B610" s="11" t="n"/>
      <c r="C610" s="11" t="n"/>
      <c r="D610" s="11" t="n"/>
      <c r="E610" s="12" t="n"/>
      <c r="F610" s="34" t="n"/>
      <c r="G610" s="34" t="n"/>
      <c r="H610" s="34" t="n"/>
      <c r="I610" s="34" t="n"/>
      <c r="J610" s="34" t="n"/>
      <c r="K610" s="34" t="n"/>
      <c r="L610" s="34" t="n"/>
      <c r="M610" s="36" t="n"/>
      <c r="N610" s="36" t="n"/>
      <c r="O610" s="41" t="n"/>
      <c r="P610" s="27">
        <f>IF($B610="","",IFERROR(TRIM(LEFT($B610,FIND(" - ",$B610)-1)),"Others"))</f>
        <v/>
      </c>
      <c r="Q610" s="39">
        <f>IF($A610="","",SUM($F610:$H610))</f>
        <v/>
      </c>
      <c r="R610" s="39">
        <f>IF($A610="","",SUM($I610:$K610))</f>
        <v/>
      </c>
      <c r="S610" s="39">
        <f>IF($A610="","",($L610+$R610)-$Q610)</f>
        <v/>
      </c>
      <c r="T610" s="31">
        <f>IF(OR($A610="",$Q610=0),"",$S610/$Q610)</f>
        <v/>
      </c>
      <c r="U610" s="27">
        <f>IF($A610="","",IF($L610&gt;0,"Live","Exited"))</f>
        <v/>
      </c>
      <c r="V610" s="40">
        <f>IF($A610="","",IF($A610='Client Report'!$C$4,COUNTIFS($A$6:$A610,'Client Report'!$C$4),""))</f>
        <v/>
      </c>
    </row>
    <row r="611">
      <c r="A611" s="11" t="n"/>
      <c r="B611" s="11" t="n"/>
      <c r="C611" s="11" t="n"/>
      <c r="D611" s="11" t="n"/>
      <c r="E611" s="12" t="n"/>
      <c r="F611" s="34" t="n"/>
      <c r="G611" s="34" t="n"/>
      <c r="H611" s="34" t="n"/>
      <c r="I611" s="34" t="n"/>
      <c r="J611" s="34" t="n"/>
      <c r="K611" s="34" t="n"/>
      <c r="L611" s="34" t="n"/>
      <c r="M611" s="36" t="n"/>
      <c r="N611" s="36" t="n"/>
      <c r="O611" s="41" t="n"/>
      <c r="P611" s="27">
        <f>IF($B611="","",IFERROR(TRIM(LEFT($B611,FIND(" - ",$B611)-1)),"Others"))</f>
        <v/>
      </c>
      <c r="Q611" s="39">
        <f>IF($A611="","",SUM($F611:$H611))</f>
        <v/>
      </c>
      <c r="R611" s="39">
        <f>IF($A611="","",SUM($I611:$K611))</f>
        <v/>
      </c>
      <c r="S611" s="39">
        <f>IF($A611="","",($L611+$R611)-$Q611)</f>
        <v/>
      </c>
      <c r="T611" s="31">
        <f>IF(OR($A611="",$Q611=0),"",$S611/$Q611)</f>
        <v/>
      </c>
      <c r="U611" s="27">
        <f>IF($A611="","",IF($L611&gt;0,"Live","Exited"))</f>
        <v/>
      </c>
      <c r="V611" s="40">
        <f>IF($A611="","",IF($A611='Client Report'!$C$4,COUNTIFS($A$6:$A611,'Client Report'!$C$4),""))</f>
        <v/>
      </c>
    </row>
    <row r="612">
      <c r="A612" s="11" t="n"/>
      <c r="B612" s="11" t="n"/>
      <c r="C612" s="11" t="n"/>
      <c r="D612" s="11" t="n"/>
      <c r="E612" s="12" t="n"/>
      <c r="F612" s="34" t="n"/>
      <c r="G612" s="34" t="n"/>
      <c r="H612" s="34" t="n"/>
      <c r="I612" s="34" t="n"/>
      <c r="J612" s="34" t="n"/>
      <c r="K612" s="34" t="n"/>
      <c r="L612" s="34" t="n"/>
      <c r="M612" s="36" t="n"/>
      <c r="N612" s="36" t="n"/>
      <c r="O612" s="41" t="n"/>
      <c r="P612" s="27">
        <f>IF($B612="","",IFERROR(TRIM(LEFT($B612,FIND(" - ",$B612)-1)),"Others"))</f>
        <v/>
      </c>
      <c r="Q612" s="39">
        <f>IF($A612="","",SUM($F612:$H612))</f>
        <v/>
      </c>
      <c r="R612" s="39">
        <f>IF($A612="","",SUM($I612:$K612))</f>
        <v/>
      </c>
      <c r="S612" s="39">
        <f>IF($A612="","",($L612+$R612)-$Q612)</f>
        <v/>
      </c>
      <c r="T612" s="31">
        <f>IF(OR($A612="",$Q612=0),"",$S612/$Q612)</f>
        <v/>
      </c>
      <c r="U612" s="27">
        <f>IF($A612="","",IF($L612&gt;0,"Live","Exited"))</f>
        <v/>
      </c>
      <c r="V612" s="40">
        <f>IF($A612="","",IF($A612='Client Report'!$C$4,COUNTIFS($A$6:$A612,'Client Report'!$C$4),""))</f>
        <v/>
      </c>
    </row>
    <row r="613">
      <c r="A613" s="11" t="n"/>
      <c r="B613" s="11" t="n"/>
      <c r="C613" s="11" t="n"/>
      <c r="D613" s="11" t="n"/>
      <c r="E613" s="12" t="n"/>
      <c r="F613" s="34" t="n"/>
      <c r="G613" s="34" t="n"/>
      <c r="H613" s="34" t="n"/>
      <c r="I613" s="34" t="n"/>
      <c r="J613" s="34" t="n"/>
      <c r="K613" s="34" t="n"/>
      <c r="L613" s="34" t="n"/>
      <c r="M613" s="36" t="n"/>
      <c r="N613" s="36" t="n"/>
      <c r="O613" s="41" t="n"/>
      <c r="P613" s="27">
        <f>IF($B613="","",IFERROR(TRIM(LEFT($B613,FIND(" - ",$B613)-1)),"Others"))</f>
        <v/>
      </c>
      <c r="Q613" s="39">
        <f>IF($A613="","",SUM($F613:$H613))</f>
        <v/>
      </c>
      <c r="R613" s="39">
        <f>IF($A613="","",SUM($I613:$K613))</f>
        <v/>
      </c>
      <c r="S613" s="39">
        <f>IF($A613="","",($L613+$R613)-$Q613)</f>
        <v/>
      </c>
      <c r="T613" s="31">
        <f>IF(OR($A613="",$Q613=0),"",$S613/$Q613)</f>
        <v/>
      </c>
      <c r="U613" s="27">
        <f>IF($A613="","",IF($L613&gt;0,"Live","Exited"))</f>
        <v/>
      </c>
      <c r="V613" s="40">
        <f>IF($A613="","",IF($A613='Client Report'!$C$4,COUNTIFS($A$6:$A613,'Client Report'!$C$4),""))</f>
        <v/>
      </c>
    </row>
    <row r="614">
      <c r="A614" s="11" t="n"/>
      <c r="B614" s="11" t="n"/>
      <c r="C614" s="11" t="n"/>
      <c r="D614" s="11" t="n"/>
      <c r="E614" s="12" t="n"/>
      <c r="F614" s="34" t="n"/>
      <c r="G614" s="34" t="n"/>
      <c r="H614" s="34" t="n"/>
      <c r="I614" s="34" t="n"/>
      <c r="J614" s="34" t="n"/>
      <c r="K614" s="34" t="n"/>
      <c r="L614" s="34" t="n"/>
      <c r="M614" s="36" t="n"/>
      <c r="N614" s="36" t="n"/>
      <c r="O614" s="41" t="n"/>
      <c r="P614" s="27">
        <f>IF($B614="","",IFERROR(TRIM(LEFT($B614,FIND(" - ",$B614)-1)),"Others"))</f>
        <v/>
      </c>
      <c r="Q614" s="39">
        <f>IF($A614="","",SUM($F614:$H614))</f>
        <v/>
      </c>
      <c r="R614" s="39">
        <f>IF($A614="","",SUM($I614:$K614))</f>
        <v/>
      </c>
      <c r="S614" s="39">
        <f>IF($A614="","",($L614+$R614)-$Q614)</f>
        <v/>
      </c>
      <c r="T614" s="31">
        <f>IF(OR($A614="",$Q614=0),"",$S614/$Q614)</f>
        <v/>
      </c>
      <c r="U614" s="27">
        <f>IF($A614="","",IF($L614&gt;0,"Live","Exited"))</f>
        <v/>
      </c>
      <c r="V614" s="40">
        <f>IF($A614="","",IF($A614='Client Report'!$C$4,COUNTIFS($A$6:$A614,'Client Report'!$C$4),""))</f>
        <v/>
      </c>
    </row>
    <row r="615">
      <c r="A615" s="11" t="n"/>
      <c r="B615" s="11" t="n"/>
      <c r="C615" s="11" t="n"/>
      <c r="D615" s="11" t="n"/>
      <c r="E615" s="12" t="n"/>
      <c r="F615" s="34" t="n"/>
      <c r="G615" s="34" t="n"/>
      <c r="H615" s="34" t="n"/>
      <c r="I615" s="34" t="n"/>
      <c r="J615" s="34" t="n"/>
      <c r="K615" s="34" t="n"/>
      <c r="L615" s="34" t="n"/>
      <c r="M615" s="36" t="n"/>
      <c r="N615" s="36" t="n"/>
      <c r="O615" s="41" t="n"/>
      <c r="P615" s="27">
        <f>IF($B615="","",IFERROR(TRIM(LEFT($B615,FIND(" - ",$B615)-1)),"Others"))</f>
        <v/>
      </c>
      <c r="Q615" s="39">
        <f>IF($A615="","",SUM($F615:$H615))</f>
        <v/>
      </c>
      <c r="R615" s="39">
        <f>IF($A615="","",SUM($I615:$K615))</f>
        <v/>
      </c>
      <c r="S615" s="39">
        <f>IF($A615="","",($L615+$R615)-$Q615)</f>
        <v/>
      </c>
      <c r="T615" s="31">
        <f>IF(OR($A615="",$Q615=0),"",$S615/$Q615)</f>
        <v/>
      </c>
      <c r="U615" s="27">
        <f>IF($A615="","",IF($L615&gt;0,"Live","Exited"))</f>
        <v/>
      </c>
      <c r="V615" s="40">
        <f>IF($A615="","",IF($A615='Client Report'!$C$4,COUNTIFS($A$6:$A615,'Client Report'!$C$4),""))</f>
        <v/>
      </c>
    </row>
    <row r="616">
      <c r="A616" s="11" t="n"/>
      <c r="B616" s="11" t="n"/>
      <c r="C616" s="11" t="n"/>
      <c r="D616" s="11" t="n"/>
      <c r="E616" s="12" t="n"/>
      <c r="F616" s="34" t="n"/>
      <c r="G616" s="34" t="n"/>
      <c r="H616" s="34" t="n"/>
      <c r="I616" s="34" t="n"/>
      <c r="J616" s="34" t="n"/>
      <c r="K616" s="34" t="n"/>
      <c r="L616" s="34" t="n"/>
      <c r="M616" s="36" t="n"/>
      <c r="N616" s="36" t="n"/>
      <c r="O616" s="41" t="n"/>
      <c r="P616" s="27">
        <f>IF($B616="","",IFERROR(TRIM(LEFT($B616,FIND(" - ",$B616)-1)),"Others"))</f>
        <v/>
      </c>
      <c r="Q616" s="39">
        <f>IF($A616="","",SUM($F616:$H616))</f>
        <v/>
      </c>
      <c r="R616" s="39">
        <f>IF($A616="","",SUM($I616:$K616))</f>
        <v/>
      </c>
      <c r="S616" s="39">
        <f>IF($A616="","",($L616+$R616)-$Q616)</f>
        <v/>
      </c>
      <c r="T616" s="31">
        <f>IF(OR($A616="",$Q616=0),"",$S616/$Q616)</f>
        <v/>
      </c>
      <c r="U616" s="27">
        <f>IF($A616="","",IF($L616&gt;0,"Live","Exited"))</f>
        <v/>
      </c>
      <c r="V616" s="40">
        <f>IF($A616="","",IF($A616='Client Report'!$C$4,COUNTIFS($A$6:$A616,'Client Report'!$C$4),""))</f>
        <v/>
      </c>
    </row>
    <row r="617">
      <c r="A617" s="11" t="n"/>
      <c r="B617" s="11" t="n"/>
      <c r="C617" s="11" t="n"/>
      <c r="D617" s="11" t="n"/>
      <c r="E617" s="12" t="n"/>
      <c r="F617" s="34" t="n"/>
      <c r="G617" s="34" t="n"/>
      <c r="H617" s="34" t="n"/>
      <c r="I617" s="34" t="n"/>
      <c r="J617" s="34" t="n"/>
      <c r="K617" s="34" t="n"/>
      <c r="L617" s="34" t="n"/>
      <c r="M617" s="36" t="n"/>
      <c r="N617" s="36" t="n"/>
      <c r="O617" s="41" t="n"/>
      <c r="P617" s="27">
        <f>IF($B617="","",IFERROR(TRIM(LEFT($B617,FIND(" - ",$B617)-1)),"Others"))</f>
        <v/>
      </c>
      <c r="Q617" s="39">
        <f>IF($A617="","",SUM($F617:$H617))</f>
        <v/>
      </c>
      <c r="R617" s="39">
        <f>IF($A617="","",SUM($I617:$K617))</f>
        <v/>
      </c>
      <c r="S617" s="39">
        <f>IF($A617="","",($L617+$R617)-$Q617)</f>
        <v/>
      </c>
      <c r="T617" s="31">
        <f>IF(OR($A617="",$Q617=0),"",$S617/$Q617)</f>
        <v/>
      </c>
      <c r="U617" s="27">
        <f>IF($A617="","",IF($L617&gt;0,"Live","Exited"))</f>
        <v/>
      </c>
      <c r="V617" s="40">
        <f>IF($A617="","",IF($A617='Client Report'!$C$4,COUNTIFS($A$6:$A617,'Client Report'!$C$4),""))</f>
        <v/>
      </c>
    </row>
    <row r="618">
      <c r="A618" s="11" t="n"/>
      <c r="B618" s="11" t="n"/>
      <c r="C618" s="11" t="n"/>
      <c r="D618" s="11" t="n"/>
      <c r="E618" s="12" t="n"/>
      <c r="F618" s="34" t="n"/>
      <c r="G618" s="34" t="n"/>
      <c r="H618" s="34" t="n"/>
      <c r="I618" s="34" t="n"/>
      <c r="J618" s="34" t="n"/>
      <c r="K618" s="34" t="n"/>
      <c r="L618" s="34" t="n"/>
      <c r="M618" s="36" t="n"/>
      <c r="N618" s="36" t="n"/>
      <c r="O618" s="41" t="n"/>
      <c r="P618" s="27">
        <f>IF($B618="","",IFERROR(TRIM(LEFT($B618,FIND(" - ",$B618)-1)),"Others"))</f>
        <v/>
      </c>
      <c r="Q618" s="39">
        <f>IF($A618="","",SUM($F618:$H618))</f>
        <v/>
      </c>
      <c r="R618" s="39">
        <f>IF($A618="","",SUM($I618:$K618))</f>
        <v/>
      </c>
      <c r="S618" s="39">
        <f>IF($A618="","",($L618+$R618)-$Q618)</f>
        <v/>
      </c>
      <c r="T618" s="31">
        <f>IF(OR($A618="",$Q618=0),"",$S618/$Q618)</f>
        <v/>
      </c>
      <c r="U618" s="27">
        <f>IF($A618="","",IF($L618&gt;0,"Live","Exited"))</f>
        <v/>
      </c>
      <c r="V618" s="40">
        <f>IF($A618="","",IF($A618='Client Report'!$C$4,COUNTIFS($A$6:$A618,'Client Report'!$C$4),""))</f>
        <v/>
      </c>
    </row>
    <row r="619">
      <c r="A619" s="11" t="n"/>
      <c r="B619" s="11" t="n"/>
      <c r="C619" s="11" t="n"/>
      <c r="D619" s="11" t="n"/>
      <c r="E619" s="12" t="n"/>
      <c r="F619" s="34" t="n"/>
      <c r="G619" s="34" t="n"/>
      <c r="H619" s="34" t="n"/>
      <c r="I619" s="34" t="n"/>
      <c r="J619" s="34" t="n"/>
      <c r="K619" s="34" t="n"/>
      <c r="L619" s="34" t="n"/>
      <c r="M619" s="36" t="n"/>
      <c r="N619" s="36" t="n"/>
      <c r="O619" s="41" t="n"/>
      <c r="P619" s="27">
        <f>IF($B619="","",IFERROR(TRIM(LEFT($B619,FIND(" - ",$B619)-1)),"Others"))</f>
        <v/>
      </c>
      <c r="Q619" s="39">
        <f>IF($A619="","",SUM($F619:$H619))</f>
        <v/>
      </c>
      <c r="R619" s="39">
        <f>IF($A619="","",SUM($I619:$K619))</f>
        <v/>
      </c>
      <c r="S619" s="39">
        <f>IF($A619="","",($L619+$R619)-$Q619)</f>
        <v/>
      </c>
      <c r="T619" s="31">
        <f>IF(OR($A619="",$Q619=0),"",$S619/$Q619)</f>
        <v/>
      </c>
      <c r="U619" s="27">
        <f>IF($A619="","",IF($L619&gt;0,"Live","Exited"))</f>
        <v/>
      </c>
      <c r="V619" s="40">
        <f>IF($A619="","",IF($A619='Client Report'!$C$4,COUNTIFS($A$6:$A619,'Client Report'!$C$4),""))</f>
        <v/>
      </c>
    </row>
    <row r="620">
      <c r="A620" s="11" t="n"/>
      <c r="B620" s="11" t="n"/>
      <c r="C620" s="11" t="n"/>
      <c r="D620" s="11" t="n"/>
      <c r="E620" s="12" t="n"/>
      <c r="F620" s="34" t="n"/>
      <c r="G620" s="34" t="n"/>
      <c r="H620" s="34" t="n"/>
      <c r="I620" s="34" t="n"/>
      <c r="J620" s="34" t="n"/>
      <c r="K620" s="34" t="n"/>
      <c r="L620" s="34" t="n"/>
      <c r="M620" s="36" t="n"/>
      <c r="N620" s="36" t="n"/>
      <c r="O620" s="41" t="n"/>
      <c r="P620" s="27">
        <f>IF($B620="","",IFERROR(TRIM(LEFT($B620,FIND(" - ",$B620)-1)),"Others"))</f>
        <v/>
      </c>
      <c r="Q620" s="39">
        <f>IF($A620="","",SUM($F620:$H620))</f>
        <v/>
      </c>
      <c r="R620" s="39">
        <f>IF($A620="","",SUM($I620:$K620))</f>
        <v/>
      </c>
      <c r="S620" s="39">
        <f>IF($A620="","",($L620+$R620)-$Q620)</f>
        <v/>
      </c>
      <c r="T620" s="31">
        <f>IF(OR($A620="",$Q620=0),"",$S620/$Q620)</f>
        <v/>
      </c>
      <c r="U620" s="27">
        <f>IF($A620="","",IF($L620&gt;0,"Live","Exited"))</f>
        <v/>
      </c>
      <c r="V620" s="40">
        <f>IF($A620="","",IF($A620='Client Report'!$C$4,COUNTIFS($A$6:$A620,'Client Report'!$C$4),""))</f>
        <v/>
      </c>
    </row>
    <row r="621">
      <c r="A621" s="11" t="n"/>
      <c r="B621" s="11" t="n"/>
      <c r="C621" s="11" t="n"/>
      <c r="D621" s="11" t="n"/>
      <c r="E621" s="12" t="n"/>
      <c r="F621" s="34" t="n"/>
      <c r="G621" s="34" t="n"/>
      <c r="H621" s="34" t="n"/>
      <c r="I621" s="34" t="n"/>
      <c r="J621" s="34" t="n"/>
      <c r="K621" s="34" t="n"/>
      <c r="L621" s="34" t="n"/>
      <c r="M621" s="36" t="n"/>
      <c r="N621" s="36" t="n"/>
      <c r="O621" s="41" t="n"/>
      <c r="P621" s="27">
        <f>IF($B621="","",IFERROR(TRIM(LEFT($B621,FIND(" - ",$B621)-1)),"Others"))</f>
        <v/>
      </c>
      <c r="Q621" s="39">
        <f>IF($A621="","",SUM($F621:$H621))</f>
        <v/>
      </c>
      <c r="R621" s="39">
        <f>IF($A621="","",SUM($I621:$K621))</f>
        <v/>
      </c>
      <c r="S621" s="39">
        <f>IF($A621="","",($L621+$R621)-$Q621)</f>
        <v/>
      </c>
      <c r="T621" s="31">
        <f>IF(OR($A621="",$Q621=0),"",$S621/$Q621)</f>
        <v/>
      </c>
      <c r="U621" s="27">
        <f>IF($A621="","",IF($L621&gt;0,"Live","Exited"))</f>
        <v/>
      </c>
      <c r="V621" s="40">
        <f>IF($A621="","",IF($A621='Client Report'!$C$4,COUNTIFS($A$6:$A621,'Client Report'!$C$4),""))</f>
        <v/>
      </c>
    </row>
    <row r="622">
      <c r="A622" s="11" t="n"/>
      <c r="B622" s="11" t="n"/>
      <c r="C622" s="11" t="n"/>
      <c r="D622" s="11" t="n"/>
      <c r="E622" s="12" t="n"/>
      <c r="F622" s="34" t="n"/>
      <c r="G622" s="34" t="n"/>
      <c r="H622" s="34" t="n"/>
      <c r="I622" s="34" t="n"/>
      <c r="J622" s="34" t="n"/>
      <c r="K622" s="34" t="n"/>
      <c r="L622" s="34" t="n"/>
      <c r="M622" s="36" t="n"/>
      <c r="N622" s="36" t="n"/>
      <c r="O622" s="41" t="n"/>
      <c r="P622" s="27">
        <f>IF($B622="","",IFERROR(TRIM(LEFT($B622,FIND(" - ",$B622)-1)),"Others"))</f>
        <v/>
      </c>
      <c r="Q622" s="39">
        <f>IF($A622="","",SUM($F622:$H622))</f>
        <v/>
      </c>
      <c r="R622" s="39">
        <f>IF($A622="","",SUM($I622:$K622))</f>
        <v/>
      </c>
      <c r="S622" s="39">
        <f>IF($A622="","",($L622+$R622)-$Q622)</f>
        <v/>
      </c>
      <c r="T622" s="31">
        <f>IF(OR($A622="",$Q622=0),"",$S622/$Q622)</f>
        <v/>
      </c>
      <c r="U622" s="27">
        <f>IF($A622="","",IF($L622&gt;0,"Live","Exited"))</f>
        <v/>
      </c>
      <c r="V622" s="40">
        <f>IF($A622="","",IF($A622='Client Report'!$C$4,COUNTIFS($A$6:$A622,'Client Report'!$C$4),""))</f>
        <v/>
      </c>
    </row>
    <row r="623">
      <c r="A623" s="11" t="n"/>
      <c r="B623" s="11" t="n"/>
      <c r="C623" s="11" t="n"/>
      <c r="D623" s="11" t="n"/>
      <c r="E623" s="12" t="n"/>
      <c r="F623" s="34" t="n"/>
      <c r="G623" s="34" t="n"/>
      <c r="H623" s="34" t="n"/>
      <c r="I623" s="34" t="n"/>
      <c r="J623" s="34" t="n"/>
      <c r="K623" s="34" t="n"/>
      <c r="L623" s="34" t="n"/>
      <c r="M623" s="36" t="n"/>
      <c r="N623" s="36" t="n"/>
      <c r="O623" s="41" t="n"/>
      <c r="P623" s="27">
        <f>IF($B623="","",IFERROR(TRIM(LEFT($B623,FIND(" - ",$B623)-1)),"Others"))</f>
        <v/>
      </c>
      <c r="Q623" s="39">
        <f>IF($A623="","",SUM($F623:$H623))</f>
        <v/>
      </c>
      <c r="R623" s="39">
        <f>IF($A623="","",SUM($I623:$K623))</f>
        <v/>
      </c>
      <c r="S623" s="39">
        <f>IF($A623="","",($L623+$R623)-$Q623)</f>
        <v/>
      </c>
      <c r="T623" s="31">
        <f>IF(OR($A623="",$Q623=0),"",$S623/$Q623)</f>
        <v/>
      </c>
      <c r="U623" s="27">
        <f>IF($A623="","",IF($L623&gt;0,"Live","Exited"))</f>
        <v/>
      </c>
      <c r="V623" s="40">
        <f>IF($A623="","",IF($A623='Client Report'!$C$4,COUNTIFS($A$6:$A623,'Client Report'!$C$4),""))</f>
        <v/>
      </c>
    </row>
    <row r="624">
      <c r="A624" s="11" t="n"/>
      <c r="B624" s="11" t="n"/>
      <c r="C624" s="11" t="n"/>
      <c r="D624" s="11" t="n"/>
      <c r="E624" s="12" t="n"/>
      <c r="F624" s="34" t="n"/>
      <c r="G624" s="34" t="n"/>
      <c r="H624" s="34" t="n"/>
      <c r="I624" s="34" t="n"/>
      <c r="J624" s="34" t="n"/>
      <c r="K624" s="34" t="n"/>
      <c r="L624" s="34" t="n"/>
      <c r="M624" s="36" t="n"/>
      <c r="N624" s="36" t="n"/>
      <c r="O624" s="41" t="n"/>
      <c r="P624" s="27">
        <f>IF($B624="","",IFERROR(TRIM(LEFT($B624,FIND(" - ",$B624)-1)),"Others"))</f>
        <v/>
      </c>
      <c r="Q624" s="39">
        <f>IF($A624="","",SUM($F624:$H624))</f>
        <v/>
      </c>
      <c r="R624" s="39">
        <f>IF($A624="","",SUM($I624:$K624))</f>
        <v/>
      </c>
      <c r="S624" s="39">
        <f>IF($A624="","",($L624+$R624)-$Q624)</f>
        <v/>
      </c>
      <c r="T624" s="31">
        <f>IF(OR($A624="",$Q624=0),"",$S624/$Q624)</f>
        <v/>
      </c>
      <c r="U624" s="27">
        <f>IF($A624="","",IF($L624&gt;0,"Live","Exited"))</f>
        <v/>
      </c>
      <c r="V624" s="40">
        <f>IF($A624="","",IF($A624='Client Report'!$C$4,COUNTIFS($A$6:$A624,'Client Report'!$C$4),""))</f>
        <v/>
      </c>
    </row>
    <row r="625">
      <c r="A625" s="11" t="n"/>
      <c r="B625" s="11" t="n"/>
      <c r="C625" s="11" t="n"/>
      <c r="D625" s="11" t="n"/>
      <c r="E625" s="12" t="n"/>
      <c r="F625" s="34" t="n"/>
      <c r="G625" s="34" t="n"/>
      <c r="H625" s="34" t="n"/>
      <c r="I625" s="34" t="n"/>
      <c r="J625" s="34" t="n"/>
      <c r="K625" s="34" t="n"/>
      <c r="L625" s="34" t="n"/>
      <c r="M625" s="36" t="n"/>
      <c r="N625" s="36" t="n"/>
      <c r="O625" s="41" t="n"/>
      <c r="P625" s="27">
        <f>IF($B625="","",IFERROR(TRIM(LEFT($B625,FIND(" - ",$B625)-1)),"Others"))</f>
        <v/>
      </c>
      <c r="Q625" s="39">
        <f>IF($A625="","",SUM($F625:$H625))</f>
        <v/>
      </c>
      <c r="R625" s="39">
        <f>IF($A625="","",SUM($I625:$K625))</f>
        <v/>
      </c>
      <c r="S625" s="39">
        <f>IF($A625="","",($L625+$R625)-$Q625)</f>
        <v/>
      </c>
      <c r="T625" s="31">
        <f>IF(OR($A625="",$Q625=0),"",$S625/$Q625)</f>
        <v/>
      </c>
      <c r="U625" s="27">
        <f>IF($A625="","",IF($L625&gt;0,"Live","Exited"))</f>
        <v/>
      </c>
      <c r="V625" s="40">
        <f>IF($A625="","",IF($A625='Client Report'!$C$4,COUNTIFS($A$6:$A625,'Client Report'!$C$4),""))</f>
        <v/>
      </c>
    </row>
    <row r="626">
      <c r="A626" s="11" t="n"/>
      <c r="B626" s="11" t="n"/>
      <c r="C626" s="11" t="n"/>
      <c r="D626" s="11" t="n"/>
      <c r="E626" s="12" t="n"/>
      <c r="F626" s="34" t="n"/>
      <c r="G626" s="34" t="n"/>
      <c r="H626" s="34" t="n"/>
      <c r="I626" s="34" t="n"/>
      <c r="J626" s="34" t="n"/>
      <c r="K626" s="34" t="n"/>
      <c r="L626" s="34" t="n"/>
      <c r="M626" s="36" t="n"/>
      <c r="N626" s="36" t="n"/>
      <c r="O626" s="41" t="n"/>
      <c r="P626" s="27">
        <f>IF($B626="","",IFERROR(TRIM(LEFT($B626,FIND(" - ",$B626)-1)),"Others"))</f>
        <v/>
      </c>
      <c r="Q626" s="39">
        <f>IF($A626="","",SUM($F626:$H626))</f>
        <v/>
      </c>
      <c r="R626" s="39">
        <f>IF($A626="","",SUM($I626:$K626))</f>
        <v/>
      </c>
      <c r="S626" s="39">
        <f>IF($A626="","",($L626+$R626)-$Q626)</f>
        <v/>
      </c>
      <c r="T626" s="31">
        <f>IF(OR($A626="",$Q626=0),"",$S626/$Q626)</f>
        <v/>
      </c>
      <c r="U626" s="27">
        <f>IF($A626="","",IF($L626&gt;0,"Live","Exited"))</f>
        <v/>
      </c>
      <c r="V626" s="40">
        <f>IF($A626="","",IF($A626='Client Report'!$C$4,COUNTIFS($A$6:$A626,'Client Report'!$C$4),""))</f>
        <v/>
      </c>
    </row>
    <row r="627">
      <c r="A627" s="11" t="n"/>
      <c r="B627" s="11" t="n"/>
      <c r="C627" s="11" t="n"/>
      <c r="D627" s="11" t="n"/>
      <c r="E627" s="12" t="n"/>
      <c r="F627" s="34" t="n"/>
      <c r="G627" s="34" t="n"/>
      <c r="H627" s="34" t="n"/>
      <c r="I627" s="34" t="n"/>
      <c r="J627" s="34" t="n"/>
      <c r="K627" s="34" t="n"/>
      <c r="L627" s="34" t="n"/>
      <c r="M627" s="36" t="n"/>
      <c r="N627" s="36" t="n"/>
      <c r="O627" s="41" t="n"/>
      <c r="P627" s="27">
        <f>IF($B627="","",IFERROR(TRIM(LEFT($B627,FIND(" - ",$B627)-1)),"Others"))</f>
        <v/>
      </c>
      <c r="Q627" s="39">
        <f>IF($A627="","",SUM($F627:$H627))</f>
        <v/>
      </c>
      <c r="R627" s="39">
        <f>IF($A627="","",SUM($I627:$K627))</f>
        <v/>
      </c>
      <c r="S627" s="39">
        <f>IF($A627="","",($L627+$R627)-$Q627)</f>
        <v/>
      </c>
      <c r="T627" s="31">
        <f>IF(OR($A627="",$Q627=0),"",$S627/$Q627)</f>
        <v/>
      </c>
      <c r="U627" s="27">
        <f>IF($A627="","",IF($L627&gt;0,"Live","Exited"))</f>
        <v/>
      </c>
      <c r="V627" s="40">
        <f>IF($A627="","",IF($A627='Client Report'!$C$4,COUNTIFS($A$6:$A627,'Client Report'!$C$4),""))</f>
        <v/>
      </c>
    </row>
    <row r="628">
      <c r="A628" s="11" t="n"/>
      <c r="B628" s="11" t="n"/>
      <c r="C628" s="11" t="n"/>
      <c r="D628" s="11" t="n"/>
      <c r="E628" s="12" t="n"/>
      <c r="F628" s="34" t="n"/>
      <c r="G628" s="34" t="n"/>
      <c r="H628" s="34" t="n"/>
      <c r="I628" s="34" t="n"/>
      <c r="J628" s="34" t="n"/>
      <c r="K628" s="34" t="n"/>
      <c r="L628" s="34" t="n"/>
      <c r="M628" s="36" t="n"/>
      <c r="N628" s="36" t="n"/>
      <c r="O628" s="41" t="n"/>
      <c r="P628" s="27">
        <f>IF($B628="","",IFERROR(TRIM(LEFT($B628,FIND(" - ",$B628)-1)),"Others"))</f>
        <v/>
      </c>
      <c r="Q628" s="39">
        <f>IF($A628="","",SUM($F628:$H628))</f>
        <v/>
      </c>
      <c r="R628" s="39">
        <f>IF($A628="","",SUM($I628:$K628))</f>
        <v/>
      </c>
      <c r="S628" s="39">
        <f>IF($A628="","",($L628+$R628)-$Q628)</f>
        <v/>
      </c>
      <c r="T628" s="31">
        <f>IF(OR($A628="",$Q628=0),"",$S628/$Q628)</f>
        <v/>
      </c>
      <c r="U628" s="27">
        <f>IF($A628="","",IF($L628&gt;0,"Live","Exited"))</f>
        <v/>
      </c>
      <c r="V628" s="40">
        <f>IF($A628="","",IF($A628='Client Report'!$C$4,COUNTIFS($A$6:$A628,'Client Report'!$C$4),""))</f>
        <v/>
      </c>
    </row>
    <row r="629">
      <c r="A629" s="11" t="n"/>
      <c r="B629" s="11" t="n"/>
      <c r="C629" s="11" t="n"/>
      <c r="D629" s="11" t="n"/>
      <c r="E629" s="12" t="n"/>
      <c r="F629" s="34" t="n"/>
      <c r="G629" s="34" t="n"/>
      <c r="H629" s="34" t="n"/>
      <c r="I629" s="34" t="n"/>
      <c r="J629" s="34" t="n"/>
      <c r="K629" s="34" t="n"/>
      <c r="L629" s="34" t="n"/>
      <c r="M629" s="36" t="n"/>
      <c r="N629" s="36" t="n"/>
      <c r="O629" s="41" t="n"/>
      <c r="P629" s="27">
        <f>IF($B629="","",IFERROR(TRIM(LEFT($B629,FIND(" - ",$B629)-1)),"Others"))</f>
        <v/>
      </c>
      <c r="Q629" s="39">
        <f>IF($A629="","",SUM($F629:$H629))</f>
        <v/>
      </c>
      <c r="R629" s="39">
        <f>IF($A629="","",SUM($I629:$K629))</f>
        <v/>
      </c>
      <c r="S629" s="39">
        <f>IF($A629="","",($L629+$R629)-$Q629)</f>
        <v/>
      </c>
      <c r="T629" s="31">
        <f>IF(OR($A629="",$Q629=0),"",$S629/$Q629)</f>
        <v/>
      </c>
      <c r="U629" s="27">
        <f>IF($A629="","",IF($L629&gt;0,"Live","Exited"))</f>
        <v/>
      </c>
      <c r="V629" s="40">
        <f>IF($A629="","",IF($A629='Client Report'!$C$4,COUNTIFS($A$6:$A629,'Client Report'!$C$4),""))</f>
        <v/>
      </c>
    </row>
    <row r="630">
      <c r="A630" s="11" t="n"/>
      <c r="B630" s="11" t="n"/>
      <c r="C630" s="11" t="n"/>
      <c r="D630" s="11" t="n"/>
      <c r="E630" s="12" t="n"/>
      <c r="F630" s="34" t="n"/>
      <c r="G630" s="34" t="n"/>
      <c r="H630" s="34" t="n"/>
      <c r="I630" s="34" t="n"/>
      <c r="J630" s="34" t="n"/>
      <c r="K630" s="34" t="n"/>
      <c r="L630" s="34" t="n"/>
      <c r="M630" s="36" t="n"/>
      <c r="N630" s="36" t="n"/>
      <c r="O630" s="41" t="n"/>
      <c r="P630" s="27">
        <f>IF($B630="","",IFERROR(TRIM(LEFT($B630,FIND(" - ",$B630)-1)),"Others"))</f>
        <v/>
      </c>
      <c r="Q630" s="39">
        <f>IF($A630="","",SUM($F630:$H630))</f>
        <v/>
      </c>
      <c r="R630" s="39">
        <f>IF($A630="","",SUM($I630:$K630))</f>
        <v/>
      </c>
      <c r="S630" s="39">
        <f>IF($A630="","",($L630+$R630)-$Q630)</f>
        <v/>
      </c>
      <c r="T630" s="31">
        <f>IF(OR($A630="",$Q630=0),"",$S630/$Q630)</f>
        <v/>
      </c>
      <c r="U630" s="27">
        <f>IF($A630="","",IF($L630&gt;0,"Live","Exited"))</f>
        <v/>
      </c>
      <c r="V630" s="40">
        <f>IF($A630="","",IF($A630='Client Report'!$C$4,COUNTIFS($A$6:$A630,'Client Report'!$C$4),""))</f>
        <v/>
      </c>
    </row>
    <row r="631">
      <c r="A631" s="11" t="n"/>
      <c r="B631" s="11" t="n"/>
      <c r="C631" s="11" t="n"/>
      <c r="D631" s="11" t="n"/>
      <c r="E631" s="12" t="n"/>
      <c r="F631" s="34" t="n"/>
      <c r="G631" s="34" t="n"/>
      <c r="H631" s="34" t="n"/>
      <c r="I631" s="34" t="n"/>
      <c r="J631" s="34" t="n"/>
      <c r="K631" s="34" t="n"/>
      <c r="L631" s="34" t="n"/>
      <c r="M631" s="36" t="n"/>
      <c r="N631" s="36" t="n"/>
      <c r="O631" s="41" t="n"/>
      <c r="P631" s="27">
        <f>IF($B631="","",IFERROR(TRIM(LEFT($B631,FIND(" - ",$B631)-1)),"Others"))</f>
        <v/>
      </c>
      <c r="Q631" s="39">
        <f>IF($A631="","",SUM($F631:$H631))</f>
        <v/>
      </c>
      <c r="R631" s="39">
        <f>IF($A631="","",SUM($I631:$K631))</f>
        <v/>
      </c>
      <c r="S631" s="39">
        <f>IF($A631="","",($L631+$R631)-$Q631)</f>
        <v/>
      </c>
      <c r="T631" s="31">
        <f>IF(OR($A631="",$Q631=0),"",$S631/$Q631)</f>
        <v/>
      </c>
      <c r="U631" s="27">
        <f>IF($A631="","",IF($L631&gt;0,"Live","Exited"))</f>
        <v/>
      </c>
      <c r="V631" s="40">
        <f>IF($A631="","",IF($A631='Client Report'!$C$4,COUNTIFS($A$6:$A631,'Client Report'!$C$4),""))</f>
        <v/>
      </c>
    </row>
    <row r="632">
      <c r="A632" s="11" t="n"/>
      <c r="B632" s="11" t="n"/>
      <c r="C632" s="11" t="n"/>
      <c r="D632" s="11" t="n"/>
      <c r="E632" s="12" t="n"/>
      <c r="F632" s="34" t="n"/>
      <c r="G632" s="34" t="n"/>
      <c r="H632" s="34" t="n"/>
      <c r="I632" s="34" t="n"/>
      <c r="J632" s="34" t="n"/>
      <c r="K632" s="34" t="n"/>
      <c r="L632" s="34" t="n"/>
      <c r="M632" s="36" t="n"/>
      <c r="N632" s="36" t="n"/>
      <c r="O632" s="41" t="n"/>
      <c r="P632" s="27">
        <f>IF($B632="","",IFERROR(TRIM(LEFT($B632,FIND(" - ",$B632)-1)),"Others"))</f>
        <v/>
      </c>
      <c r="Q632" s="39">
        <f>IF($A632="","",SUM($F632:$H632))</f>
        <v/>
      </c>
      <c r="R632" s="39">
        <f>IF($A632="","",SUM($I632:$K632))</f>
        <v/>
      </c>
      <c r="S632" s="39">
        <f>IF($A632="","",($L632+$R632)-$Q632)</f>
        <v/>
      </c>
      <c r="T632" s="31">
        <f>IF(OR($A632="",$Q632=0),"",$S632/$Q632)</f>
        <v/>
      </c>
      <c r="U632" s="27">
        <f>IF($A632="","",IF($L632&gt;0,"Live","Exited"))</f>
        <v/>
      </c>
      <c r="V632" s="40">
        <f>IF($A632="","",IF($A632='Client Report'!$C$4,COUNTIFS($A$6:$A632,'Client Report'!$C$4),""))</f>
        <v/>
      </c>
    </row>
    <row r="633">
      <c r="A633" s="11" t="n"/>
      <c r="B633" s="11" t="n"/>
      <c r="C633" s="11" t="n"/>
      <c r="D633" s="11" t="n"/>
      <c r="E633" s="12" t="n"/>
      <c r="F633" s="34" t="n"/>
      <c r="G633" s="34" t="n"/>
      <c r="H633" s="34" t="n"/>
      <c r="I633" s="34" t="n"/>
      <c r="J633" s="34" t="n"/>
      <c r="K633" s="34" t="n"/>
      <c r="L633" s="34" t="n"/>
      <c r="M633" s="36" t="n"/>
      <c r="N633" s="36" t="n"/>
      <c r="O633" s="41" t="n"/>
      <c r="P633" s="27">
        <f>IF($B633="","",IFERROR(TRIM(LEFT($B633,FIND(" - ",$B633)-1)),"Others"))</f>
        <v/>
      </c>
      <c r="Q633" s="39">
        <f>IF($A633="","",SUM($F633:$H633))</f>
        <v/>
      </c>
      <c r="R633" s="39">
        <f>IF($A633="","",SUM($I633:$K633))</f>
        <v/>
      </c>
      <c r="S633" s="39">
        <f>IF($A633="","",($L633+$R633)-$Q633)</f>
        <v/>
      </c>
      <c r="T633" s="31">
        <f>IF(OR($A633="",$Q633=0),"",$S633/$Q633)</f>
        <v/>
      </c>
      <c r="U633" s="27">
        <f>IF($A633="","",IF($L633&gt;0,"Live","Exited"))</f>
        <v/>
      </c>
      <c r="V633" s="40">
        <f>IF($A633="","",IF($A633='Client Report'!$C$4,COUNTIFS($A$6:$A633,'Client Report'!$C$4),""))</f>
        <v/>
      </c>
    </row>
    <row r="634">
      <c r="A634" s="11" t="n"/>
      <c r="B634" s="11" t="n"/>
      <c r="C634" s="11" t="n"/>
      <c r="D634" s="11" t="n"/>
      <c r="E634" s="12" t="n"/>
      <c r="F634" s="34" t="n"/>
      <c r="G634" s="34" t="n"/>
      <c r="H634" s="34" t="n"/>
      <c r="I634" s="34" t="n"/>
      <c r="J634" s="34" t="n"/>
      <c r="K634" s="34" t="n"/>
      <c r="L634" s="34" t="n"/>
      <c r="M634" s="36" t="n"/>
      <c r="N634" s="36" t="n"/>
      <c r="O634" s="41" t="n"/>
      <c r="P634" s="27">
        <f>IF($B634="","",IFERROR(TRIM(LEFT($B634,FIND(" - ",$B634)-1)),"Others"))</f>
        <v/>
      </c>
      <c r="Q634" s="39">
        <f>IF($A634="","",SUM($F634:$H634))</f>
        <v/>
      </c>
      <c r="R634" s="39">
        <f>IF($A634="","",SUM($I634:$K634))</f>
        <v/>
      </c>
      <c r="S634" s="39">
        <f>IF($A634="","",($L634+$R634)-$Q634)</f>
        <v/>
      </c>
      <c r="T634" s="31">
        <f>IF(OR($A634="",$Q634=0),"",$S634/$Q634)</f>
        <v/>
      </c>
      <c r="U634" s="27">
        <f>IF($A634="","",IF($L634&gt;0,"Live","Exited"))</f>
        <v/>
      </c>
      <c r="V634" s="40">
        <f>IF($A634="","",IF($A634='Client Report'!$C$4,COUNTIFS($A$6:$A634,'Client Report'!$C$4),""))</f>
        <v/>
      </c>
    </row>
    <row r="635">
      <c r="A635" s="11" t="n"/>
      <c r="B635" s="11" t="n"/>
      <c r="C635" s="11" t="n"/>
      <c r="D635" s="11" t="n"/>
      <c r="E635" s="12" t="n"/>
      <c r="F635" s="34" t="n"/>
      <c r="G635" s="34" t="n"/>
      <c r="H635" s="34" t="n"/>
      <c r="I635" s="34" t="n"/>
      <c r="J635" s="34" t="n"/>
      <c r="K635" s="34" t="n"/>
      <c r="L635" s="34" t="n"/>
      <c r="M635" s="36" t="n"/>
      <c r="N635" s="36" t="n"/>
      <c r="O635" s="41" t="n"/>
      <c r="P635" s="27">
        <f>IF($B635="","",IFERROR(TRIM(LEFT($B635,FIND(" - ",$B635)-1)),"Others"))</f>
        <v/>
      </c>
      <c r="Q635" s="39">
        <f>IF($A635="","",SUM($F635:$H635))</f>
        <v/>
      </c>
      <c r="R635" s="39">
        <f>IF($A635="","",SUM($I635:$K635))</f>
        <v/>
      </c>
      <c r="S635" s="39">
        <f>IF($A635="","",($L635+$R635)-$Q635)</f>
        <v/>
      </c>
      <c r="T635" s="31">
        <f>IF(OR($A635="",$Q635=0),"",$S635/$Q635)</f>
        <v/>
      </c>
      <c r="U635" s="27">
        <f>IF($A635="","",IF($L635&gt;0,"Live","Exited"))</f>
        <v/>
      </c>
      <c r="V635" s="40">
        <f>IF($A635="","",IF($A635='Client Report'!$C$4,COUNTIFS($A$6:$A635,'Client Report'!$C$4),""))</f>
        <v/>
      </c>
    </row>
    <row r="636">
      <c r="A636" s="11" t="n"/>
      <c r="B636" s="11" t="n"/>
      <c r="C636" s="11" t="n"/>
      <c r="D636" s="11" t="n"/>
      <c r="E636" s="12" t="n"/>
      <c r="F636" s="34" t="n"/>
      <c r="G636" s="34" t="n"/>
      <c r="H636" s="34" t="n"/>
      <c r="I636" s="34" t="n"/>
      <c r="J636" s="34" t="n"/>
      <c r="K636" s="34" t="n"/>
      <c r="L636" s="34" t="n"/>
      <c r="M636" s="36" t="n"/>
      <c r="N636" s="36" t="n"/>
      <c r="O636" s="41" t="n"/>
      <c r="P636" s="27">
        <f>IF($B636="","",IFERROR(TRIM(LEFT($B636,FIND(" - ",$B636)-1)),"Others"))</f>
        <v/>
      </c>
      <c r="Q636" s="39">
        <f>IF($A636="","",SUM($F636:$H636))</f>
        <v/>
      </c>
      <c r="R636" s="39">
        <f>IF($A636="","",SUM($I636:$K636))</f>
        <v/>
      </c>
      <c r="S636" s="39">
        <f>IF($A636="","",($L636+$R636)-$Q636)</f>
        <v/>
      </c>
      <c r="T636" s="31">
        <f>IF(OR($A636="",$Q636=0),"",$S636/$Q636)</f>
        <v/>
      </c>
      <c r="U636" s="27">
        <f>IF($A636="","",IF($L636&gt;0,"Live","Exited"))</f>
        <v/>
      </c>
      <c r="V636" s="40">
        <f>IF($A636="","",IF($A636='Client Report'!$C$4,COUNTIFS($A$6:$A636,'Client Report'!$C$4),""))</f>
        <v/>
      </c>
    </row>
    <row r="637">
      <c r="A637" s="11" t="n"/>
      <c r="B637" s="11" t="n"/>
      <c r="C637" s="11" t="n"/>
      <c r="D637" s="11" t="n"/>
      <c r="E637" s="12" t="n"/>
      <c r="F637" s="34" t="n"/>
      <c r="G637" s="34" t="n"/>
      <c r="H637" s="34" t="n"/>
      <c r="I637" s="34" t="n"/>
      <c r="J637" s="34" t="n"/>
      <c r="K637" s="34" t="n"/>
      <c r="L637" s="34" t="n"/>
      <c r="M637" s="36" t="n"/>
      <c r="N637" s="36" t="n"/>
      <c r="O637" s="41" t="n"/>
      <c r="P637" s="27">
        <f>IF($B637="","",IFERROR(TRIM(LEFT($B637,FIND(" - ",$B637)-1)),"Others"))</f>
        <v/>
      </c>
      <c r="Q637" s="39">
        <f>IF($A637="","",SUM($F637:$H637))</f>
        <v/>
      </c>
      <c r="R637" s="39">
        <f>IF($A637="","",SUM($I637:$K637))</f>
        <v/>
      </c>
      <c r="S637" s="39">
        <f>IF($A637="","",($L637+$R637)-$Q637)</f>
        <v/>
      </c>
      <c r="T637" s="31">
        <f>IF(OR($A637="",$Q637=0),"",$S637/$Q637)</f>
        <v/>
      </c>
      <c r="U637" s="27">
        <f>IF($A637="","",IF($L637&gt;0,"Live","Exited"))</f>
        <v/>
      </c>
      <c r="V637" s="40">
        <f>IF($A637="","",IF($A637='Client Report'!$C$4,COUNTIFS($A$6:$A637,'Client Report'!$C$4),""))</f>
        <v/>
      </c>
    </row>
    <row r="638">
      <c r="A638" s="11" t="n"/>
      <c r="B638" s="11" t="n"/>
      <c r="C638" s="11" t="n"/>
      <c r="D638" s="11" t="n"/>
      <c r="E638" s="12" t="n"/>
      <c r="F638" s="34" t="n"/>
      <c r="G638" s="34" t="n"/>
      <c r="H638" s="34" t="n"/>
      <c r="I638" s="34" t="n"/>
      <c r="J638" s="34" t="n"/>
      <c r="K638" s="34" t="n"/>
      <c r="L638" s="34" t="n"/>
      <c r="M638" s="36" t="n"/>
      <c r="N638" s="36" t="n"/>
      <c r="O638" s="41" t="n"/>
      <c r="P638" s="27">
        <f>IF($B638="","",IFERROR(TRIM(LEFT($B638,FIND(" - ",$B638)-1)),"Others"))</f>
        <v/>
      </c>
      <c r="Q638" s="39">
        <f>IF($A638="","",SUM($F638:$H638))</f>
        <v/>
      </c>
      <c r="R638" s="39">
        <f>IF($A638="","",SUM($I638:$K638))</f>
        <v/>
      </c>
      <c r="S638" s="39">
        <f>IF($A638="","",($L638+$R638)-$Q638)</f>
        <v/>
      </c>
      <c r="T638" s="31">
        <f>IF(OR($A638="",$Q638=0),"",$S638/$Q638)</f>
        <v/>
      </c>
      <c r="U638" s="27">
        <f>IF($A638="","",IF($L638&gt;0,"Live","Exited"))</f>
        <v/>
      </c>
      <c r="V638" s="40">
        <f>IF($A638="","",IF($A638='Client Report'!$C$4,COUNTIFS($A$6:$A638,'Client Report'!$C$4),""))</f>
        <v/>
      </c>
    </row>
    <row r="639">
      <c r="A639" s="11" t="n"/>
      <c r="B639" s="11" t="n"/>
      <c r="C639" s="11" t="n"/>
      <c r="D639" s="11" t="n"/>
      <c r="E639" s="12" t="n"/>
      <c r="F639" s="34" t="n"/>
      <c r="G639" s="34" t="n"/>
      <c r="H639" s="34" t="n"/>
      <c r="I639" s="34" t="n"/>
      <c r="J639" s="34" t="n"/>
      <c r="K639" s="34" t="n"/>
      <c r="L639" s="34" t="n"/>
      <c r="M639" s="36" t="n"/>
      <c r="N639" s="36" t="n"/>
      <c r="O639" s="41" t="n"/>
      <c r="P639" s="27">
        <f>IF($B639="","",IFERROR(TRIM(LEFT($B639,FIND(" - ",$B639)-1)),"Others"))</f>
        <v/>
      </c>
      <c r="Q639" s="39">
        <f>IF($A639="","",SUM($F639:$H639))</f>
        <v/>
      </c>
      <c r="R639" s="39">
        <f>IF($A639="","",SUM($I639:$K639))</f>
        <v/>
      </c>
      <c r="S639" s="39">
        <f>IF($A639="","",($L639+$R639)-$Q639)</f>
        <v/>
      </c>
      <c r="T639" s="31">
        <f>IF(OR($A639="",$Q639=0),"",$S639/$Q639)</f>
        <v/>
      </c>
      <c r="U639" s="27">
        <f>IF($A639="","",IF($L639&gt;0,"Live","Exited"))</f>
        <v/>
      </c>
      <c r="V639" s="40">
        <f>IF($A639="","",IF($A639='Client Report'!$C$4,COUNTIFS($A$6:$A639,'Client Report'!$C$4),""))</f>
        <v/>
      </c>
    </row>
    <row r="640">
      <c r="A640" s="11" t="n"/>
      <c r="B640" s="11" t="n"/>
      <c r="C640" s="11" t="n"/>
      <c r="D640" s="11" t="n"/>
      <c r="E640" s="12" t="n"/>
      <c r="F640" s="34" t="n"/>
      <c r="G640" s="34" t="n"/>
      <c r="H640" s="34" t="n"/>
      <c r="I640" s="34" t="n"/>
      <c r="J640" s="34" t="n"/>
      <c r="K640" s="34" t="n"/>
      <c r="L640" s="34" t="n"/>
      <c r="M640" s="36" t="n"/>
      <c r="N640" s="36" t="n"/>
      <c r="O640" s="41" t="n"/>
      <c r="P640" s="27">
        <f>IF($B640="","",IFERROR(TRIM(LEFT($B640,FIND(" - ",$B640)-1)),"Others"))</f>
        <v/>
      </c>
      <c r="Q640" s="39">
        <f>IF($A640="","",SUM($F640:$H640))</f>
        <v/>
      </c>
      <c r="R640" s="39">
        <f>IF($A640="","",SUM($I640:$K640))</f>
        <v/>
      </c>
      <c r="S640" s="39">
        <f>IF($A640="","",($L640+$R640)-$Q640)</f>
        <v/>
      </c>
      <c r="T640" s="31">
        <f>IF(OR($A640="",$Q640=0),"",$S640/$Q640)</f>
        <v/>
      </c>
      <c r="U640" s="27">
        <f>IF($A640="","",IF($L640&gt;0,"Live","Exited"))</f>
        <v/>
      </c>
      <c r="V640" s="40">
        <f>IF($A640="","",IF($A640='Client Report'!$C$4,COUNTIFS($A$6:$A640,'Client Report'!$C$4),""))</f>
        <v/>
      </c>
    </row>
    <row r="641">
      <c r="A641" s="11" t="n"/>
      <c r="B641" s="11" t="n"/>
      <c r="C641" s="11" t="n"/>
      <c r="D641" s="11" t="n"/>
      <c r="E641" s="12" t="n"/>
      <c r="F641" s="34" t="n"/>
      <c r="G641" s="34" t="n"/>
      <c r="H641" s="34" t="n"/>
      <c r="I641" s="34" t="n"/>
      <c r="J641" s="34" t="n"/>
      <c r="K641" s="34" t="n"/>
      <c r="L641" s="34" t="n"/>
      <c r="M641" s="36" t="n"/>
      <c r="N641" s="36" t="n"/>
      <c r="O641" s="41" t="n"/>
      <c r="P641" s="27">
        <f>IF($B641="","",IFERROR(TRIM(LEFT($B641,FIND(" - ",$B641)-1)),"Others"))</f>
        <v/>
      </c>
      <c r="Q641" s="39">
        <f>IF($A641="","",SUM($F641:$H641))</f>
        <v/>
      </c>
      <c r="R641" s="39">
        <f>IF($A641="","",SUM($I641:$K641))</f>
        <v/>
      </c>
      <c r="S641" s="39">
        <f>IF($A641="","",($L641+$R641)-$Q641)</f>
        <v/>
      </c>
      <c r="T641" s="31">
        <f>IF(OR($A641="",$Q641=0),"",$S641/$Q641)</f>
        <v/>
      </c>
      <c r="U641" s="27">
        <f>IF($A641="","",IF($L641&gt;0,"Live","Exited"))</f>
        <v/>
      </c>
      <c r="V641" s="40">
        <f>IF($A641="","",IF($A641='Client Report'!$C$4,COUNTIFS($A$6:$A641,'Client Report'!$C$4),""))</f>
        <v/>
      </c>
    </row>
    <row r="642">
      <c r="A642" s="11" t="n"/>
      <c r="B642" s="11" t="n"/>
      <c r="C642" s="11" t="n"/>
      <c r="D642" s="11" t="n"/>
      <c r="E642" s="12" t="n"/>
      <c r="F642" s="34" t="n"/>
      <c r="G642" s="34" t="n"/>
      <c r="H642" s="34" t="n"/>
      <c r="I642" s="34" t="n"/>
      <c r="J642" s="34" t="n"/>
      <c r="K642" s="34" t="n"/>
      <c r="L642" s="34" t="n"/>
      <c r="M642" s="36" t="n"/>
      <c r="N642" s="36" t="n"/>
      <c r="O642" s="41" t="n"/>
      <c r="P642" s="27">
        <f>IF($B642="","",IFERROR(TRIM(LEFT($B642,FIND(" - ",$B642)-1)),"Others"))</f>
        <v/>
      </c>
      <c r="Q642" s="39">
        <f>IF($A642="","",SUM($F642:$H642))</f>
        <v/>
      </c>
      <c r="R642" s="39">
        <f>IF($A642="","",SUM($I642:$K642))</f>
        <v/>
      </c>
      <c r="S642" s="39">
        <f>IF($A642="","",($L642+$R642)-$Q642)</f>
        <v/>
      </c>
      <c r="T642" s="31">
        <f>IF(OR($A642="",$Q642=0),"",$S642/$Q642)</f>
        <v/>
      </c>
      <c r="U642" s="27">
        <f>IF($A642="","",IF($L642&gt;0,"Live","Exited"))</f>
        <v/>
      </c>
      <c r="V642" s="40">
        <f>IF($A642="","",IF($A642='Client Report'!$C$4,COUNTIFS($A$6:$A642,'Client Report'!$C$4),""))</f>
        <v/>
      </c>
    </row>
    <row r="643">
      <c r="A643" s="11" t="n"/>
      <c r="B643" s="11" t="n"/>
      <c r="C643" s="11" t="n"/>
      <c r="D643" s="11" t="n"/>
      <c r="E643" s="12" t="n"/>
      <c r="F643" s="34" t="n"/>
      <c r="G643" s="34" t="n"/>
      <c r="H643" s="34" t="n"/>
      <c r="I643" s="34" t="n"/>
      <c r="J643" s="34" t="n"/>
      <c r="K643" s="34" t="n"/>
      <c r="L643" s="34" t="n"/>
      <c r="M643" s="36" t="n"/>
      <c r="N643" s="36" t="n"/>
      <c r="O643" s="41" t="n"/>
      <c r="P643" s="27">
        <f>IF($B643="","",IFERROR(TRIM(LEFT($B643,FIND(" - ",$B643)-1)),"Others"))</f>
        <v/>
      </c>
      <c r="Q643" s="39">
        <f>IF($A643="","",SUM($F643:$H643))</f>
        <v/>
      </c>
      <c r="R643" s="39">
        <f>IF($A643="","",SUM($I643:$K643))</f>
        <v/>
      </c>
      <c r="S643" s="39">
        <f>IF($A643="","",($L643+$R643)-$Q643)</f>
        <v/>
      </c>
      <c r="T643" s="31">
        <f>IF(OR($A643="",$Q643=0),"",$S643/$Q643)</f>
        <v/>
      </c>
      <c r="U643" s="27">
        <f>IF($A643="","",IF($L643&gt;0,"Live","Exited"))</f>
        <v/>
      </c>
      <c r="V643" s="40">
        <f>IF($A643="","",IF($A643='Client Report'!$C$4,COUNTIFS($A$6:$A643,'Client Report'!$C$4),""))</f>
        <v/>
      </c>
    </row>
    <row r="644">
      <c r="A644" s="11" t="n"/>
      <c r="B644" s="11" t="n"/>
      <c r="C644" s="11" t="n"/>
      <c r="D644" s="11" t="n"/>
      <c r="E644" s="12" t="n"/>
      <c r="F644" s="34" t="n"/>
      <c r="G644" s="34" t="n"/>
      <c r="H644" s="34" t="n"/>
      <c r="I644" s="34" t="n"/>
      <c r="J644" s="34" t="n"/>
      <c r="K644" s="34" t="n"/>
      <c r="L644" s="34" t="n"/>
      <c r="M644" s="36" t="n"/>
      <c r="N644" s="36" t="n"/>
      <c r="O644" s="41" t="n"/>
      <c r="P644" s="27">
        <f>IF($B644="","",IFERROR(TRIM(LEFT($B644,FIND(" - ",$B644)-1)),"Others"))</f>
        <v/>
      </c>
      <c r="Q644" s="39">
        <f>IF($A644="","",SUM($F644:$H644))</f>
        <v/>
      </c>
      <c r="R644" s="39">
        <f>IF($A644="","",SUM($I644:$K644))</f>
        <v/>
      </c>
      <c r="S644" s="39">
        <f>IF($A644="","",($L644+$R644)-$Q644)</f>
        <v/>
      </c>
      <c r="T644" s="31">
        <f>IF(OR($A644="",$Q644=0),"",$S644/$Q644)</f>
        <v/>
      </c>
      <c r="U644" s="27">
        <f>IF($A644="","",IF($L644&gt;0,"Live","Exited"))</f>
        <v/>
      </c>
      <c r="V644" s="40">
        <f>IF($A644="","",IF($A644='Client Report'!$C$4,COUNTIFS($A$6:$A644,'Client Report'!$C$4),""))</f>
        <v/>
      </c>
    </row>
    <row r="645">
      <c r="A645" s="11" t="n"/>
      <c r="B645" s="11" t="n"/>
      <c r="C645" s="11" t="n"/>
      <c r="D645" s="11" t="n"/>
      <c r="E645" s="12" t="n"/>
      <c r="F645" s="34" t="n"/>
      <c r="G645" s="34" t="n"/>
      <c r="H645" s="34" t="n"/>
      <c r="I645" s="34" t="n"/>
      <c r="J645" s="34" t="n"/>
      <c r="K645" s="34" t="n"/>
      <c r="L645" s="34" t="n"/>
      <c r="M645" s="36" t="n"/>
      <c r="N645" s="36" t="n"/>
      <c r="O645" s="41" t="n"/>
      <c r="P645" s="27">
        <f>IF($B645="","",IFERROR(TRIM(LEFT($B645,FIND(" - ",$B645)-1)),"Others"))</f>
        <v/>
      </c>
      <c r="Q645" s="39">
        <f>IF($A645="","",SUM($F645:$H645))</f>
        <v/>
      </c>
      <c r="R645" s="39">
        <f>IF($A645="","",SUM($I645:$K645))</f>
        <v/>
      </c>
      <c r="S645" s="39">
        <f>IF($A645="","",($L645+$R645)-$Q645)</f>
        <v/>
      </c>
      <c r="T645" s="31">
        <f>IF(OR($A645="",$Q645=0),"",$S645/$Q645)</f>
        <v/>
      </c>
      <c r="U645" s="27">
        <f>IF($A645="","",IF($L645&gt;0,"Live","Exited"))</f>
        <v/>
      </c>
      <c r="V645" s="40">
        <f>IF($A645="","",IF($A645='Client Report'!$C$4,COUNTIFS($A$6:$A645,'Client Report'!$C$4),""))</f>
        <v/>
      </c>
    </row>
    <row r="646">
      <c r="A646" s="11" t="n"/>
      <c r="B646" s="11" t="n"/>
      <c r="C646" s="11" t="n"/>
      <c r="D646" s="11" t="n"/>
      <c r="E646" s="12" t="n"/>
      <c r="F646" s="34" t="n"/>
      <c r="G646" s="34" t="n"/>
      <c r="H646" s="34" t="n"/>
      <c r="I646" s="34" t="n"/>
      <c r="J646" s="34" t="n"/>
      <c r="K646" s="34" t="n"/>
      <c r="L646" s="34" t="n"/>
      <c r="M646" s="36" t="n"/>
      <c r="N646" s="36" t="n"/>
      <c r="O646" s="41" t="n"/>
      <c r="P646" s="27">
        <f>IF($B646="","",IFERROR(TRIM(LEFT($B646,FIND(" - ",$B646)-1)),"Others"))</f>
        <v/>
      </c>
      <c r="Q646" s="39">
        <f>IF($A646="","",SUM($F646:$H646))</f>
        <v/>
      </c>
      <c r="R646" s="39">
        <f>IF($A646="","",SUM($I646:$K646))</f>
        <v/>
      </c>
      <c r="S646" s="39">
        <f>IF($A646="","",($L646+$R646)-$Q646)</f>
        <v/>
      </c>
      <c r="T646" s="31">
        <f>IF(OR($A646="",$Q646=0),"",$S646/$Q646)</f>
        <v/>
      </c>
      <c r="U646" s="27">
        <f>IF($A646="","",IF($L646&gt;0,"Live","Exited"))</f>
        <v/>
      </c>
      <c r="V646" s="40">
        <f>IF($A646="","",IF($A646='Client Report'!$C$4,COUNTIFS($A$6:$A646,'Client Report'!$C$4),""))</f>
        <v/>
      </c>
    </row>
    <row r="647">
      <c r="A647" s="11" t="n"/>
      <c r="B647" s="11" t="n"/>
      <c r="C647" s="11" t="n"/>
      <c r="D647" s="11" t="n"/>
      <c r="E647" s="12" t="n"/>
      <c r="F647" s="34" t="n"/>
      <c r="G647" s="34" t="n"/>
      <c r="H647" s="34" t="n"/>
      <c r="I647" s="34" t="n"/>
      <c r="J647" s="34" t="n"/>
      <c r="K647" s="34" t="n"/>
      <c r="L647" s="34" t="n"/>
      <c r="M647" s="36" t="n"/>
      <c r="N647" s="36" t="n"/>
      <c r="O647" s="41" t="n"/>
      <c r="P647" s="27">
        <f>IF($B647="","",IFERROR(TRIM(LEFT($B647,FIND(" - ",$B647)-1)),"Others"))</f>
        <v/>
      </c>
      <c r="Q647" s="39">
        <f>IF($A647="","",SUM($F647:$H647))</f>
        <v/>
      </c>
      <c r="R647" s="39">
        <f>IF($A647="","",SUM($I647:$K647))</f>
        <v/>
      </c>
      <c r="S647" s="39">
        <f>IF($A647="","",($L647+$R647)-$Q647)</f>
        <v/>
      </c>
      <c r="T647" s="31">
        <f>IF(OR($A647="",$Q647=0),"",$S647/$Q647)</f>
        <v/>
      </c>
      <c r="U647" s="27">
        <f>IF($A647="","",IF($L647&gt;0,"Live","Exited"))</f>
        <v/>
      </c>
      <c r="V647" s="40">
        <f>IF($A647="","",IF($A647='Client Report'!$C$4,COUNTIFS($A$6:$A647,'Client Report'!$C$4),""))</f>
        <v/>
      </c>
    </row>
    <row r="648">
      <c r="A648" s="11" t="n"/>
      <c r="B648" s="11" t="n"/>
      <c r="C648" s="11" t="n"/>
      <c r="D648" s="11" t="n"/>
      <c r="E648" s="12" t="n"/>
      <c r="F648" s="34" t="n"/>
      <c r="G648" s="34" t="n"/>
      <c r="H648" s="34" t="n"/>
      <c r="I648" s="34" t="n"/>
      <c r="J648" s="34" t="n"/>
      <c r="K648" s="34" t="n"/>
      <c r="L648" s="34" t="n"/>
      <c r="M648" s="36" t="n"/>
      <c r="N648" s="36" t="n"/>
      <c r="O648" s="41" t="n"/>
      <c r="P648" s="27">
        <f>IF($B648="","",IFERROR(TRIM(LEFT($B648,FIND(" - ",$B648)-1)),"Others"))</f>
        <v/>
      </c>
      <c r="Q648" s="39">
        <f>IF($A648="","",SUM($F648:$H648))</f>
        <v/>
      </c>
      <c r="R648" s="39">
        <f>IF($A648="","",SUM($I648:$K648))</f>
        <v/>
      </c>
      <c r="S648" s="39">
        <f>IF($A648="","",($L648+$R648)-$Q648)</f>
        <v/>
      </c>
      <c r="T648" s="31">
        <f>IF(OR($A648="",$Q648=0),"",$S648/$Q648)</f>
        <v/>
      </c>
      <c r="U648" s="27">
        <f>IF($A648="","",IF($L648&gt;0,"Live","Exited"))</f>
        <v/>
      </c>
      <c r="V648" s="40">
        <f>IF($A648="","",IF($A648='Client Report'!$C$4,COUNTIFS($A$6:$A648,'Client Report'!$C$4),""))</f>
        <v/>
      </c>
    </row>
    <row r="649">
      <c r="A649" s="11" t="n"/>
      <c r="B649" s="11" t="n"/>
      <c r="C649" s="11" t="n"/>
      <c r="D649" s="11" t="n"/>
      <c r="E649" s="12" t="n"/>
      <c r="F649" s="34" t="n"/>
      <c r="G649" s="34" t="n"/>
      <c r="H649" s="34" t="n"/>
      <c r="I649" s="34" t="n"/>
      <c r="J649" s="34" t="n"/>
      <c r="K649" s="34" t="n"/>
      <c r="L649" s="34" t="n"/>
      <c r="M649" s="36" t="n"/>
      <c r="N649" s="36" t="n"/>
      <c r="O649" s="41" t="n"/>
      <c r="P649" s="27">
        <f>IF($B649="","",IFERROR(TRIM(LEFT($B649,FIND(" - ",$B649)-1)),"Others"))</f>
        <v/>
      </c>
      <c r="Q649" s="39">
        <f>IF($A649="","",SUM($F649:$H649))</f>
        <v/>
      </c>
      <c r="R649" s="39">
        <f>IF($A649="","",SUM($I649:$K649))</f>
        <v/>
      </c>
      <c r="S649" s="39">
        <f>IF($A649="","",($L649+$R649)-$Q649)</f>
        <v/>
      </c>
      <c r="T649" s="31">
        <f>IF(OR($A649="",$Q649=0),"",$S649/$Q649)</f>
        <v/>
      </c>
      <c r="U649" s="27">
        <f>IF($A649="","",IF($L649&gt;0,"Live","Exited"))</f>
        <v/>
      </c>
      <c r="V649" s="40">
        <f>IF($A649="","",IF($A649='Client Report'!$C$4,COUNTIFS($A$6:$A649,'Client Report'!$C$4),""))</f>
        <v/>
      </c>
    </row>
    <row r="650">
      <c r="A650" s="11" t="n"/>
      <c r="B650" s="11" t="n"/>
      <c r="C650" s="11" t="n"/>
      <c r="D650" s="11" t="n"/>
      <c r="E650" s="12" t="n"/>
      <c r="F650" s="34" t="n"/>
      <c r="G650" s="34" t="n"/>
      <c r="H650" s="34" t="n"/>
      <c r="I650" s="34" t="n"/>
      <c r="J650" s="34" t="n"/>
      <c r="K650" s="34" t="n"/>
      <c r="L650" s="34" t="n"/>
      <c r="M650" s="36" t="n"/>
      <c r="N650" s="36" t="n"/>
      <c r="O650" s="41" t="n"/>
      <c r="P650" s="27">
        <f>IF($B650="","",IFERROR(TRIM(LEFT($B650,FIND(" - ",$B650)-1)),"Others"))</f>
        <v/>
      </c>
      <c r="Q650" s="39">
        <f>IF($A650="","",SUM($F650:$H650))</f>
        <v/>
      </c>
      <c r="R650" s="39">
        <f>IF($A650="","",SUM($I650:$K650))</f>
        <v/>
      </c>
      <c r="S650" s="39">
        <f>IF($A650="","",($L650+$R650)-$Q650)</f>
        <v/>
      </c>
      <c r="T650" s="31">
        <f>IF(OR($A650="",$Q650=0),"",$S650/$Q650)</f>
        <v/>
      </c>
      <c r="U650" s="27">
        <f>IF($A650="","",IF($L650&gt;0,"Live","Exited"))</f>
        <v/>
      </c>
      <c r="V650" s="40">
        <f>IF($A650="","",IF($A650='Client Report'!$C$4,COUNTIFS($A$6:$A650,'Client Report'!$C$4),""))</f>
        <v/>
      </c>
    </row>
    <row r="651">
      <c r="A651" s="11" t="n"/>
      <c r="B651" s="11" t="n"/>
      <c r="C651" s="11" t="n"/>
      <c r="D651" s="11" t="n"/>
      <c r="E651" s="12" t="n"/>
      <c r="F651" s="34" t="n"/>
      <c r="G651" s="34" t="n"/>
      <c r="H651" s="34" t="n"/>
      <c r="I651" s="34" t="n"/>
      <c r="J651" s="34" t="n"/>
      <c r="K651" s="34" t="n"/>
      <c r="L651" s="34" t="n"/>
      <c r="M651" s="36" t="n"/>
      <c r="N651" s="36" t="n"/>
      <c r="O651" s="41" t="n"/>
      <c r="P651" s="27">
        <f>IF($B651="","",IFERROR(TRIM(LEFT($B651,FIND(" - ",$B651)-1)),"Others"))</f>
        <v/>
      </c>
      <c r="Q651" s="39">
        <f>IF($A651="","",SUM($F651:$H651))</f>
        <v/>
      </c>
      <c r="R651" s="39">
        <f>IF($A651="","",SUM($I651:$K651))</f>
        <v/>
      </c>
      <c r="S651" s="39">
        <f>IF($A651="","",($L651+$R651)-$Q651)</f>
        <v/>
      </c>
      <c r="T651" s="31">
        <f>IF(OR($A651="",$Q651=0),"",$S651/$Q651)</f>
        <v/>
      </c>
      <c r="U651" s="27">
        <f>IF($A651="","",IF($L651&gt;0,"Live","Exited"))</f>
        <v/>
      </c>
      <c r="V651" s="40">
        <f>IF($A651="","",IF($A651='Client Report'!$C$4,COUNTIFS($A$6:$A651,'Client Report'!$C$4),""))</f>
        <v/>
      </c>
    </row>
    <row r="652">
      <c r="A652" s="11" t="n"/>
      <c r="B652" s="11" t="n"/>
      <c r="C652" s="11" t="n"/>
      <c r="D652" s="11" t="n"/>
      <c r="E652" s="12" t="n"/>
      <c r="F652" s="34" t="n"/>
      <c r="G652" s="34" t="n"/>
      <c r="H652" s="34" t="n"/>
      <c r="I652" s="34" t="n"/>
      <c r="J652" s="34" t="n"/>
      <c r="K652" s="34" t="n"/>
      <c r="L652" s="34" t="n"/>
      <c r="M652" s="36" t="n"/>
      <c r="N652" s="36" t="n"/>
      <c r="O652" s="41" t="n"/>
      <c r="P652" s="27">
        <f>IF($B652="","",IFERROR(TRIM(LEFT($B652,FIND(" - ",$B652)-1)),"Others"))</f>
        <v/>
      </c>
      <c r="Q652" s="39">
        <f>IF($A652="","",SUM($F652:$H652))</f>
        <v/>
      </c>
      <c r="R652" s="39">
        <f>IF($A652="","",SUM($I652:$K652))</f>
        <v/>
      </c>
      <c r="S652" s="39">
        <f>IF($A652="","",($L652+$R652)-$Q652)</f>
        <v/>
      </c>
      <c r="T652" s="31">
        <f>IF(OR($A652="",$Q652=0),"",$S652/$Q652)</f>
        <v/>
      </c>
      <c r="U652" s="27">
        <f>IF($A652="","",IF($L652&gt;0,"Live","Exited"))</f>
        <v/>
      </c>
      <c r="V652" s="40">
        <f>IF($A652="","",IF($A652='Client Report'!$C$4,COUNTIFS($A$6:$A652,'Client Report'!$C$4),""))</f>
        <v/>
      </c>
    </row>
    <row r="653">
      <c r="A653" s="11" t="n"/>
      <c r="B653" s="11" t="n"/>
      <c r="C653" s="11" t="n"/>
      <c r="D653" s="11" t="n"/>
      <c r="E653" s="12" t="n"/>
      <c r="F653" s="34" t="n"/>
      <c r="G653" s="34" t="n"/>
      <c r="H653" s="34" t="n"/>
      <c r="I653" s="34" t="n"/>
      <c r="J653" s="34" t="n"/>
      <c r="K653" s="34" t="n"/>
      <c r="L653" s="34" t="n"/>
      <c r="M653" s="36" t="n"/>
      <c r="N653" s="36" t="n"/>
      <c r="O653" s="41" t="n"/>
      <c r="P653" s="27">
        <f>IF($B653="","",IFERROR(TRIM(LEFT($B653,FIND(" - ",$B653)-1)),"Others"))</f>
        <v/>
      </c>
      <c r="Q653" s="39">
        <f>IF($A653="","",SUM($F653:$H653))</f>
        <v/>
      </c>
      <c r="R653" s="39">
        <f>IF($A653="","",SUM($I653:$K653))</f>
        <v/>
      </c>
      <c r="S653" s="39">
        <f>IF($A653="","",($L653+$R653)-$Q653)</f>
        <v/>
      </c>
      <c r="T653" s="31">
        <f>IF(OR($A653="",$Q653=0),"",$S653/$Q653)</f>
        <v/>
      </c>
      <c r="U653" s="27">
        <f>IF($A653="","",IF($L653&gt;0,"Live","Exited"))</f>
        <v/>
      </c>
      <c r="V653" s="40">
        <f>IF($A653="","",IF($A653='Client Report'!$C$4,COUNTIFS($A$6:$A653,'Client Report'!$C$4),""))</f>
        <v/>
      </c>
    </row>
    <row r="654">
      <c r="A654" s="11" t="n"/>
      <c r="B654" s="11" t="n"/>
      <c r="C654" s="11" t="n"/>
      <c r="D654" s="11" t="n"/>
      <c r="E654" s="12" t="n"/>
      <c r="F654" s="34" t="n"/>
      <c r="G654" s="34" t="n"/>
      <c r="H654" s="34" t="n"/>
      <c r="I654" s="34" t="n"/>
      <c r="J654" s="34" t="n"/>
      <c r="K654" s="34" t="n"/>
      <c r="L654" s="34" t="n"/>
      <c r="M654" s="36" t="n"/>
      <c r="N654" s="36" t="n"/>
      <c r="O654" s="41" t="n"/>
      <c r="P654" s="27">
        <f>IF($B654="","",IFERROR(TRIM(LEFT($B654,FIND(" - ",$B654)-1)),"Others"))</f>
        <v/>
      </c>
      <c r="Q654" s="39">
        <f>IF($A654="","",SUM($F654:$H654))</f>
        <v/>
      </c>
      <c r="R654" s="39">
        <f>IF($A654="","",SUM($I654:$K654))</f>
        <v/>
      </c>
      <c r="S654" s="39">
        <f>IF($A654="","",($L654+$R654)-$Q654)</f>
        <v/>
      </c>
      <c r="T654" s="31">
        <f>IF(OR($A654="",$Q654=0),"",$S654/$Q654)</f>
        <v/>
      </c>
      <c r="U654" s="27">
        <f>IF($A654="","",IF($L654&gt;0,"Live","Exited"))</f>
        <v/>
      </c>
      <c r="V654" s="40">
        <f>IF($A654="","",IF($A654='Client Report'!$C$4,COUNTIFS($A$6:$A654,'Client Report'!$C$4),""))</f>
        <v/>
      </c>
    </row>
    <row r="655">
      <c r="A655" s="11" t="n"/>
      <c r="B655" s="11" t="n"/>
      <c r="C655" s="11" t="n"/>
      <c r="D655" s="11" t="n"/>
      <c r="E655" s="12" t="n"/>
      <c r="F655" s="34" t="n"/>
      <c r="G655" s="34" t="n"/>
      <c r="H655" s="34" t="n"/>
      <c r="I655" s="34" t="n"/>
      <c r="J655" s="34" t="n"/>
      <c r="K655" s="34" t="n"/>
      <c r="L655" s="34" t="n"/>
      <c r="M655" s="36" t="n"/>
      <c r="N655" s="36" t="n"/>
      <c r="O655" s="41" t="n"/>
      <c r="P655" s="27">
        <f>IF($B655="","",IFERROR(TRIM(LEFT($B655,FIND(" - ",$B655)-1)),"Others"))</f>
        <v/>
      </c>
      <c r="Q655" s="39">
        <f>IF($A655="","",SUM($F655:$H655))</f>
        <v/>
      </c>
      <c r="R655" s="39">
        <f>IF($A655="","",SUM($I655:$K655))</f>
        <v/>
      </c>
      <c r="S655" s="39">
        <f>IF($A655="","",($L655+$R655)-$Q655)</f>
        <v/>
      </c>
      <c r="T655" s="31">
        <f>IF(OR($A655="",$Q655=0),"",$S655/$Q655)</f>
        <v/>
      </c>
      <c r="U655" s="27">
        <f>IF($A655="","",IF($L655&gt;0,"Live","Exited"))</f>
        <v/>
      </c>
      <c r="V655" s="40">
        <f>IF($A655="","",IF($A655='Client Report'!$C$4,COUNTIFS($A$6:$A655,'Client Report'!$C$4),""))</f>
        <v/>
      </c>
    </row>
    <row r="656">
      <c r="A656" s="11" t="n"/>
      <c r="B656" s="11" t="n"/>
      <c r="C656" s="11" t="n"/>
      <c r="D656" s="11" t="n"/>
      <c r="E656" s="12" t="n"/>
      <c r="F656" s="34" t="n"/>
      <c r="G656" s="34" t="n"/>
      <c r="H656" s="34" t="n"/>
      <c r="I656" s="34" t="n"/>
      <c r="J656" s="34" t="n"/>
      <c r="K656" s="34" t="n"/>
      <c r="L656" s="34" t="n"/>
      <c r="M656" s="36" t="n"/>
      <c r="N656" s="36" t="n"/>
      <c r="O656" s="41" t="n"/>
      <c r="P656" s="27">
        <f>IF($B656="","",IFERROR(TRIM(LEFT($B656,FIND(" - ",$B656)-1)),"Others"))</f>
        <v/>
      </c>
      <c r="Q656" s="39">
        <f>IF($A656="","",SUM($F656:$H656))</f>
        <v/>
      </c>
      <c r="R656" s="39">
        <f>IF($A656="","",SUM($I656:$K656))</f>
        <v/>
      </c>
      <c r="S656" s="39">
        <f>IF($A656="","",($L656+$R656)-$Q656)</f>
        <v/>
      </c>
      <c r="T656" s="31">
        <f>IF(OR($A656="",$Q656=0),"",$S656/$Q656)</f>
        <v/>
      </c>
      <c r="U656" s="27">
        <f>IF($A656="","",IF($L656&gt;0,"Live","Exited"))</f>
        <v/>
      </c>
      <c r="V656" s="40">
        <f>IF($A656="","",IF($A656='Client Report'!$C$4,COUNTIFS($A$6:$A656,'Client Report'!$C$4),""))</f>
        <v/>
      </c>
    </row>
    <row r="657">
      <c r="A657" s="11" t="n"/>
      <c r="B657" s="11" t="n"/>
      <c r="C657" s="11" t="n"/>
      <c r="D657" s="11" t="n"/>
      <c r="E657" s="12" t="n"/>
      <c r="F657" s="34" t="n"/>
      <c r="G657" s="34" t="n"/>
      <c r="H657" s="34" t="n"/>
      <c r="I657" s="34" t="n"/>
      <c r="J657" s="34" t="n"/>
      <c r="K657" s="34" t="n"/>
      <c r="L657" s="34" t="n"/>
      <c r="M657" s="36" t="n"/>
      <c r="N657" s="36" t="n"/>
      <c r="O657" s="41" t="n"/>
      <c r="P657" s="27">
        <f>IF($B657="","",IFERROR(TRIM(LEFT($B657,FIND(" - ",$B657)-1)),"Others"))</f>
        <v/>
      </c>
      <c r="Q657" s="39">
        <f>IF($A657="","",SUM($F657:$H657))</f>
        <v/>
      </c>
      <c r="R657" s="39">
        <f>IF($A657="","",SUM($I657:$K657))</f>
        <v/>
      </c>
      <c r="S657" s="39">
        <f>IF($A657="","",($L657+$R657)-$Q657)</f>
        <v/>
      </c>
      <c r="T657" s="31">
        <f>IF(OR($A657="",$Q657=0),"",$S657/$Q657)</f>
        <v/>
      </c>
      <c r="U657" s="27">
        <f>IF($A657="","",IF($L657&gt;0,"Live","Exited"))</f>
        <v/>
      </c>
      <c r="V657" s="40">
        <f>IF($A657="","",IF($A657='Client Report'!$C$4,COUNTIFS($A$6:$A657,'Client Report'!$C$4),""))</f>
        <v/>
      </c>
    </row>
    <row r="658">
      <c r="A658" s="11" t="n"/>
      <c r="B658" s="11" t="n"/>
      <c r="C658" s="11" t="n"/>
      <c r="D658" s="11" t="n"/>
      <c r="E658" s="12" t="n"/>
      <c r="F658" s="34" t="n"/>
      <c r="G658" s="34" t="n"/>
      <c r="H658" s="34" t="n"/>
      <c r="I658" s="34" t="n"/>
      <c r="J658" s="34" t="n"/>
      <c r="K658" s="34" t="n"/>
      <c r="L658" s="34" t="n"/>
      <c r="M658" s="36" t="n"/>
      <c r="N658" s="36" t="n"/>
      <c r="O658" s="41" t="n"/>
      <c r="P658" s="27">
        <f>IF($B658="","",IFERROR(TRIM(LEFT($B658,FIND(" - ",$B658)-1)),"Others"))</f>
        <v/>
      </c>
      <c r="Q658" s="39">
        <f>IF($A658="","",SUM($F658:$H658))</f>
        <v/>
      </c>
      <c r="R658" s="39">
        <f>IF($A658="","",SUM($I658:$K658))</f>
        <v/>
      </c>
      <c r="S658" s="39">
        <f>IF($A658="","",($L658+$R658)-$Q658)</f>
        <v/>
      </c>
      <c r="T658" s="31">
        <f>IF(OR($A658="",$Q658=0),"",$S658/$Q658)</f>
        <v/>
      </c>
      <c r="U658" s="27">
        <f>IF($A658="","",IF($L658&gt;0,"Live","Exited"))</f>
        <v/>
      </c>
      <c r="V658" s="40">
        <f>IF($A658="","",IF($A658='Client Report'!$C$4,COUNTIFS($A$6:$A658,'Client Report'!$C$4),""))</f>
        <v/>
      </c>
    </row>
    <row r="659">
      <c r="A659" s="11" t="n"/>
      <c r="B659" s="11" t="n"/>
      <c r="C659" s="11" t="n"/>
      <c r="D659" s="11" t="n"/>
      <c r="E659" s="12" t="n"/>
      <c r="F659" s="34" t="n"/>
      <c r="G659" s="34" t="n"/>
      <c r="H659" s="34" t="n"/>
      <c r="I659" s="34" t="n"/>
      <c r="J659" s="34" t="n"/>
      <c r="K659" s="34" t="n"/>
      <c r="L659" s="34" t="n"/>
      <c r="M659" s="36" t="n"/>
      <c r="N659" s="36" t="n"/>
      <c r="O659" s="41" t="n"/>
      <c r="P659" s="27">
        <f>IF($B659="","",IFERROR(TRIM(LEFT($B659,FIND(" - ",$B659)-1)),"Others"))</f>
        <v/>
      </c>
      <c r="Q659" s="39">
        <f>IF($A659="","",SUM($F659:$H659))</f>
        <v/>
      </c>
      <c r="R659" s="39">
        <f>IF($A659="","",SUM($I659:$K659))</f>
        <v/>
      </c>
      <c r="S659" s="39">
        <f>IF($A659="","",($L659+$R659)-$Q659)</f>
        <v/>
      </c>
      <c r="T659" s="31">
        <f>IF(OR($A659="",$Q659=0),"",$S659/$Q659)</f>
        <v/>
      </c>
      <c r="U659" s="27">
        <f>IF($A659="","",IF($L659&gt;0,"Live","Exited"))</f>
        <v/>
      </c>
      <c r="V659" s="40">
        <f>IF($A659="","",IF($A659='Client Report'!$C$4,COUNTIFS($A$6:$A659,'Client Report'!$C$4),""))</f>
        <v/>
      </c>
    </row>
    <row r="660">
      <c r="A660" s="11" t="n"/>
      <c r="B660" s="11" t="n"/>
      <c r="C660" s="11" t="n"/>
      <c r="D660" s="11" t="n"/>
      <c r="E660" s="12" t="n"/>
      <c r="F660" s="34" t="n"/>
      <c r="G660" s="34" t="n"/>
      <c r="H660" s="34" t="n"/>
      <c r="I660" s="34" t="n"/>
      <c r="J660" s="34" t="n"/>
      <c r="K660" s="34" t="n"/>
      <c r="L660" s="34" t="n"/>
      <c r="M660" s="36" t="n"/>
      <c r="N660" s="36" t="n"/>
      <c r="O660" s="41" t="n"/>
      <c r="P660" s="27">
        <f>IF($B660="","",IFERROR(TRIM(LEFT($B660,FIND(" - ",$B660)-1)),"Others"))</f>
        <v/>
      </c>
      <c r="Q660" s="39">
        <f>IF($A660="","",SUM($F660:$H660))</f>
        <v/>
      </c>
      <c r="R660" s="39">
        <f>IF($A660="","",SUM($I660:$K660))</f>
        <v/>
      </c>
      <c r="S660" s="39">
        <f>IF($A660="","",($L660+$R660)-$Q660)</f>
        <v/>
      </c>
      <c r="T660" s="31">
        <f>IF(OR($A660="",$Q660=0),"",$S660/$Q660)</f>
        <v/>
      </c>
      <c r="U660" s="27">
        <f>IF($A660="","",IF($L660&gt;0,"Live","Exited"))</f>
        <v/>
      </c>
      <c r="V660" s="40">
        <f>IF($A660="","",IF($A660='Client Report'!$C$4,COUNTIFS($A$6:$A660,'Client Report'!$C$4),""))</f>
        <v/>
      </c>
    </row>
    <row r="661">
      <c r="A661" s="11" t="n"/>
      <c r="B661" s="11" t="n"/>
      <c r="C661" s="11" t="n"/>
      <c r="D661" s="11" t="n"/>
      <c r="E661" s="12" t="n"/>
      <c r="F661" s="34" t="n"/>
      <c r="G661" s="34" t="n"/>
      <c r="H661" s="34" t="n"/>
      <c r="I661" s="34" t="n"/>
      <c r="J661" s="34" t="n"/>
      <c r="K661" s="34" t="n"/>
      <c r="L661" s="34" t="n"/>
      <c r="M661" s="36" t="n"/>
      <c r="N661" s="36" t="n"/>
      <c r="O661" s="41" t="n"/>
      <c r="P661" s="27">
        <f>IF($B661="","",IFERROR(TRIM(LEFT($B661,FIND(" - ",$B661)-1)),"Others"))</f>
        <v/>
      </c>
      <c r="Q661" s="39">
        <f>IF($A661="","",SUM($F661:$H661))</f>
        <v/>
      </c>
      <c r="R661" s="39">
        <f>IF($A661="","",SUM($I661:$K661))</f>
        <v/>
      </c>
      <c r="S661" s="39">
        <f>IF($A661="","",($L661+$R661)-$Q661)</f>
        <v/>
      </c>
      <c r="T661" s="31">
        <f>IF(OR($A661="",$Q661=0),"",$S661/$Q661)</f>
        <v/>
      </c>
      <c r="U661" s="27">
        <f>IF($A661="","",IF($L661&gt;0,"Live","Exited"))</f>
        <v/>
      </c>
      <c r="V661" s="40">
        <f>IF($A661="","",IF($A661='Client Report'!$C$4,COUNTIFS($A$6:$A661,'Client Report'!$C$4),""))</f>
        <v/>
      </c>
    </row>
    <row r="662">
      <c r="A662" s="11" t="n"/>
      <c r="B662" s="11" t="n"/>
      <c r="C662" s="11" t="n"/>
      <c r="D662" s="11" t="n"/>
      <c r="E662" s="12" t="n"/>
      <c r="F662" s="34" t="n"/>
      <c r="G662" s="34" t="n"/>
      <c r="H662" s="34" t="n"/>
      <c r="I662" s="34" t="n"/>
      <c r="J662" s="34" t="n"/>
      <c r="K662" s="34" t="n"/>
      <c r="L662" s="34" t="n"/>
      <c r="M662" s="36" t="n"/>
      <c r="N662" s="36" t="n"/>
      <c r="O662" s="41" t="n"/>
      <c r="P662" s="27">
        <f>IF($B662="","",IFERROR(TRIM(LEFT($B662,FIND(" - ",$B662)-1)),"Others"))</f>
        <v/>
      </c>
      <c r="Q662" s="39">
        <f>IF($A662="","",SUM($F662:$H662))</f>
        <v/>
      </c>
      <c r="R662" s="39">
        <f>IF($A662="","",SUM($I662:$K662))</f>
        <v/>
      </c>
      <c r="S662" s="39">
        <f>IF($A662="","",($L662+$R662)-$Q662)</f>
        <v/>
      </c>
      <c r="T662" s="31">
        <f>IF(OR($A662="",$Q662=0),"",$S662/$Q662)</f>
        <v/>
      </c>
      <c r="U662" s="27">
        <f>IF($A662="","",IF($L662&gt;0,"Live","Exited"))</f>
        <v/>
      </c>
      <c r="V662" s="40">
        <f>IF($A662="","",IF($A662='Client Report'!$C$4,COUNTIFS($A$6:$A662,'Client Report'!$C$4),""))</f>
        <v/>
      </c>
    </row>
    <row r="663">
      <c r="A663" s="11" t="n"/>
      <c r="B663" s="11" t="n"/>
      <c r="C663" s="11" t="n"/>
      <c r="D663" s="11" t="n"/>
      <c r="E663" s="12" t="n"/>
      <c r="F663" s="34" t="n"/>
      <c r="G663" s="34" t="n"/>
      <c r="H663" s="34" t="n"/>
      <c r="I663" s="34" t="n"/>
      <c r="J663" s="34" t="n"/>
      <c r="K663" s="34" t="n"/>
      <c r="L663" s="34" t="n"/>
      <c r="M663" s="36" t="n"/>
      <c r="N663" s="36" t="n"/>
      <c r="O663" s="41" t="n"/>
      <c r="P663" s="27">
        <f>IF($B663="","",IFERROR(TRIM(LEFT($B663,FIND(" - ",$B663)-1)),"Others"))</f>
        <v/>
      </c>
      <c r="Q663" s="39">
        <f>IF($A663="","",SUM($F663:$H663))</f>
        <v/>
      </c>
      <c r="R663" s="39">
        <f>IF($A663="","",SUM($I663:$K663))</f>
        <v/>
      </c>
      <c r="S663" s="39">
        <f>IF($A663="","",($L663+$R663)-$Q663)</f>
        <v/>
      </c>
      <c r="T663" s="31">
        <f>IF(OR($A663="",$Q663=0),"",$S663/$Q663)</f>
        <v/>
      </c>
      <c r="U663" s="27">
        <f>IF($A663="","",IF($L663&gt;0,"Live","Exited"))</f>
        <v/>
      </c>
      <c r="V663" s="40">
        <f>IF($A663="","",IF($A663='Client Report'!$C$4,COUNTIFS($A$6:$A663,'Client Report'!$C$4),""))</f>
        <v/>
      </c>
    </row>
    <row r="664">
      <c r="A664" s="11" t="n"/>
      <c r="B664" s="11" t="n"/>
      <c r="C664" s="11" t="n"/>
      <c r="D664" s="11" t="n"/>
      <c r="E664" s="12" t="n"/>
      <c r="F664" s="34" t="n"/>
      <c r="G664" s="34" t="n"/>
      <c r="H664" s="34" t="n"/>
      <c r="I664" s="34" t="n"/>
      <c r="J664" s="34" t="n"/>
      <c r="K664" s="34" t="n"/>
      <c r="L664" s="34" t="n"/>
      <c r="M664" s="36" t="n"/>
      <c r="N664" s="36" t="n"/>
      <c r="O664" s="41" t="n"/>
      <c r="P664" s="27">
        <f>IF($B664="","",IFERROR(TRIM(LEFT($B664,FIND(" - ",$B664)-1)),"Others"))</f>
        <v/>
      </c>
      <c r="Q664" s="39">
        <f>IF($A664="","",SUM($F664:$H664))</f>
        <v/>
      </c>
      <c r="R664" s="39">
        <f>IF($A664="","",SUM($I664:$K664))</f>
        <v/>
      </c>
      <c r="S664" s="39">
        <f>IF($A664="","",($L664+$R664)-$Q664)</f>
        <v/>
      </c>
      <c r="T664" s="31">
        <f>IF(OR($A664="",$Q664=0),"",$S664/$Q664)</f>
        <v/>
      </c>
      <c r="U664" s="27">
        <f>IF($A664="","",IF($L664&gt;0,"Live","Exited"))</f>
        <v/>
      </c>
      <c r="V664" s="40">
        <f>IF($A664="","",IF($A664='Client Report'!$C$4,COUNTIFS($A$6:$A664,'Client Report'!$C$4),""))</f>
        <v/>
      </c>
    </row>
    <row r="665">
      <c r="A665" s="11" t="n"/>
      <c r="B665" s="11" t="n"/>
      <c r="C665" s="11" t="n"/>
      <c r="D665" s="11" t="n"/>
      <c r="E665" s="12" t="n"/>
      <c r="F665" s="34" t="n"/>
      <c r="G665" s="34" t="n"/>
      <c r="H665" s="34" t="n"/>
      <c r="I665" s="34" t="n"/>
      <c r="J665" s="34" t="n"/>
      <c r="K665" s="34" t="n"/>
      <c r="L665" s="34" t="n"/>
      <c r="M665" s="36" t="n"/>
      <c r="N665" s="36" t="n"/>
      <c r="O665" s="41" t="n"/>
      <c r="P665" s="27">
        <f>IF($B665="","",IFERROR(TRIM(LEFT($B665,FIND(" - ",$B665)-1)),"Others"))</f>
        <v/>
      </c>
      <c r="Q665" s="39">
        <f>IF($A665="","",SUM($F665:$H665))</f>
        <v/>
      </c>
      <c r="R665" s="39">
        <f>IF($A665="","",SUM($I665:$K665))</f>
        <v/>
      </c>
      <c r="S665" s="39">
        <f>IF($A665="","",($L665+$R665)-$Q665)</f>
        <v/>
      </c>
      <c r="T665" s="31">
        <f>IF(OR($A665="",$Q665=0),"",$S665/$Q665)</f>
        <v/>
      </c>
      <c r="U665" s="27">
        <f>IF($A665="","",IF($L665&gt;0,"Live","Exited"))</f>
        <v/>
      </c>
      <c r="V665" s="40">
        <f>IF($A665="","",IF($A665='Client Report'!$C$4,COUNTIFS($A$6:$A665,'Client Report'!$C$4),""))</f>
        <v/>
      </c>
    </row>
    <row r="666">
      <c r="A666" s="11" t="n"/>
      <c r="B666" s="11" t="n"/>
      <c r="C666" s="11" t="n"/>
      <c r="D666" s="11" t="n"/>
      <c r="E666" s="12" t="n"/>
      <c r="F666" s="34" t="n"/>
      <c r="G666" s="34" t="n"/>
      <c r="H666" s="34" t="n"/>
      <c r="I666" s="34" t="n"/>
      <c r="J666" s="34" t="n"/>
      <c r="K666" s="34" t="n"/>
      <c r="L666" s="34" t="n"/>
      <c r="M666" s="36" t="n"/>
      <c r="N666" s="36" t="n"/>
      <c r="O666" s="41" t="n"/>
      <c r="P666" s="27">
        <f>IF($B666="","",IFERROR(TRIM(LEFT($B666,FIND(" - ",$B666)-1)),"Others"))</f>
        <v/>
      </c>
      <c r="Q666" s="39">
        <f>IF($A666="","",SUM($F666:$H666))</f>
        <v/>
      </c>
      <c r="R666" s="39">
        <f>IF($A666="","",SUM($I666:$K666))</f>
        <v/>
      </c>
      <c r="S666" s="39">
        <f>IF($A666="","",($L666+$R666)-$Q666)</f>
        <v/>
      </c>
      <c r="T666" s="31">
        <f>IF(OR($A666="",$Q666=0),"",$S666/$Q666)</f>
        <v/>
      </c>
      <c r="U666" s="27">
        <f>IF($A666="","",IF($L666&gt;0,"Live","Exited"))</f>
        <v/>
      </c>
      <c r="V666" s="40">
        <f>IF($A666="","",IF($A666='Client Report'!$C$4,COUNTIFS($A$6:$A666,'Client Report'!$C$4),""))</f>
        <v/>
      </c>
    </row>
    <row r="667">
      <c r="A667" s="11" t="n"/>
      <c r="B667" s="11" t="n"/>
      <c r="C667" s="11" t="n"/>
      <c r="D667" s="11" t="n"/>
      <c r="E667" s="12" t="n"/>
      <c r="F667" s="34" t="n"/>
      <c r="G667" s="34" t="n"/>
      <c r="H667" s="34" t="n"/>
      <c r="I667" s="34" t="n"/>
      <c r="J667" s="34" t="n"/>
      <c r="K667" s="34" t="n"/>
      <c r="L667" s="34" t="n"/>
      <c r="M667" s="36" t="n"/>
      <c r="N667" s="36" t="n"/>
      <c r="O667" s="41" t="n"/>
      <c r="P667" s="27">
        <f>IF($B667="","",IFERROR(TRIM(LEFT($B667,FIND(" - ",$B667)-1)),"Others"))</f>
        <v/>
      </c>
      <c r="Q667" s="39">
        <f>IF($A667="","",SUM($F667:$H667))</f>
        <v/>
      </c>
      <c r="R667" s="39">
        <f>IF($A667="","",SUM($I667:$K667))</f>
        <v/>
      </c>
      <c r="S667" s="39">
        <f>IF($A667="","",($L667+$R667)-$Q667)</f>
        <v/>
      </c>
      <c r="T667" s="31">
        <f>IF(OR($A667="",$Q667=0),"",$S667/$Q667)</f>
        <v/>
      </c>
      <c r="U667" s="27">
        <f>IF($A667="","",IF($L667&gt;0,"Live","Exited"))</f>
        <v/>
      </c>
      <c r="V667" s="40">
        <f>IF($A667="","",IF($A667='Client Report'!$C$4,COUNTIFS($A$6:$A667,'Client Report'!$C$4),""))</f>
        <v/>
      </c>
    </row>
    <row r="668">
      <c r="A668" s="11" t="n"/>
      <c r="B668" s="11" t="n"/>
      <c r="C668" s="11" t="n"/>
      <c r="D668" s="11" t="n"/>
      <c r="E668" s="12" t="n"/>
      <c r="F668" s="34" t="n"/>
      <c r="G668" s="34" t="n"/>
      <c r="H668" s="34" t="n"/>
      <c r="I668" s="34" t="n"/>
      <c r="J668" s="34" t="n"/>
      <c r="K668" s="34" t="n"/>
      <c r="L668" s="34" t="n"/>
      <c r="M668" s="36" t="n"/>
      <c r="N668" s="36" t="n"/>
      <c r="O668" s="41" t="n"/>
      <c r="P668" s="27">
        <f>IF($B668="","",IFERROR(TRIM(LEFT($B668,FIND(" - ",$B668)-1)),"Others"))</f>
        <v/>
      </c>
      <c r="Q668" s="39">
        <f>IF($A668="","",SUM($F668:$H668))</f>
        <v/>
      </c>
      <c r="R668" s="39">
        <f>IF($A668="","",SUM($I668:$K668))</f>
        <v/>
      </c>
      <c r="S668" s="39">
        <f>IF($A668="","",($L668+$R668)-$Q668)</f>
        <v/>
      </c>
      <c r="T668" s="31">
        <f>IF(OR($A668="",$Q668=0),"",$S668/$Q668)</f>
        <v/>
      </c>
      <c r="U668" s="27">
        <f>IF($A668="","",IF($L668&gt;0,"Live","Exited"))</f>
        <v/>
      </c>
      <c r="V668" s="40">
        <f>IF($A668="","",IF($A668='Client Report'!$C$4,COUNTIFS($A$6:$A668,'Client Report'!$C$4),""))</f>
        <v/>
      </c>
    </row>
    <row r="669">
      <c r="A669" s="11" t="n"/>
      <c r="B669" s="11" t="n"/>
      <c r="C669" s="11" t="n"/>
      <c r="D669" s="11" t="n"/>
      <c r="E669" s="12" t="n"/>
      <c r="F669" s="34" t="n"/>
      <c r="G669" s="34" t="n"/>
      <c r="H669" s="34" t="n"/>
      <c r="I669" s="34" t="n"/>
      <c r="J669" s="34" t="n"/>
      <c r="K669" s="34" t="n"/>
      <c r="L669" s="34" t="n"/>
      <c r="M669" s="36" t="n"/>
      <c r="N669" s="36" t="n"/>
      <c r="O669" s="41" t="n"/>
      <c r="P669" s="27">
        <f>IF($B669="","",IFERROR(TRIM(LEFT($B669,FIND(" - ",$B669)-1)),"Others"))</f>
        <v/>
      </c>
      <c r="Q669" s="39">
        <f>IF($A669="","",SUM($F669:$H669))</f>
        <v/>
      </c>
      <c r="R669" s="39">
        <f>IF($A669="","",SUM($I669:$K669))</f>
        <v/>
      </c>
      <c r="S669" s="39">
        <f>IF($A669="","",($L669+$R669)-$Q669)</f>
        <v/>
      </c>
      <c r="T669" s="31">
        <f>IF(OR($A669="",$Q669=0),"",$S669/$Q669)</f>
        <v/>
      </c>
      <c r="U669" s="27">
        <f>IF($A669="","",IF($L669&gt;0,"Live","Exited"))</f>
        <v/>
      </c>
      <c r="V669" s="40">
        <f>IF($A669="","",IF($A669='Client Report'!$C$4,COUNTIFS($A$6:$A669,'Client Report'!$C$4),""))</f>
        <v/>
      </c>
    </row>
    <row r="670">
      <c r="A670" s="11" t="n"/>
      <c r="B670" s="11" t="n"/>
      <c r="C670" s="11" t="n"/>
      <c r="D670" s="11" t="n"/>
      <c r="E670" s="12" t="n"/>
      <c r="F670" s="34" t="n"/>
      <c r="G670" s="34" t="n"/>
      <c r="H670" s="34" t="n"/>
      <c r="I670" s="34" t="n"/>
      <c r="J670" s="34" t="n"/>
      <c r="K670" s="34" t="n"/>
      <c r="L670" s="34" t="n"/>
      <c r="M670" s="36" t="n"/>
      <c r="N670" s="36" t="n"/>
      <c r="O670" s="41" t="n"/>
      <c r="P670" s="27">
        <f>IF($B670="","",IFERROR(TRIM(LEFT($B670,FIND(" - ",$B670)-1)),"Others"))</f>
        <v/>
      </c>
      <c r="Q670" s="39">
        <f>IF($A670="","",SUM($F670:$H670))</f>
        <v/>
      </c>
      <c r="R670" s="39">
        <f>IF($A670="","",SUM($I670:$K670))</f>
        <v/>
      </c>
      <c r="S670" s="39">
        <f>IF($A670="","",($L670+$R670)-$Q670)</f>
        <v/>
      </c>
      <c r="T670" s="31">
        <f>IF(OR($A670="",$Q670=0),"",$S670/$Q670)</f>
        <v/>
      </c>
      <c r="U670" s="27">
        <f>IF($A670="","",IF($L670&gt;0,"Live","Exited"))</f>
        <v/>
      </c>
      <c r="V670" s="40">
        <f>IF($A670="","",IF($A670='Client Report'!$C$4,COUNTIFS($A$6:$A670,'Client Report'!$C$4),""))</f>
        <v/>
      </c>
    </row>
    <row r="671">
      <c r="A671" s="11" t="n"/>
      <c r="B671" s="11" t="n"/>
      <c r="C671" s="11" t="n"/>
      <c r="D671" s="11" t="n"/>
      <c r="E671" s="12" t="n"/>
      <c r="F671" s="34" t="n"/>
      <c r="G671" s="34" t="n"/>
      <c r="H671" s="34" t="n"/>
      <c r="I671" s="34" t="n"/>
      <c r="J671" s="34" t="n"/>
      <c r="K671" s="34" t="n"/>
      <c r="L671" s="34" t="n"/>
      <c r="M671" s="36" t="n"/>
      <c r="N671" s="36" t="n"/>
      <c r="O671" s="41" t="n"/>
      <c r="P671" s="27">
        <f>IF($B671="","",IFERROR(TRIM(LEFT($B671,FIND(" - ",$B671)-1)),"Others"))</f>
        <v/>
      </c>
      <c r="Q671" s="39">
        <f>IF($A671="","",SUM($F671:$H671))</f>
        <v/>
      </c>
      <c r="R671" s="39">
        <f>IF($A671="","",SUM($I671:$K671))</f>
        <v/>
      </c>
      <c r="S671" s="39">
        <f>IF($A671="","",($L671+$R671)-$Q671)</f>
        <v/>
      </c>
      <c r="T671" s="31">
        <f>IF(OR($A671="",$Q671=0),"",$S671/$Q671)</f>
        <v/>
      </c>
      <c r="U671" s="27">
        <f>IF($A671="","",IF($L671&gt;0,"Live","Exited"))</f>
        <v/>
      </c>
      <c r="V671" s="40">
        <f>IF($A671="","",IF($A671='Client Report'!$C$4,COUNTIFS($A$6:$A671,'Client Report'!$C$4),""))</f>
        <v/>
      </c>
    </row>
    <row r="672">
      <c r="A672" s="11" t="n"/>
      <c r="B672" s="11" t="n"/>
      <c r="C672" s="11" t="n"/>
      <c r="D672" s="11" t="n"/>
      <c r="E672" s="12" t="n"/>
      <c r="F672" s="34" t="n"/>
      <c r="G672" s="34" t="n"/>
      <c r="H672" s="34" t="n"/>
      <c r="I672" s="34" t="n"/>
      <c r="J672" s="34" t="n"/>
      <c r="K672" s="34" t="n"/>
      <c r="L672" s="34" t="n"/>
      <c r="M672" s="36" t="n"/>
      <c r="N672" s="36" t="n"/>
      <c r="O672" s="41" t="n"/>
      <c r="P672" s="27">
        <f>IF($B672="","",IFERROR(TRIM(LEFT($B672,FIND(" - ",$B672)-1)),"Others"))</f>
        <v/>
      </c>
      <c r="Q672" s="39">
        <f>IF($A672="","",SUM($F672:$H672))</f>
        <v/>
      </c>
      <c r="R672" s="39">
        <f>IF($A672="","",SUM($I672:$K672))</f>
        <v/>
      </c>
      <c r="S672" s="39">
        <f>IF($A672="","",($L672+$R672)-$Q672)</f>
        <v/>
      </c>
      <c r="T672" s="31">
        <f>IF(OR($A672="",$Q672=0),"",$S672/$Q672)</f>
        <v/>
      </c>
      <c r="U672" s="27">
        <f>IF($A672="","",IF($L672&gt;0,"Live","Exited"))</f>
        <v/>
      </c>
      <c r="V672" s="40">
        <f>IF($A672="","",IF($A672='Client Report'!$C$4,COUNTIFS($A$6:$A672,'Client Report'!$C$4),""))</f>
        <v/>
      </c>
    </row>
    <row r="673">
      <c r="A673" s="11" t="n"/>
      <c r="B673" s="11" t="n"/>
      <c r="C673" s="11" t="n"/>
      <c r="D673" s="11" t="n"/>
      <c r="E673" s="12" t="n"/>
      <c r="F673" s="34" t="n"/>
      <c r="G673" s="34" t="n"/>
      <c r="H673" s="34" t="n"/>
      <c r="I673" s="34" t="n"/>
      <c r="J673" s="34" t="n"/>
      <c r="K673" s="34" t="n"/>
      <c r="L673" s="34" t="n"/>
      <c r="M673" s="36" t="n"/>
      <c r="N673" s="36" t="n"/>
      <c r="O673" s="41" t="n"/>
      <c r="P673" s="27">
        <f>IF($B673="","",IFERROR(TRIM(LEFT($B673,FIND(" - ",$B673)-1)),"Others"))</f>
        <v/>
      </c>
      <c r="Q673" s="39">
        <f>IF($A673="","",SUM($F673:$H673))</f>
        <v/>
      </c>
      <c r="R673" s="39">
        <f>IF($A673="","",SUM($I673:$K673))</f>
        <v/>
      </c>
      <c r="S673" s="39">
        <f>IF($A673="","",($L673+$R673)-$Q673)</f>
        <v/>
      </c>
      <c r="T673" s="31">
        <f>IF(OR($A673="",$Q673=0),"",$S673/$Q673)</f>
        <v/>
      </c>
      <c r="U673" s="27">
        <f>IF($A673="","",IF($L673&gt;0,"Live","Exited"))</f>
        <v/>
      </c>
      <c r="V673" s="40">
        <f>IF($A673="","",IF($A673='Client Report'!$C$4,COUNTIFS($A$6:$A673,'Client Report'!$C$4),""))</f>
        <v/>
      </c>
    </row>
    <row r="674">
      <c r="A674" s="11" t="n"/>
      <c r="B674" s="11" t="n"/>
      <c r="C674" s="11" t="n"/>
      <c r="D674" s="11" t="n"/>
      <c r="E674" s="12" t="n"/>
      <c r="F674" s="34" t="n"/>
      <c r="G674" s="34" t="n"/>
      <c r="H674" s="34" t="n"/>
      <c r="I674" s="34" t="n"/>
      <c r="J674" s="34" t="n"/>
      <c r="K674" s="34" t="n"/>
      <c r="L674" s="34" t="n"/>
      <c r="M674" s="36" t="n"/>
      <c r="N674" s="36" t="n"/>
      <c r="O674" s="41" t="n"/>
      <c r="P674" s="27">
        <f>IF($B674="","",IFERROR(TRIM(LEFT($B674,FIND(" - ",$B674)-1)),"Others"))</f>
        <v/>
      </c>
      <c r="Q674" s="39">
        <f>IF($A674="","",SUM($F674:$H674))</f>
        <v/>
      </c>
      <c r="R674" s="39">
        <f>IF($A674="","",SUM($I674:$K674))</f>
        <v/>
      </c>
      <c r="S674" s="39">
        <f>IF($A674="","",($L674+$R674)-$Q674)</f>
        <v/>
      </c>
      <c r="T674" s="31">
        <f>IF(OR($A674="",$Q674=0),"",$S674/$Q674)</f>
        <v/>
      </c>
      <c r="U674" s="27">
        <f>IF($A674="","",IF($L674&gt;0,"Live","Exited"))</f>
        <v/>
      </c>
      <c r="V674" s="40">
        <f>IF($A674="","",IF($A674='Client Report'!$C$4,COUNTIFS($A$6:$A674,'Client Report'!$C$4),""))</f>
        <v/>
      </c>
    </row>
    <row r="675">
      <c r="A675" s="11" t="n"/>
      <c r="B675" s="11" t="n"/>
      <c r="C675" s="11" t="n"/>
      <c r="D675" s="11" t="n"/>
      <c r="E675" s="12" t="n"/>
      <c r="F675" s="34" t="n"/>
      <c r="G675" s="34" t="n"/>
      <c r="H675" s="34" t="n"/>
      <c r="I675" s="34" t="n"/>
      <c r="J675" s="34" t="n"/>
      <c r="K675" s="34" t="n"/>
      <c r="L675" s="34" t="n"/>
      <c r="M675" s="36" t="n"/>
      <c r="N675" s="36" t="n"/>
      <c r="O675" s="41" t="n"/>
      <c r="P675" s="27">
        <f>IF($B675="","",IFERROR(TRIM(LEFT($B675,FIND(" - ",$B675)-1)),"Others"))</f>
        <v/>
      </c>
      <c r="Q675" s="39">
        <f>IF($A675="","",SUM($F675:$H675))</f>
        <v/>
      </c>
      <c r="R675" s="39">
        <f>IF($A675="","",SUM($I675:$K675))</f>
        <v/>
      </c>
      <c r="S675" s="39">
        <f>IF($A675="","",($L675+$R675)-$Q675)</f>
        <v/>
      </c>
      <c r="T675" s="31">
        <f>IF(OR($A675="",$Q675=0),"",$S675/$Q675)</f>
        <v/>
      </c>
      <c r="U675" s="27">
        <f>IF($A675="","",IF($L675&gt;0,"Live","Exited"))</f>
        <v/>
      </c>
      <c r="V675" s="40">
        <f>IF($A675="","",IF($A675='Client Report'!$C$4,COUNTIFS($A$6:$A675,'Client Report'!$C$4),""))</f>
        <v/>
      </c>
    </row>
    <row r="676">
      <c r="A676" s="11" t="n"/>
      <c r="B676" s="11" t="n"/>
      <c r="C676" s="11" t="n"/>
      <c r="D676" s="11" t="n"/>
      <c r="E676" s="12" t="n"/>
      <c r="F676" s="34" t="n"/>
      <c r="G676" s="34" t="n"/>
      <c r="H676" s="34" t="n"/>
      <c r="I676" s="34" t="n"/>
      <c r="J676" s="34" t="n"/>
      <c r="K676" s="34" t="n"/>
      <c r="L676" s="34" t="n"/>
      <c r="M676" s="36" t="n"/>
      <c r="N676" s="36" t="n"/>
      <c r="O676" s="41" t="n"/>
      <c r="P676" s="27">
        <f>IF($B676="","",IFERROR(TRIM(LEFT($B676,FIND(" - ",$B676)-1)),"Others"))</f>
        <v/>
      </c>
      <c r="Q676" s="39">
        <f>IF($A676="","",SUM($F676:$H676))</f>
        <v/>
      </c>
      <c r="R676" s="39">
        <f>IF($A676="","",SUM($I676:$K676))</f>
        <v/>
      </c>
      <c r="S676" s="39">
        <f>IF($A676="","",($L676+$R676)-$Q676)</f>
        <v/>
      </c>
      <c r="T676" s="31">
        <f>IF(OR($A676="",$Q676=0),"",$S676/$Q676)</f>
        <v/>
      </c>
      <c r="U676" s="27">
        <f>IF($A676="","",IF($L676&gt;0,"Live","Exited"))</f>
        <v/>
      </c>
      <c r="V676" s="40">
        <f>IF($A676="","",IF($A676='Client Report'!$C$4,COUNTIFS($A$6:$A676,'Client Report'!$C$4),""))</f>
        <v/>
      </c>
    </row>
    <row r="677">
      <c r="A677" s="11" t="n"/>
      <c r="B677" s="11" t="n"/>
      <c r="C677" s="11" t="n"/>
      <c r="D677" s="11" t="n"/>
      <c r="E677" s="12" t="n"/>
      <c r="F677" s="34" t="n"/>
      <c r="G677" s="34" t="n"/>
      <c r="H677" s="34" t="n"/>
      <c r="I677" s="34" t="n"/>
      <c r="J677" s="34" t="n"/>
      <c r="K677" s="34" t="n"/>
      <c r="L677" s="34" t="n"/>
      <c r="M677" s="36" t="n"/>
      <c r="N677" s="36" t="n"/>
      <c r="O677" s="41" t="n"/>
      <c r="P677" s="27">
        <f>IF($B677="","",IFERROR(TRIM(LEFT($B677,FIND(" - ",$B677)-1)),"Others"))</f>
        <v/>
      </c>
      <c r="Q677" s="39">
        <f>IF($A677="","",SUM($F677:$H677))</f>
        <v/>
      </c>
      <c r="R677" s="39">
        <f>IF($A677="","",SUM($I677:$K677))</f>
        <v/>
      </c>
      <c r="S677" s="39">
        <f>IF($A677="","",($L677+$R677)-$Q677)</f>
        <v/>
      </c>
      <c r="T677" s="31">
        <f>IF(OR($A677="",$Q677=0),"",$S677/$Q677)</f>
        <v/>
      </c>
      <c r="U677" s="27">
        <f>IF($A677="","",IF($L677&gt;0,"Live","Exited"))</f>
        <v/>
      </c>
      <c r="V677" s="40">
        <f>IF($A677="","",IF($A677='Client Report'!$C$4,COUNTIFS($A$6:$A677,'Client Report'!$C$4),""))</f>
        <v/>
      </c>
    </row>
    <row r="678">
      <c r="A678" s="11" t="n"/>
      <c r="B678" s="11" t="n"/>
      <c r="C678" s="11" t="n"/>
      <c r="D678" s="11" t="n"/>
      <c r="E678" s="12" t="n"/>
      <c r="F678" s="34" t="n"/>
      <c r="G678" s="34" t="n"/>
      <c r="H678" s="34" t="n"/>
      <c r="I678" s="34" t="n"/>
      <c r="J678" s="34" t="n"/>
      <c r="K678" s="34" t="n"/>
      <c r="L678" s="34" t="n"/>
      <c r="M678" s="36" t="n"/>
      <c r="N678" s="36" t="n"/>
      <c r="O678" s="41" t="n"/>
      <c r="P678" s="27">
        <f>IF($B678="","",IFERROR(TRIM(LEFT($B678,FIND(" - ",$B678)-1)),"Others"))</f>
        <v/>
      </c>
      <c r="Q678" s="39">
        <f>IF($A678="","",SUM($F678:$H678))</f>
        <v/>
      </c>
      <c r="R678" s="39">
        <f>IF($A678="","",SUM($I678:$K678))</f>
        <v/>
      </c>
      <c r="S678" s="39">
        <f>IF($A678="","",($L678+$R678)-$Q678)</f>
        <v/>
      </c>
      <c r="T678" s="31">
        <f>IF(OR($A678="",$Q678=0),"",$S678/$Q678)</f>
        <v/>
      </c>
      <c r="U678" s="27">
        <f>IF($A678="","",IF($L678&gt;0,"Live","Exited"))</f>
        <v/>
      </c>
      <c r="V678" s="40">
        <f>IF($A678="","",IF($A678='Client Report'!$C$4,COUNTIFS($A$6:$A678,'Client Report'!$C$4),""))</f>
        <v/>
      </c>
    </row>
    <row r="679">
      <c r="A679" s="11" t="n"/>
      <c r="B679" s="11" t="n"/>
      <c r="C679" s="11" t="n"/>
      <c r="D679" s="11" t="n"/>
      <c r="E679" s="12" t="n"/>
      <c r="F679" s="34" t="n"/>
      <c r="G679" s="34" t="n"/>
      <c r="H679" s="34" t="n"/>
      <c r="I679" s="34" t="n"/>
      <c r="J679" s="34" t="n"/>
      <c r="K679" s="34" t="n"/>
      <c r="L679" s="34" t="n"/>
      <c r="M679" s="36" t="n"/>
      <c r="N679" s="36" t="n"/>
      <c r="O679" s="41" t="n"/>
      <c r="P679" s="27">
        <f>IF($B679="","",IFERROR(TRIM(LEFT($B679,FIND(" - ",$B679)-1)),"Others"))</f>
        <v/>
      </c>
      <c r="Q679" s="39">
        <f>IF($A679="","",SUM($F679:$H679))</f>
        <v/>
      </c>
      <c r="R679" s="39">
        <f>IF($A679="","",SUM($I679:$K679))</f>
        <v/>
      </c>
      <c r="S679" s="39">
        <f>IF($A679="","",($L679+$R679)-$Q679)</f>
        <v/>
      </c>
      <c r="T679" s="31">
        <f>IF(OR($A679="",$Q679=0),"",$S679/$Q679)</f>
        <v/>
      </c>
      <c r="U679" s="27">
        <f>IF($A679="","",IF($L679&gt;0,"Live","Exited"))</f>
        <v/>
      </c>
      <c r="V679" s="40">
        <f>IF($A679="","",IF($A679='Client Report'!$C$4,COUNTIFS($A$6:$A679,'Client Report'!$C$4),""))</f>
        <v/>
      </c>
    </row>
    <row r="680">
      <c r="A680" s="11" t="n"/>
      <c r="B680" s="11" t="n"/>
      <c r="C680" s="11" t="n"/>
      <c r="D680" s="11" t="n"/>
      <c r="E680" s="12" t="n"/>
      <c r="F680" s="34" t="n"/>
      <c r="G680" s="34" t="n"/>
      <c r="H680" s="34" t="n"/>
      <c r="I680" s="34" t="n"/>
      <c r="J680" s="34" t="n"/>
      <c r="K680" s="34" t="n"/>
      <c r="L680" s="34" t="n"/>
      <c r="M680" s="36" t="n"/>
      <c r="N680" s="36" t="n"/>
      <c r="O680" s="41" t="n"/>
      <c r="P680" s="27">
        <f>IF($B680="","",IFERROR(TRIM(LEFT($B680,FIND(" - ",$B680)-1)),"Others"))</f>
        <v/>
      </c>
      <c r="Q680" s="39">
        <f>IF($A680="","",SUM($F680:$H680))</f>
        <v/>
      </c>
      <c r="R680" s="39">
        <f>IF($A680="","",SUM($I680:$K680))</f>
        <v/>
      </c>
      <c r="S680" s="39">
        <f>IF($A680="","",($L680+$R680)-$Q680)</f>
        <v/>
      </c>
      <c r="T680" s="31">
        <f>IF(OR($A680="",$Q680=0),"",$S680/$Q680)</f>
        <v/>
      </c>
      <c r="U680" s="27">
        <f>IF($A680="","",IF($L680&gt;0,"Live","Exited"))</f>
        <v/>
      </c>
      <c r="V680" s="40">
        <f>IF($A680="","",IF($A680='Client Report'!$C$4,COUNTIFS($A$6:$A680,'Client Report'!$C$4),""))</f>
        <v/>
      </c>
    </row>
    <row r="681">
      <c r="A681" s="11" t="n"/>
      <c r="B681" s="11" t="n"/>
      <c r="C681" s="11" t="n"/>
      <c r="D681" s="11" t="n"/>
      <c r="E681" s="12" t="n"/>
      <c r="F681" s="34" t="n"/>
      <c r="G681" s="34" t="n"/>
      <c r="H681" s="34" t="n"/>
      <c r="I681" s="34" t="n"/>
      <c r="J681" s="34" t="n"/>
      <c r="K681" s="34" t="n"/>
      <c r="L681" s="34" t="n"/>
      <c r="M681" s="36" t="n"/>
      <c r="N681" s="36" t="n"/>
      <c r="O681" s="41" t="n"/>
      <c r="P681" s="27">
        <f>IF($B681="","",IFERROR(TRIM(LEFT($B681,FIND(" - ",$B681)-1)),"Others"))</f>
        <v/>
      </c>
      <c r="Q681" s="39">
        <f>IF($A681="","",SUM($F681:$H681))</f>
        <v/>
      </c>
      <c r="R681" s="39">
        <f>IF($A681="","",SUM($I681:$K681))</f>
        <v/>
      </c>
      <c r="S681" s="39">
        <f>IF($A681="","",($L681+$R681)-$Q681)</f>
        <v/>
      </c>
      <c r="T681" s="31">
        <f>IF(OR($A681="",$Q681=0),"",$S681/$Q681)</f>
        <v/>
      </c>
      <c r="U681" s="27">
        <f>IF($A681="","",IF($L681&gt;0,"Live","Exited"))</f>
        <v/>
      </c>
      <c r="V681" s="40">
        <f>IF($A681="","",IF($A681='Client Report'!$C$4,COUNTIFS($A$6:$A681,'Client Report'!$C$4),""))</f>
        <v/>
      </c>
    </row>
    <row r="682">
      <c r="A682" s="11" t="n"/>
      <c r="B682" s="11" t="n"/>
      <c r="C682" s="11" t="n"/>
      <c r="D682" s="11" t="n"/>
      <c r="E682" s="12" t="n"/>
      <c r="F682" s="34" t="n"/>
      <c r="G682" s="34" t="n"/>
      <c r="H682" s="34" t="n"/>
      <c r="I682" s="34" t="n"/>
      <c r="J682" s="34" t="n"/>
      <c r="K682" s="34" t="n"/>
      <c r="L682" s="34" t="n"/>
      <c r="M682" s="36" t="n"/>
      <c r="N682" s="36" t="n"/>
      <c r="O682" s="41" t="n"/>
      <c r="P682" s="27">
        <f>IF($B682="","",IFERROR(TRIM(LEFT($B682,FIND(" - ",$B682)-1)),"Others"))</f>
        <v/>
      </c>
      <c r="Q682" s="39">
        <f>IF($A682="","",SUM($F682:$H682))</f>
        <v/>
      </c>
      <c r="R682" s="39">
        <f>IF($A682="","",SUM($I682:$K682))</f>
        <v/>
      </c>
      <c r="S682" s="39">
        <f>IF($A682="","",($L682+$R682)-$Q682)</f>
        <v/>
      </c>
      <c r="T682" s="31">
        <f>IF(OR($A682="",$Q682=0),"",$S682/$Q682)</f>
        <v/>
      </c>
      <c r="U682" s="27">
        <f>IF($A682="","",IF($L682&gt;0,"Live","Exited"))</f>
        <v/>
      </c>
      <c r="V682" s="40">
        <f>IF($A682="","",IF($A682='Client Report'!$C$4,COUNTIFS($A$6:$A682,'Client Report'!$C$4),""))</f>
        <v/>
      </c>
    </row>
    <row r="683">
      <c r="A683" s="11" t="n"/>
      <c r="B683" s="11" t="n"/>
      <c r="C683" s="11" t="n"/>
      <c r="D683" s="11" t="n"/>
      <c r="E683" s="12" t="n"/>
      <c r="F683" s="34" t="n"/>
      <c r="G683" s="34" t="n"/>
      <c r="H683" s="34" t="n"/>
      <c r="I683" s="34" t="n"/>
      <c r="J683" s="34" t="n"/>
      <c r="K683" s="34" t="n"/>
      <c r="L683" s="34" t="n"/>
      <c r="M683" s="36" t="n"/>
      <c r="N683" s="36" t="n"/>
      <c r="O683" s="41" t="n"/>
      <c r="P683" s="27">
        <f>IF($B683="","",IFERROR(TRIM(LEFT($B683,FIND(" - ",$B683)-1)),"Others"))</f>
        <v/>
      </c>
      <c r="Q683" s="39">
        <f>IF($A683="","",SUM($F683:$H683))</f>
        <v/>
      </c>
      <c r="R683" s="39">
        <f>IF($A683="","",SUM($I683:$K683))</f>
        <v/>
      </c>
      <c r="S683" s="39">
        <f>IF($A683="","",($L683+$R683)-$Q683)</f>
        <v/>
      </c>
      <c r="T683" s="31">
        <f>IF(OR($A683="",$Q683=0),"",$S683/$Q683)</f>
        <v/>
      </c>
      <c r="U683" s="27">
        <f>IF($A683="","",IF($L683&gt;0,"Live","Exited"))</f>
        <v/>
      </c>
      <c r="V683" s="40">
        <f>IF($A683="","",IF($A683='Client Report'!$C$4,COUNTIFS($A$6:$A683,'Client Report'!$C$4),""))</f>
        <v/>
      </c>
    </row>
    <row r="684">
      <c r="A684" s="11" t="n"/>
      <c r="B684" s="11" t="n"/>
      <c r="C684" s="11" t="n"/>
      <c r="D684" s="11" t="n"/>
      <c r="E684" s="12" t="n"/>
      <c r="F684" s="34" t="n"/>
      <c r="G684" s="34" t="n"/>
      <c r="H684" s="34" t="n"/>
      <c r="I684" s="34" t="n"/>
      <c r="J684" s="34" t="n"/>
      <c r="K684" s="34" t="n"/>
      <c r="L684" s="34" t="n"/>
      <c r="M684" s="36" t="n"/>
      <c r="N684" s="36" t="n"/>
      <c r="O684" s="41" t="n"/>
      <c r="P684" s="27">
        <f>IF($B684="","",IFERROR(TRIM(LEFT($B684,FIND(" - ",$B684)-1)),"Others"))</f>
        <v/>
      </c>
      <c r="Q684" s="39">
        <f>IF($A684="","",SUM($F684:$H684))</f>
        <v/>
      </c>
      <c r="R684" s="39">
        <f>IF($A684="","",SUM($I684:$K684))</f>
        <v/>
      </c>
      <c r="S684" s="39">
        <f>IF($A684="","",($L684+$R684)-$Q684)</f>
        <v/>
      </c>
      <c r="T684" s="31">
        <f>IF(OR($A684="",$Q684=0),"",$S684/$Q684)</f>
        <v/>
      </c>
      <c r="U684" s="27">
        <f>IF($A684="","",IF($L684&gt;0,"Live","Exited"))</f>
        <v/>
      </c>
      <c r="V684" s="40">
        <f>IF($A684="","",IF($A684='Client Report'!$C$4,COUNTIFS($A$6:$A684,'Client Report'!$C$4),""))</f>
        <v/>
      </c>
    </row>
    <row r="685">
      <c r="A685" s="11" t="n"/>
      <c r="B685" s="11" t="n"/>
      <c r="C685" s="11" t="n"/>
      <c r="D685" s="11" t="n"/>
      <c r="E685" s="12" t="n"/>
      <c r="F685" s="34" t="n"/>
      <c r="G685" s="34" t="n"/>
      <c r="H685" s="34" t="n"/>
      <c r="I685" s="34" t="n"/>
      <c r="J685" s="34" t="n"/>
      <c r="K685" s="34" t="n"/>
      <c r="L685" s="34" t="n"/>
      <c r="M685" s="36" t="n"/>
      <c r="N685" s="36" t="n"/>
      <c r="O685" s="41" t="n"/>
      <c r="P685" s="27">
        <f>IF($B685="","",IFERROR(TRIM(LEFT($B685,FIND(" - ",$B685)-1)),"Others"))</f>
        <v/>
      </c>
      <c r="Q685" s="39">
        <f>IF($A685="","",SUM($F685:$H685))</f>
        <v/>
      </c>
      <c r="R685" s="39">
        <f>IF($A685="","",SUM($I685:$K685))</f>
        <v/>
      </c>
      <c r="S685" s="39">
        <f>IF($A685="","",($L685+$R685)-$Q685)</f>
        <v/>
      </c>
      <c r="T685" s="31">
        <f>IF(OR($A685="",$Q685=0),"",$S685/$Q685)</f>
        <v/>
      </c>
      <c r="U685" s="27">
        <f>IF($A685="","",IF($L685&gt;0,"Live","Exited"))</f>
        <v/>
      </c>
      <c r="V685" s="40">
        <f>IF($A685="","",IF($A685='Client Report'!$C$4,COUNTIFS($A$6:$A685,'Client Report'!$C$4),""))</f>
        <v/>
      </c>
    </row>
    <row r="686">
      <c r="A686" s="11" t="n"/>
      <c r="B686" s="11" t="n"/>
      <c r="C686" s="11" t="n"/>
      <c r="D686" s="11" t="n"/>
      <c r="E686" s="12" t="n"/>
      <c r="F686" s="34" t="n"/>
      <c r="G686" s="34" t="n"/>
      <c r="H686" s="34" t="n"/>
      <c r="I686" s="34" t="n"/>
      <c r="J686" s="34" t="n"/>
      <c r="K686" s="34" t="n"/>
      <c r="L686" s="34" t="n"/>
      <c r="M686" s="36" t="n"/>
      <c r="N686" s="36" t="n"/>
      <c r="O686" s="41" t="n"/>
      <c r="P686" s="27">
        <f>IF($B686="","",IFERROR(TRIM(LEFT($B686,FIND(" - ",$B686)-1)),"Others"))</f>
        <v/>
      </c>
      <c r="Q686" s="39">
        <f>IF($A686="","",SUM($F686:$H686))</f>
        <v/>
      </c>
      <c r="R686" s="39">
        <f>IF($A686="","",SUM($I686:$K686))</f>
        <v/>
      </c>
      <c r="S686" s="39">
        <f>IF($A686="","",($L686+$R686)-$Q686)</f>
        <v/>
      </c>
      <c r="T686" s="31">
        <f>IF(OR($A686="",$Q686=0),"",$S686/$Q686)</f>
        <v/>
      </c>
      <c r="U686" s="27">
        <f>IF($A686="","",IF($L686&gt;0,"Live","Exited"))</f>
        <v/>
      </c>
      <c r="V686" s="40">
        <f>IF($A686="","",IF($A686='Client Report'!$C$4,COUNTIFS($A$6:$A686,'Client Report'!$C$4),""))</f>
        <v/>
      </c>
    </row>
    <row r="687">
      <c r="A687" s="11" t="n"/>
      <c r="B687" s="11" t="n"/>
      <c r="C687" s="11" t="n"/>
      <c r="D687" s="11" t="n"/>
      <c r="E687" s="12" t="n"/>
      <c r="F687" s="34" t="n"/>
      <c r="G687" s="34" t="n"/>
      <c r="H687" s="34" t="n"/>
      <c r="I687" s="34" t="n"/>
      <c r="J687" s="34" t="n"/>
      <c r="K687" s="34" t="n"/>
      <c r="L687" s="34" t="n"/>
      <c r="M687" s="36" t="n"/>
      <c r="N687" s="36" t="n"/>
      <c r="O687" s="41" t="n"/>
      <c r="P687" s="27">
        <f>IF($B687="","",IFERROR(TRIM(LEFT($B687,FIND(" - ",$B687)-1)),"Others"))</f>
        <v/>
      </c>
      <c r="Q687" s="39">
        <f>IF($A687="","",SUM($F687:$H687))</f>
        <v/>
      </c>
      <c r="R687" s="39">
        <f>IF($A687="","",SUM($I687:$K687))</f>
        <v/>
      </c>
      <c r="S687" s="39">
        <f>IF($A687="","",($L687+$R687)-$Q687)</f>
        <v/>
      </c>
      <c r="T687" s="31">
        <f>IF(OR($A687="",$Q687=0),"",$S687/$Q687)</f>
        <v/>
      </c>
      <c r="U687" s="27">
        <f>IF($A687="","",IF($L687&gt;0,"Live","Exited"))</f>
        <v/>
      </c>
      <c r="V687" s="40">
        <f>IF($A687="","",IF($A687='Client Report'!$C$4,COUNTIFS($A$6:$A687,'Client Report'!$C$4),""))</f>
        <v/>
      </c>
    </row>
    <row r="688">
      <c r="A688" s="11" t="n"/>
      <c r="B688" s="11" t="n"/>
      <c r="C688" s="11" t="n"/>
      <c r="D688" s="11" t="n"/>
      <c r="E688" s="12" t="n"/>
      <c r="F688" s="34" t="n"/>
      <c r="G688" s="34" t="n"/>
      <c r="H688" s="34" t="n"/>
      <c r="I688" s="34" t="n"/>
      <c r="J688" s="34" t="n"/>
      <c r="K688" s="34" t="n"/>
      <c r="L688" s="34" t="n"/>
      <c r="M688" s="36" t="n"/>
      <c r="N688" s="36" t="n"/>
      <c r="O688" s="41" t="n"/>
      <c r="P688" s="27">
        <f>IF($B688="","",IFERROR(TRIM(LEFT($B688,FIND(" - ",$B688)-1)),"Others"))</f>
        <v/>
      </c>
      <c r="Q688" s="39">
        <f>IF($A688="","",SUM($F688:$H688))</f>
        <v/>
      </c>
      <c r="R688" s="39">
        <f>IF($A688="","",SUM($I688:$K688))</f>
        <v/>
      </c>
      <c r="S688" s="39">
        <f>IF($A688="","",($L688+$R688)-$Q688)</f>
        <v/>
      </c>
      <c r="T688" s="31">
        <f>IF(OR($A688="",$Q688=0),"",$S688/$Q688)</f>
        <v/>
      </c>
      <c r="U688" s="27">
        <f>IF($A688="","",IF($L688&gt;0,"Live","Exited"))</f>
        <v/>
      </c>
      <c r="V688" s="40">
        <f>IF($A688="","",IF($A688='Client Report'!$C$4,COUNTIFS($A$6:$A688,'Client Report'!$C$4),""))</f>
        <v/>
      </c>
    </row>
    <row r="689">
      <c r="A689" s="11" t="n"/>
      <c r="B689" s="11" t="n"/>
      <c r="C689" s="11" t="n"/>
      <c r="D689" s="11" t="n"/>
      <c r="E689" s="12" t="n"/>
      <c r="F689" s="34" t="n"/>
      <c r="G689" s="34" t="n"/>
      <c r="H689" s="34" t="n"/>
      <c r="I689" s="34" t="n"/>
      <c r="J689" s="34" t="n"/>
      <c r="K689" s="34" t="n"/>
      <c r="L689" s="34" t="n"/>
      <c r="M689" s="36" t="n"/>
      <c r="N689" s="36" t="n"/>
      <c r="O689" s="41" t="n"/>
      <c r="P689" s="27">
        <f>IF($B689="","",IFERROR(TRIM(LEFT($B689,FIND(" - ",$B689)-1)),"Others"))</f>
        <v/>
      </c>
      <c r="Q689" s="39">
        <f>IF($A689="","",SUM($F689:$H689))</f>
        <v/>
      </c>
      <c r="R689" s="39">
        <f>IF($A689="","",SUM($I689:$K689))</f>
        <v/>
      </c>
      <c r="S689" s="39">
        <f>IF($A689="","",($L689+$R689)-$Q689)</f>
        <v/>
      </c>
      <c r="T689" s="31">
        <f>IF(OR($A689="",$Q689=0),"",$S689/$Q689)</f>
        <v/>
      </c>
      <c r="U689" s="27">
        <f>IF($A689="","",IF($L689&gt;0,"Live","Exited"))</f>
        <v/>
      </c>
      <c r="V689" s="40">
        <f>IF($A689="","",IF($A689='Client Report'!$C$4,COUNTIFS($A$6:$A689,'Client Report'!$C$4),""))</f>
        <v/>
      </c>
    </row>
    <row r="690">
      <c r="A690" s="11" t="n"/>
      <c r="B690" s="11" t="n"/>
      <c r="C690" s="11" t="n"/>
      <c r="D690" s="11" t="n"/>
      <c r="E690" s="12" t="n"/>
      <c r="F690" s="34" t="n"/>
      <c r="G690" s="34" t="n"/>
      <c r="H690" s="34" t="n"/>
      <c r="I690" s="34" t="n"/>
      <c r="J690" s="34" t="n"/>
      <c r="K690" s="34" t="n"/>
      <c r="L690" s="34" t="n"/>
      <c r="M690" s="36" t="n"/>
      <c r="N690" s="36" t="n"/>
      <c r="O690" s="41" t="n"/>
      <c r="P690" s="27">
        <f>IF($B690="","",IFERROR(TRIM(LEFT($B690,FIND(" - ",$B690)-1)),"Others"))</f>
        <v/>
      </c>
      <c r="Q690" s="39">
        <f>IF($A690="","",SUM($F690:$H690))</f>
        <v/>
      </c>
      <c r="R690" s="39">
        <f>IF($A690="","",SUM($I690:$K690))</f>
        <v/>
      </c>
      <c r="S690" s="39">
        <f>IF($A690="","",($L690+$R690)-$Q690)</f>
        <v/>
      </c>
      <c r="T690" s="31">
        <f>IF(OR($A690="",$Q690=0),"",$S690/$Q690)</f>
        <v/>
      </c>
      <c r="U690" s="27">
        <f>IF($A690="","",IF($L690&gt;0,"Live","Exited"))</f>
        <v/>
      </c>
      <c r="V690" s="40">
        <f>IF($A690="","",IF($A690='Client Report'!$C$4,COUNTIFS($A$6:$A690,'Client Report'!$C$4),""))</f>
        <v/>
      </c>
    </row>
    <row r="691">
      <c r="A691" s="11" t="n"/>
      <c r="B691" s="11" t="n"/>
      <c r="C691" s="11" t="n"/>
      <c r="D691" s="11" t="n"/>
      <c r="E691" s="12" t="n"/>
      <c r="F691" s="34" t="n"/>
      <c r="G691" s="34" t="n"/>
      <c r="H691" s="34" t="n"/>
      <c r="I691" s="34" t="n"/>
      <c r="J691" s="34" t="n"/>
      <c r="K691" s="34" t="n"/>
      <c r="L691" s="34" t="n"/>
      <c r="M691" s="36" t="n"/>
      <c r="N691" s="36" t="n"/>
      <c r="O691" s="41" t="n"/>
      <c r="P691" s="27">
        <f>IF($B691="","",IFERROR(TRIM(LEFT($B691,FIND(" - ",$B691)-1)),"Others"))</f>
        <v/>
      </c>
      <c r="Q691" s="39">
        <f>IF($A691="","",SUM($F691:$H691))</f>
        <v/>
      </c>
      <c r="R691" s="39">
        <f>IF($A691="","",SUM($I691:$K691))</f>
        <v/>
      </c>
      <c r="S691" s="39">
        <f>IF($A691="","",($L691+$R691)-$Q691)</f>
        <v/>
      </c>
      <c r="T691" s="31">
        <f>IF(OR($A691="",$Q691=0),"",$S691/$Q691)</f>
        <v/>
      </c>
      <c r="U691" s="27">
        <f>IF($A691="","",IF($L691&gt;0,"Live","Exited"))</f>
        <v/>
      </c>
      <c r="V691" s="40">
        <f>IF($A691="","",IF($A691='Client Report'!$C$4,COUNTIFS($A$6:$A691,'Client Report'!$C$4),""))</f>
        <v/>
      </c>
    </row>
    <row r="692">
      <c r="A692" s="11" t="n"/>
      <c r="B692" s="11" t="n"/>
      <c r="C692" s="11" t="n"/>
      <c r="D692" s="11" t="n"/>
      <c r="E692" s="12" t="n"/>
      <c r="F692" s="34" t="n"/>
      <c r="G692" s="34" t="n"/>
      <c r="H692" s="34" t="n"/>
      <c r="I692" s="34" t="n"/>
      <c r="J692" s="34" t="n"/>
      <c r="K692" s="34" t="n"/>
      <c r="L692" s="34" t="n"/>
      <c r="M692" s="36" t="n"/>
      <c r="N692" s="36" t="n"/>
      <c r="O692" s="41" t="n"/>
      <c r="P692" s="27">
        <f>IF($B692="","",IFERROR(TRIM(LEFT($B692,FIND(" - ",$B692)-1)),"Others"))</f>
        <v/>
      </c>
      <c r="Q692" s="39">
        <f>IF($A692="","",SUM($F692:$H692))</f>
        <v/>
      </c>
      <c r="R692" s="39">
        <f>IF($A692="","",SUM($I692:$K692))</f>
        <v/>
      </c>
      <c r="S692" s="39">
        <f>IF($A692="","",($L692+$R692)-$Q692)</f>
        <v/>
      </c>
      <c r="T692" s="31">
        <f>IF(OR($A692="",$Q692=0),"",$S692/$Q692)</f>
        <v/>
      </c>
      <c r="U692" s="27">
        <f>IF($A692="","",IF($L692&gt;0,"Live","Exited"))</f>
        <v/>
      </c>
      <c r="V692" s="40">
        <f>IF($A692="","",IF($A692='Client Report'!$C$4,COUNTIFS($A$6:$A692,'Client Report'!$C$4),""))</f>
        <v/>
      </c>
    </row>
    <row r="693">
      <c r="A693" s="11" t="n"/>
      <c r="B693" s="11" t="n"/>
      <c r="C693" s="11" t="n"/>
      <c r="D693" s="11" t="n"/>
      <c r="E693" s="12" t="n"/>
      <c r="F693" s="34" t="n"/>
      <c r="G693" s="34" t="n"/>
      <c r="H693" s="34" t="n"/>
      <c r="I693" s="34" t="n"/>
      <c r="J693" s="34" t="n"/>
      <c r="K693" s="34" t="n"/>
      <c r="L693" s="34" t="n"/>
      <c r="M693" s="36" t="n"/>
      <c r="N693" s="36" t="n"/>
      <c r="O693" s="41" t="n"/>
      <c r="P693" s="27">
        <f>IF($B693="","",IFERROR(TRIM(LEFT($B693,FIND(" - ",$B693)-1)),"Others"))</f>
        <v/>
      </c>
      <c r="Q693" s="39">
        <f>IF($A693="","",SUM($F693:$H693))</f>
        <v/>
      </c>
      <c r="R693" s="39">
        <f>IF($A693="","",SUM($I693:$K693))</f>
        <v/>
      </c>
      <c r="S693" s="39">
        <f>IF($A693="","",($L693+$R693)-$Q693)</f>
        <v/>
      </c>
      <c r="T693" s="31">
        <f>IF(OR($A693="",$Q693=0),"",$S693/$Q693)</f>
        <v/>
      </c>
      <c r="U693" s="27">
        <f>IF($A693="","",IF($L693&gt;0,"Live","Exited"))</f>
        <v/>
      </c>
      <c r="V693" s="40">
        <f>IF($A693="","",IF($A693='Client Report'!$C$4,COUNTIFS($A$6:$A693,'Client Report'!$C$4),""))</f>
        <v/>
      </c>
    </row>
    <row r="694">
      <c r="A694" s="11" t="n"/>
      <c r="B694" s="11" t="n"/>
      <c r="C694" s="11" t="n"/>
      <c r="D694" s="11" t="n"/>
      <c r="E694" s="12" t="n"/>
      <c r="F694" s="34" t="n"/>
      <c r="G694" s="34" t="n"/>
      <c r="H694" s="34" t="n"/>
      <c r="I694" s="34" t="n"/>
      <c r="J694" s="34" t="n"/>
      <c r="K694" s="34" t="n"/>
      <c r="L694" s="34" t="n"/>
      <c r="M694" s="36" t="n"/>
      <c r="N694" s="36" t="n"/>
      <c r="O694" s="41" t="n"/>
      <c r="P694" s="27">
        <f>IF($B694="","",IFERROR(TRIM(LEFT($B694,FIND(" - ",$B694)-1)),"Others"))</f>
        <v/>
      </c>
      <c r="Q694" s="39">
        <f>IF($A694="","",SUM($F694:$H694))</f>
        <v/>
      </c>
      <c r="R694" s="39">
        <f>IF($A694="","",SUM($I694:$K694))</f>
        <v/>
      </c>
      <c r="S694" s="39">
        <f>IF($A694="","",($L694+$R694)-$Q694)</f>
        <v/>
      </c>
      <c r="T694" s="31">
        <f>IF(OR($A694="",$Q694=0),"",$S694/$Q694)</f>
        <v/>
      </c>
      <c r="U694" s="27">
        <f>IF($A694="","",IF($L694&gt;0,"Live","Exited"))</f>
        <v/>
      </c>
      <c r="V694" s="40">
        <f>IF($A694="","",IF($A694='Client Report'!$C$4,COUNTIFS($A$6:$A694,'Client Report'!$C$4),""))</f>
        <v/>
      </c>
    </row>
    <row r="695">
      <c r="A695" s="11" t="n"/>
      <c r="B695" s="11" t="n"/>
      <c r="C695" s="11" t="n"/>
      <c r="D695" s="11" t="n"/>
      <c r="E695" s="12" t="n"/>
      <c r="F695" s="34" t="n"/>
      <c r="G695" s="34" t="n"/>
      <c r="H695" s="34" t="n"/>
      <c r="I695" s="34" t="n"/>
      <c r="J695" s="34" t="n"/>
      <c r="K695" s="34" t="n"/>
      <c r="L695" s="34" t="n"/>
      <c r="M695" s="36" t="n"/>
      <c r="N695" s="36" t="n"/>
      <c r="O695" s="41" t="n"/>
      <c r="P695" s="27">
        <f>IF($B695="","",IFERROR(TRIM(LEFT($B695,FIND(" - ",$B695)-1)),"Others"))</f>
        <v/>
      </c>
      <c r="Q695" s="39">
        <f>IF($A695="","",SUM($F695:$H695))</f>
        <v/>
      </c>
      <c r="R695" s="39">
        <f>IF($A695="","",SUM($I695:$K695))</f>
        <v/>
      </c>
      <c r="S695" s="39">
        <f>IF($A695="","",($L695+$R695)-$Q695)</f>
        <v/>
      </c>
      <c r="T695" s="31">
        <f>IF(OR($A695="",$Q695=0),"",$S695/$Q695)</f>
        <v/>
      </c>
      <c r="U695" s="27">
        <f>IF($A695="","",IF($L695&gt;0,"Live","Exited"))</f>
        <v/>
      </c>
      <c r="V695" s="40">
        <f>IF($A695="","",IF($A695='Client Report'!$C$4,COUNTIFS($A$6:$A695,'Client Report'!$C$4),""))</f>
        <v/>
      </c>
    </row>
    <row r="696">
      <c r="A696" s="11" t="n"/>
      <c r="B696" s="11" t="n"/>
      <c r="C696" s="11" t="n"/>
      <c r="D696" s="11" t="n"/>
      <c r="E696" s="12" t="n"/>
      <c r="F696" s="34" t="n"/>
      <c r="G696" s="34" t="n"/>
      <c r="H696" s="34" t="n"/>
      <c r="I696" s="34" t="n"/>
      <c r="J696" s="34" t="n"/>
      <c r="K696" s="34" t="n"/>
      <c r="L696" s="34" t="n"/>
      <c r="M696" s="36" t="n"/>
      <c r="N696" s="36" t="n"/>
      <c r="O696" s="41" t="n"/>
      <c r="P696" s="27">
        <f>IF($B696="","",IFERROR(TRIM(LEFT($B696,FIND(" - ",$B696)-1)),"Others"))</f>
        <v/>
      </c>
      <c r="Q696" s="39">
        <f>IF($A696="","",SUM($F696:$H696))</f>
        <v/>
      </c>
      <c r="R696" s="39">
        <f>IF($A696="","",SUM($I696:$K696))</f>
        <v/>
      </c>
      <c r="S696" s="39">
        <f>IF($A696="","",($L696+$R696)-$Q696)</f>
        <v/>
      </c>
      <c r="T696" s="31">
        <f>IF(OR($A696="",$Q696=0),"",$S696/$Q696)</f>
        <v/>
      </c>
      <c r="U696" s="27">
        <f>IF($A696="","",IF($L696&gt;0,"Live","Exited"))</f>
        <v/>
      </c>
      <c r="V696" s="40">
        <f>IF($A696="","",IF($A696='Client Report'!$C$4,COUNTIFS($A$6:$A696,'Client Report'!$C$4),""))</f>
        <v/>
      </c>
    </row>
    <row r="697">
      <c r="A697" s="11" t="n"/>
      <c r="B697" s="11" t="n"/>
      <c r="C697" s="11" t="n"/>
      <c r="D697" s="11" t="n"/>
      <c r="E697" s="12" t="n"/>
      <c r="F697" s="34" t="n"/>
      <c r="G697" s="34" t="n"/>
      <c r="H697" s="34" t="n"/>
      <c r="I697" s="34" t="n"/>
      <c r="J697" s="34" t="n"/>
      <c r="K697" s="34" t="n"/>
      <c r="L697" s="34" t="n"/>
      <c r="M697" s="36" t="n"/>
      <c r="N697" s="36" t="n"/>
      <c r="O697" s="41" t="n"/>
      <c r="P697" s="27">
        <f>IF($B697="","",IFERROR(TRIM(LEFT($B697,FIND(" - ",$B697)-1)),"Others"))</f>
        <v/>
      </c>
      <c r="Q697" s="39">
        <f>IF($A697="","",SUM($F697:$H697))</f>
        <v/>
      </c>
      <c r="R697" s="39">
        <f>IF($A697="","",SUM($I697:$K697))</f>
        <v/>
      </c>
      <c r="S697" s="39">
        <f>IF($A697="","",($L697+$R697)-$Q697)</f>
        <v/>
      </c>
      <c r="T697" s="31">
        <f>IF(OR($A697="",$Q697=0),"",$S697/$Q697)</f>
        <v/>
      </c>
      <c r="U697" s="27">
        <f>IF($A697="","",IF($L697&gt;0,"Live","Exited"))</f>
        <v/>
      </c>
      <c r="V697" s="40">
        <f>IF($A697="","",IF($A697='Client Report'!$C$4,COUNTIFS($A$6:$A697,'Client Report'!$C$4),""))</f>
        <v/>
      </c>
    </row>
    <row r="698">
      <c r="A698" s="11" t="n"/>
      <c r="B698" s="11" t="n"/>
      <c r="C698" s="11" t="n"/>
      <c r="D698" s="11" t="n"/>
      <c r="E698" s="12" t="n"/>
      <c r="F698" s="34" t="n"/>
      <c r="G698" s="34" t="n"/>
      <c r="H698" s="34" t="n"/>
      <c r="I698" s="34" t="n"/>
      <c r="J698" s="34" t="n"/>
      <c r="K698" s="34" t="n"/>
      <c r="L698" s="34" t="n"/>
      <c r="M698" s="36" t="n"/>
      <c r="N698" s="36" t="n"/>
      <c r="O698" s="41" t="n"/>
      <c r="P698" s="27">
        <f>IF($B698="","",IFERROR(TRIM(LEFT($B698,FIND(" - ",$B698)-1)),"Others"))</f>
        <v/>
      </c>
      <c r="Q698" s="39">
        <f>IF($A698="","",SUM($F698:$H698))</f>
        <v/>
      </c>
      <c r="R698" s="39">
        <f>IF($A698="","",SUM($I698:$K698))</f>
        <v/>
      </c>
      <c r="S698" s="39">
        <f>IF($A698="","",($L698+$R698)-$Q698)</f>
        <v/>
      </c>
      <c r="T698" s="31">
        <f>IF(OR($A698="",$Q698=0),"",$S698/$Q698)</f>
        <v/>
      </c>
      <c r="U698" s="27">
        <f>IF($A698="","",IF($L698&gt;0,"Live","Exited"))</f>
        <v/>
      </c>
      <c r="V698" s="40">
        <f>IF($A698="","",IF($A698='Client Report'!$C$4,COUNTIFS($A$6:$A698,'Client Report'!$C$4),""))</f>
        <v/>
      </c>
    </row>
    <row r="699">
      <c r="A699" s="11" t="n"/>
      <c r="B699" s="11" t="n"/>
      <c r="C699" s="11" t="n"/>
      <c r="D699" s="11" t="n"/>
      <c r="E699" s="12" t="n"/>
      <c r="F699" s="34" t="n"/>
      <c r="G699" s="34" t="n"/>
      <c r="H699" s="34" t="n"/>
      <c r="I699" s="34" t="n"/>
      <c r="J699" s="34" t="n"/>
      <c r="K699" s="34" t="n"/>
      <c r="L699" s="34" t="n"/>
      <c r="M699" s="36" t="n"/>
      <c r="N699" s="36" t="n"/>
      <c r="O699" s="41" t="n"/>
      <c r="P699" s="27">
        <f>IF($B699="","",IFERROR(TRIM(LEFT($B699,FIND(" - ",$B699)-1)),"Others"))</f>
        <v/>
      </c>
      <c r="Q699" s="39">
        <f>IF($A699="","",SUM($F699:$H699))</f>
        <v/>
      </c>
      <c r="R699" s="39">
        <f>IF($A699="","",SUM($I699:$K699))</f>
        <v/>
      </c>
      <c r="S699" s="39">
        <f>IF($A699="","",($L699+$R699)-$Q699)</f>
        <v/>
      </c>
      <c r="T699" s="31">
        <f>IF(OR($A699="",$Q699=0),"",$S699/$Q699)</f>
        <v/>
      </c>
      <c r="U699" s="27">
        <f>IF($A699="","",IF($L699&gt;0,"Live","Exited"))</f>
        <v/>
      </c>
      <c r="V699" s="40">
        <f>IF($A699="","",IF($A699='Client Report'!$C$4,COUNTIFS($A$6:$A699,'Client Report'!$C$4),""))</f>
        <v/>
      </c>
    </row>
    <row r="700">
      <c r="A700" s="11" t="n"/>
      <c r="B700" s="11" t="n"/>
      <c r="C700" s="11" t="n"/>
      <c r="D700" s="11" t="n"/>
      <c r="E700" s="12" t="n"/>
      <c r="F700" s="34" t="n"/>
      <c r="G700" s="34" t="n"/>
      <c r="H700" s="34" t="n"/>
      <c r="I700" s="34" t="n"/>
      <c r="J700" s="34" t="n"/>
      <c r="K700" s="34" t="n"/>
      <c r="L700" s="34" t="n"/>
      <c r="M700" s="36" t="n"/>
      <c r="N700" s="36" t="n"/>
      <c r="O700" s="41" t="n"/>
      <c r="P700" s="27">
        <f>IF($B700="","",IFERROR(TRIM(LEFT($B700,FIND(" - ",$B700)-1)),"Others"))</f>
        <v/>
      </c>
      <c r="Q700" s="39">
        <f>IF($A700="","",SUM($F700:$H700))</f>
        <v/>
      </c>
      <c r="R700" s="39">
        <f>IF($A700="","",SUM($I700:$K700))</f>
        <v/>
      </c>
      <c r="S700" s="39">
        <f>IF($A700="","",($L700+$R700)-$Q700)</f>
        <v/>
      </c>
      <c r="T700" s="31">
        <f>IF(OR($A700="",$Q700=0),"",$S700/$Q700)</f>
        <v/>
      </c>
      <c r="U700" s="27">
        <f>IF($A700="","",IF($L700&gt;0,"Live","Exited"))</f>
        <v/>
      </c>
      <c r="V700" s="40">
        <f>IF($A700="","",IF($A700='Client Report'!$C$4,COUNTIFS($A$6:$A700,'Client Report'!$C$4),""))</f>
        <v/>
      </c>
    </row>
    <row r="701">
      <c r="A701" s="11" t="n"/>
      <c r="B701" s="11" t="n"/>
      <c r="C701" s="11" t="n"/>
      <c r="D701" s="11" t="n"/>
      <c r="E701" s="12" t="n"/>
      <c r="F701" s="34" t="n"/>
      <c r="G701" s="34" t="n"/>
      <c r="H701" s="34" t="n"/>
      <c r="I701" s="34" t="n"/>
      <c r="J701" s="34" t="n"/>
      <c r="K701" s="34" t="n"/>
      <c r="L701" s="34" t="n"/>
      <c r="M701" s="36" t="n"/>
      <c r="N701" s="36" t="n"/>
      <c r="O701" s="41" t="n"/>
      <c r="P701" s="27">
        <f>IF($B701="","",IFERROR(TRIM(LEFT($B701,FIND(" - ",$B701)-1)),"Others"))</f>
        <v/>
      </c>
      <c r="Q701" s="39">
        <f>IF($A701="","",SUM($F701:$H701))</f>
        <v/>
      </c>
      <c r="R701" s="39">
        <f>IF($A701="","",SUM($I701:$K701))</f>
        <v/>
      </c>
      <c r="S701" s="39">
        <f>IF($A701="","",($L701+$R701)-$Q701)</f>
        <v/>
      </c>
      <c r="T701" s="31">
        <f>IF(OR($A701="",$Q701=0),"",$S701/$Q701)</f>
        <v/>
      </c>
      <c r="U701" s="27">
        <f>IF($A701="","",IF($L701&gt;0,"Live","Exited"))</f>
        <v/>
      </c>
      <c r="V701" s="40">
        <f>IF($A701="","",IF($A701='Client Report'!$C$4,COUNTIFS($A$6:$A701,'Client Report'!$C$4),""))</f>
        <v/>
      </c>
    </row>
    <row r="702">
      <c r="A702" s="11" t="n"/>
      <c r="B702" s="11" t="n"/>
      <c r="C702" s="11" t="n"/>
      <c r="D702" s="11" t="n"/>
      <c r="E702" s="12" t="n"/>
      <c r="F702" s="34" t="n"/>
      <c r="G702" s="34" t="n"/>
      <c r="H702" s="34" t="n"/>
      <c r="I702" s="34" t="n"/>
      <c r="J702" s="34" t="n"/>
      <c r="K702" s="34" t="n"/>
      <c r="L702" s="34" t="n"/>
      <c r="M702" s="36" t="n"/>
      <c r="N702" s="36" t="n"/>
      <c r="O702" s="41" t="n"/>
      <c r="P702" s="27">
        <f>IF($B702="","",IFERROR(TRIM(LEFT($B702,FIND(" - ",$B702)-1)),"Others"))</f>
        <v/>
      </c>
      <c r="Q702" s="39">
        <f>IF($A702="","",SUM($F702:$H702))</f>
        <v/>
      </c>
      <c r="R702" s="39">
        <f>IF($A702="","",SUM($I702:$K702))</f>
        <v/>
      </c>
      <c r="S702" s="39">
        <f>IF($A702="","",($L702+$R702)-$Q702)</f>
        <v/>
      </c>
      <c r="T702" s="31">
        <f>IF(OR($A702="",$Q702=0),"",$S702/$Q702)</f>
        <v/>
      </c>
      <c r="U702" s="27">
        <f>IF($A702="","",IF($L702&gt;0,"Live","Exited"))</f>
        <v/>
      </c>
      <c r="V702" s="40">
        <f>IF($A702="","",IF($A702='Client Report'!$C$4,COUNTIFS($A$6:$A702,'Client Report'!$C$4),""))</f>
        <v/>
      </c>
    </row>
    <row r="703">
      <c r="A703" s="11" t="n"/>
      <c r="B703" s="11" t="n"/>
      <c r="C703" s="11" t="n"/>
      <c r="D703" s="11" t="n"/>
      <c r="E703" s="12" t="n"/>
      <c r="F703" s="34" t="n"/>
      <c r="G703" s="34" t="n"/>
      <c r="H703" s="34" t="n"/>
      <c r="I703" s="34" t="n"/>
      <c r="J703" s="34" t="n"/>
      <c r="K703" s="34" t="n"/>
      <c r="L703" s="34" t="n"/>
      <c r="M703" s="36" t="n"/>
      <c r="N703" s="36" t="n"/>
      <c r="O703" s="41" t="n"/>
      <c r="P703" s="27">
        <f>IF($B703="","",IFERROR(TRIM(LEFT($B703,FIND(" - ",$B703)-1)),"Others"))</f>
        <v/>
      </c>
      <c r="Q703" s="39">
        <f>IF($A703="","",SUM($F703:$H703))</f>
        <v/>
      </c>
      <c r="R703" s="39">
        <f>IF($A703="","",SUM($I703:$K703))</f>
        <v/>
      </c>
      <c r="S703" s="39">
        <f>IF($A703="","",($L703+$R703)-$Q703)</f>
        <v/>
      </c>
      <c r="T703" s="31">
        <f>IF(OR($A703="",$Q703=0),"",$S703/$Q703)</f>
        <v/>
      </c>
      <c r="U703" s="27">
        <f>IF($A703="","",IF($L703&gt;0,"Live","Exited"))</f>
        <v/>
      </c>
      <c r="V703" s="40">
        <f>IF($A703="","",IF($A703='Client Report'!$C$4,COUNTIFS($A$6:$A703,'Client Report'!$C$4),""))</f>
        <v/>
      </c>
    </row>
    <row r="704">
      <c r="A704" s="11" t="n"/>
      <c r="B704" s="11" t="n"/>
      <c r="C704" s="11" t="n"/>
      <c r="D704" s="11" t="n"/>
      <c r="E704" s="12" t="n"/>
      <c r="F704" s="34" t="n"/>
      <c r="G704" s="34" t="n"/>
      <c r="H704" s="34" t="n"/>
      <c r="I704" s="34" t="n"/>
      <c r="J704" s="34" t="n"/>
      <c r="K704" s="34" t="n"/>
      <c r="L704" s="34" t="n"/>
      <c r="M704" s="36" t="n"/>
      <c r="N704" s="36" t="n"/>
      <c r="O704" s="41" t="n"/>
      <c r="P704" s="27">
        <f>IF($B704="","",IFERROR(TRIM(LEFT($B704,FIND(" - ",$B704)-1)),"Others"))</f>
        <v/>
      </c>
      <c r="Q704" s="39">
        <f>IF($A704="","",SUM($F704:$H704))</f>
        <v/>
      </c>
      <c r="R704" s="39">
        <f>IF($A704="","",SUM($I704:$K704))</f>
        <v/>
      </c>
      <c r="S704" s="39">
        <f>IF($A704="","",($L704+$R704)-$Q704)</f>
        <v/>
      </c>
      <c r="T704" s="31">
        <f>IF(OR($A704="",$Q704=0),"",$S704/$Q704)</f>
        <v/>
      </c>
      <c r="U704" s="27">
        <f>IF($A704="","",IF($L704&gt;0,"Live","Exited"))</f>
        <v/>
      </c>
      <c r="V704" s="40">
        <f>IF($A704="","",IF($A704='Client Report'!$C$4,COUNTIFS($A$6:$A704,'Client Report'!$C$4),""))</f>
        <v/>
      </c>
    </row>
    <row r="705">
      <c r="A705" s="11" t="n"/>
      <c r="B705" s="11" t="n"/>
      <c r="C705" s="11" t="n"/>
      <c r="D705" s="11" t="n"/>
      <c r="E705" s="12" t="n"/>
      <c r="F705" s="34" t="n"/>
      <c r="G705" s="34" t="n"/>
      <c r="H705" s="34" t="n"/>
      <c r="I705" s="34" t="n"/>
      <c r="J705" s="34" t="n"/>
      <c r="K705" s="34" t="n"/>
      <c r="L705" s="34" t="n"/>
      <c r="M705" s="36" t="n"/>
      <c r="N705" s="36" t="n"/>
      <c r="O705" s="41" t="n"/>
      <c r="P705" s="27">
        <f>IF($B705="","",IFERROR(TRIM(LEFT($B705,FIND(" - ",$B705)-1)),"Others"))</f>
        <v/>
      </c>
      <c r="Q705" s="39">
        <f>IF($A705="","",SUM($F705:$H705))</f>
        <v/>
      </c>
      <c r="R705" s="39">
        <f>IF($A705="","",SUM($I705:$K705))</f>
        <v/>
      </c>
      <c r="S705" s="39">
        <f>IF($A705="","",($L705+$R705)-$Q705)</f>
        <v/>
      </c>
      <c r="T705" s="31">
        <f>IF(OR($A705="",$Q705=0),"",$S705/$Q705)</f>
        <v/>
      </c>
      <c r="U705" s="27">
        <f>IF($A705="","",IF($L705&gt;0,"Live","Exited"))</f>
        <v/>
      </c>
      <c r="V705" s="40">
        <f>IF($A705="","",IF($A705='Client Report'!$C$4,COUNTIFS($A$6:$A705,'Client Report'!$C$4),""))</f>
        <v/>
      </c>
    </row>
    <row r="706">
      <c r="A706" s="11" t="n"/>
      <c r="B706" s="11" t="n"/>
      <c r="C706" s="11" t="n"/>
      <c r="D706" s="11" t="n"/>
      <c r="E706" s="12" t="n"/>
      <c r="F706" s="34" t="n"/>
      <c r="G706" s="34" t="n"/>
      <c r="H706" s="34" t="n"/>
      <c r="I706" s="34" t="n"/>
      <c r="J706" s="34" t="n"/>
      <c r="K706" s="34" t="n"/>
      <c r="L706" s="34" t="n"/>
      <c r="M706" s="36" t="n"/>
      <c r="N706" s="36" t="n"/>
      <c r="O706" s="41" t="n"/>
      <c r="P706" s="27">
        <f>IF($B706="","",IFERROR(TRIM(LEFT($B706,FIND(" - ",$B706)-1)),"Others"))</f>
        <v/>
      </c>
      <c r="Q706" s="39">
        <f>IF($A706="","",SUM($F706:$H706))</f>
        <v/>
      </c>
      <c r="R706" s="39">
        <f>IF($A706="","",SUM($I706:$K706))</f>
        <v/>
      </c>
      <c r="S706" s="39">
        <f>IF($A706="","",($L706+$R706)-$Q706)</f>
        <v/>
      </c>
      <c r="T706" s="31">
        <f>IF(OR($A706="",$Q706=0),"",$S706/$Q706)</f>
        <v/>
      </c>
      <c r="U706" s="27">
        <f>IF($A706="","",IF($L706&gt;0,"Live","Exited"))</f>
        <v/>
      </c>
      <c r="V706" s="40">
        <f>IF($A706="","",IF($A706='Client Report'!$C$4,COUNTIFS($A$6:$A706,'Client Report'!$C$4),""))</f>
        <v/>
      </c>
    </row>
    <row r="707">
      <c r="A707" s="11" t="n"/>
      <c r="B707" s="11" t="n"/>
      <c r="C707" s="11" t="n"/>
      <c r="D707" s="11" t="n"/>
      <c r="E707" s="12" t="n"/>
      <c r="F707" s="34" t="n"/>
      <c r="G707" s="34" t="n"/>
      <c r="H707" s="34" t="n"/>
      <c r="I707" s="34" t="n"/>
      <c r="J707" s="34" t="n"/>
      <c r="K707" s="34" t="n"/>
      <c r="L707" s="34" t="n"/>
      <c r="M707" s="36" t="n"/>
      <c r="N707" s="36" t="n"/>
      <c r="O707" s="41" t="n"/>
      <c r="P707" s="27">
        <f>IF($B707="","",IFERROR(TRIM(LEFT($B707,FIND(" - ",$B707)-1)),"Others"))</f>
        <v/>
      </c>
      <c r="Q707" s="39">
        <f>IF($A707="","",SUM($F707:$H707))</f>
        <v/>
      </c>
      <c r="R707" s="39">
        <f>IF($A707="","",SUM($I707:$K707))</f>
        <v/>
      </c>
      <c r="S707" s="39">
        <f>IF($A707="","",($L707+$R707)-$Q707)</f>
        <v/>
      </c>
      <c r="T707" s="31">
        <f>IF(OR($A707="",$Q707=0),"",$S707/$Q707)</f>
        <v/>
      </c>
      <c r="U707" s="27">
        <f>IF($A707="","",IF($L707&gt;0,"Live","Exited"))</f>
        <v/>
      </c>
      <c r="V707" s="40">
        <f>IF($A707="","",IF($A707='Client Report'!$C$4,COUNTIFS($A$6:$A707,'Client Report'!$C$4),""))</f>
        <v/>
      </c>
    </row>
    <row r="708">
      <c r="A708" s="11" t="n"/>
      <c r="B708" s="11" t="n"/>
      <c r="C708" s="11" t="n"/>
      <c r="D708" s="11" t="n"/>
      <c r="E708" s="12" t="n"/>
      <c r="F708" s="34" t="n"/>
      <c r="G708" s="34" t="n"/>
      <c r="H708" s="34" t="n"/>
      <c r="I708" s="34" t="n"/>
      <c r="J708" s="34" t="n"/>
      <c r="K708" s="34" t="n"/>
      <c r="L708" s="34" t="n"/>
      <c r="M708" s="36" t="n"/>
      <c r="N708" s="36" t="n"/>
      <c r="O708" s="41" t="n"/>
      <c r="P708" s="27">
        <f>IF($B708="","",IFERROR(TRIM(LEFT($B708,FIND(" - ",$B708)-1)),"Others"))</f>
        <v/>
      </c>
      <c r="Q708" s="39">
        <f>IF($A708="","",SUM($F708:$H708))</f>
        <v/>
      </c>
      <c r="R708" s="39">
        <f>IF($A708="","",SUM($I708:$K708))</f>
        <v/>
      </c>
      <c r="S708" s="39">
        <f>IF($A708="","",($L708+$R708)-$Q708)</f>
        <v/>
      </c>
      <c r="T708" s="31">
        <f>IF(OR($A708="",$Q708=0),"",$S708/$Q708)</f>
        <v/>
      </c>
      <c r="U708" s="27">
        <f>IF($A708="","",IF($L708&gt;0,"Live","Exited"))</f>
        <v/>
      </c>
      <c r="V708" s="40">
        <f>IF($A708="","",IF($A708='Client Report'!$C$4,COUNTIFS($A$6:$A708,'Client Report'!$C$4),""))</f>
        <v/>
      </c>
    </row>
    <row r="709">
      <c r="A709" s="11" t="n"/>
      <c r="B709" s="11" t="n"/>
      <c r="C709" s="11" t="n"/>
      <c r="D709" s="11" t="n"/>
      <c r="E709" s="12" t="n"/>
      <c r="F709" s="34" t="n"/>
      <c r="G709" s="34" t="n"/>
      <c r="H709" s="34" t="n"/>
      <c r="I709" s="34" t="n"/>
      <c r="J709" s="34" t="n"/>
      <c r="K709" s="34" t="n"/>
      <c r="L709" s="34" t="n"/>
      <c r="M709" s="36" t="n"/>
      <c r="N709" s="36" t="n"/>
      <c r="O709" s="41" t="n"/>
      <c r="P709" s="27">
        <f>IF($B709="","",IFERROR(TRIM(LEFT($B709,FIND(" - ",$B709)-1)),"Others"))</f>
        <v/>
      </c>
      <c r="Q709" s="39">
        <f>IF($A709="","",SUM($F709:$H709))</f>
        <v/>
      </c>
      <c r="R709" s="39">
        <f>IF($A709="","",SUM($I709:$K709))</f>
        <v/>
      </c>
      <c r="S709" s="39">
        <f>IF($A709="","",($L709+$R709)-$Q709)</f>
        <v/>
      </c>
      <c r="T709" s="31">
        <f>IF(OR($A709="",$Q709=0),"",$S709/$Q709)</f>
        <v/>
      </c>
      <c r="U709" s="27">
        <f>IF($A709="","",IF($L709&gt;0,"Live","Exited"))</f>
        <v/>
      </c>
      <c r="V709" s="40">
        <f>IF($A709="","",IF($A709='Client Report'!$C$4,COUNTIFS($A$6:$A709,'Client Report'!$C$4),""))</f>
        <v/>
      </c>
    </row>
    <row r="710">
      <c r="A710" s="11" t="n"/>
      <c r="B710" s="11" t="n"/>
      <c r="C710" s="11" t="n"/>
      <c r="D710" s="11" t="n"/>
      <c r="E710" s="12" t="n"/>
      <c r="F710" s="34" t="n"/>
      <c r="G710" s="34" t="n"/>
      <c r="H710" s="34" t="n"/>
      <c r="I710" s="34" t="n"/>
      <c r="J710" s="34" t="n"/>
      <c r="K710" s="34" t="n"/>
      <c r="L710" s="34" t="n"/>
      <c r="M710" s="36" t="n"/>
      <c r="N710" s="36" t="n"/>
      <c r="O710" s="41" t="n"/>
      <c r="P710" s="27">
        <f>IF($B710="","",IFERROR(TRIM(LEFT($B710,FIND(" - ",$B710)-1)),"Others"))</f>
        <v/>
      </c>
      <c r="Q710" s="39">
        <f>IF($A710="","",SUM($F710:$H710))</f>
        <v/>
      </c>
      <c r="R710" s="39">
        <f>IF($A710="","",SUM($I710:$K710))</f>
        <v/>
      </c>
      <c r="S710" s="39">
        <f>IF($A710="","",($L710+$R710)-$Q710)</f>
        <v/>
      </c>
      <c r="T710" s="31">
        <f>IF(OR($A710="",$Q710=0),"",$S710/$Q710)</f>
        <v/>
      </c>
      <c r="U710" s="27">
        <f>IF($A710="","",IF($L710&gt;0,"Live","Exited"))</f>
        <v/>
      </c>
      <c r="V710" s="40">
        <f>IF($A710="","",IF($A710='Client Report'!$C$4,COUNTIFS($A$6:$A710,'Client Report'!$C$4),""))</f>
        <v/>
      </c>
    </row>
    <row r="711">
      <c r="A711" s="11" t="n"/>
      <c r="B711" s="11" t="n"/>
      <c r="C711" s="11" t="n"/>
      <c r="D711" s="11" t="n"/>
      <c r="E711" s="12" t="n"/>
      <c r="F711" s="34" t="n"/>
      <c r="G711" s="34" t="n"/>
      <c r="H711" s="34" t="n"/>
      <c r="I711" s="34" t="n"/>
      <c r="J711" s="34" t="n"/>
      <c r="K711" s="34" t="n"/>
      <c r="L711" s="34" t="n"/>
      <c r="M711" s="36" t="n"/>
      <c r="N711" s="36" t="n"/>
      <c r="O711" s="41" t="n"/>
      <c r="P711" s="27">
        <f>IF($B711="","",IFERROR(TRIM(LEFT($B711,FIND(" - ",$B711)-1)),"Others"))</f>
        <v/>
      </c>
      <c r="Q711" s="39">
        <f>IF($A711="","",SUM($F711:$H711))</f>
        <v/>
      </c>
      <c r="R711" s="39">
        <f>IF($A711="","",SUM($I711:$K711))</f>
        <v/>
      </c>
      <c r="S711" s="39">
        <f>IF($A711="","",($L711+$R711)-$Q711)</f>
        <v/>
      </c>
      <c r="T711" s="31">
        <f>IF(OR($A711="",$Q711=0),"",$S711/$Q711)</f>
        <v/>
      </c>
      <c r="U711" s="27">
        <f>IF($A711="","",IF($L711&gt;0,"Live","Exited"))</f>
        <v/>
      </c>
      <c r="V711" s="40">
        <f>IF($A711="","",IF($A711='Client Report'!$C$4,COUNTIFS($A$6:$A711,'Client Report'!$C$4),""))</f>
        <v/>
      </c>
    </row>
    <row r="712">
      <c r="A712" s="11" t="n"/>
      <c r="B712" s="11" t="n"/>
      <c r="C712" s="11" t="n"/>
      <c r="D712" s="11" t="n"/>
      <c r="E712" s="12" t="n"/>
      <c r="F712" s="34" t="n"/>
      <c r="G712" s="34" t="n"/>
      <c r="H712" s="34" t="n"/>
      <c r="I712" s="34" t="n"/>
      <c r="J712" s="34" t="n"/>
      <c r="K712" s="34" t="n"/>
      <c r="L712" s="34" t="n"/>
      <c r="M712" s="36" t="n"/>
      <c r="N712" s="36" t="n"/>
      <c r="O712" s="41" t="n"/>
      <c r="P712" s="27">
        <f>IF($B712="","",IFERROR(TRIM(LEFT($B712,FIND(" - ",$B712)-1)),"Others"))</f>
        <v/>
      </c>
      <c r="Q712" s="39">
        <f>IF($A712="","",SUM($F712:$H712))</f>
        <v/>
      </c>
      <c r="R712" s="39">
        <f>IF($A712="","",SUM($I712:$K712))</f>
        <v/>
      </c>
      <c r="S712" s="39">
        <f>IF($A712="","",($L712+$R712)-$Q712)</f>
        <v/>
      </c>
      <c r="T712" s="31">
        <f>IF(OR($A712="",$Q712=0),"",$S712/$Q712)</f>
        <v/>
      </c>
      <c r="U712" s="27">
        <f>IF($A712="","",IF($L712&gt;0,"Live","Exited"))</f>
        <v/>
      </c>
      <c r="V712" s="40">
        <f>IF($A712="","",IF($A712='Client Report'!$C$4,COUNTIFS($A$6:$A712,'Client Report'!$C$4),""))</f>
        <v/>
      </c>
    </row>
    <row r="713">
      <c r="A713" s="11" t="n"/>
      <c r="B713" s="11" t="n"/>
      <c r="C713" s="11" t="n"/>
      <c r="D713" s="11" t="n"/>
      <c r="E713" s="12" t="n"/>
      <c r="F713" s="34" t="n"/>
      <c r="G713" s="34" t="n"/>
      <c r="H713" s="34" t="n"/>
      <c r="I713" s="34" t="n"/>
      <c r="J713" s="34" t="n"/>
      <c r="K713" s="34" t="n"/>
      <c r="L713" s="34" t="n"/>
      <c r="M713" s="36" t="n"/>
      <c r="N713" s="36" t="n"/>
      <c r="O713" s="41" t="n"/>
      <c r="P713" s="27">
        <f>IF($B713="","",IFERROR(TRIM(LEFT($B713,FIND(" - ",$B713)-1)),"Others"))</f>
        <v/>
      </c>
      <c r="Q713" s="39">
        <f>IF($A713="","",SUM($F713:$H713))</f>
        <v/>
      </c>
      <c r="R713" s="39">
        <f>IF($A713="","",SUM($I713:$K713))</f>
        <v/>
      </c>
      <c r="S713" s="39">
        <f>IF($A713="","",($L713+$R713)-$Q713)</f>
        <v/>
      </c>
      <c r="T713" s="31">
        <f>IF(OR($A713="",$Q713=0),"",$S713/$Q713)</f>
        <v/>
      </c>
      <c r="U713" s="27">
        <f>IF($A713="","",IF($L713&gt;0,"Live","Exited"))</f>
        <v/>
      </c>
      <c r="V713" s="40">
        <f>IF($A713="","",IF($A713='Client Report'!$C$4,COUNTIFS($A$6:$A713,'Client Report'!$C$4),""))</f>
        <v/>
      </c>
    </row>
    <row r="714">
      <c r="A714" s="11" t="n"/>
      <c r="B714" s="11" t="n"/>
      <c r="C714" s="11" t="n"/>
      <c r="D714" s="11" t="n"/>
      <c r="E714" s="12" t="n"/>
      <c r="F714" s="34" t="n"/>
      <c r="G714" s="34" t="n"/>
      <c r="H714" s="34" t="n"/>
      <c r="I714" s="34" t="n"/>
      <c r="J714" s="34" t="n"/>
      <c r="K714" s="34" t="n"/>
      <c r="L714" s="34" t="n"/>
      <c r="M714" s="36" t="n"/>
      <c r="N714" s="36" t="n"/>
      <c r="O714" s="41" t="n"/>
      <c r="P714" s="27">
        <f>IF($B714="","",IFERROR(TRIM(LEFT($B714,FIND(" - ",$B714)-1)),"Others"))</f>
        <v/>
      </c>
      <c r="Q714" s="39">
        <f>IF($A714="","",SUM($F714:$H714))</f>
        <v/>
      </c>
      <c r="R714" s="39">
        <f>IF($A714="","",SUM($I714:$K714))</f>
        <v/>
      </c>
      <c r="S714" s="39">
        <f>IF($A714="","",($L714+$R714)-$Q714)</f>
        <v/>
      </c>
      <c r="T714" s="31">
        <f>IF(OR($A714="",$Q714=0),"",$S714/$Q714)</f>
        <v/>
      </c>
      <c r="U714" s="27">
        <f>IF($A714="","",IF($L714&gt;0,"Live","Exited"))</f>
        <v/>
      </c>
      <c r="V714" s="40">
        <f>IF($A714="","",IF($A714='Client Report'!$C$4,COUNTIFS($A$6:$A714,'Client Report'!$C$4),""))</f>
        <v/>
      </c>
    </row>
    <row r="715">
      <c r="A715" s="11" t="n"/>
      <c r="B715" s="11" t="n"/>
      <c r="C715" s="11" t="n"/>
      <c r="D715" s="11" t="n"/>
      <c r="E715" s="12" t="n"/>
      <c r="F715" s="34" t="n"/>
      <c r="G715" s="34" t="n"/>
      <c r="H715" s="34" t="n"/>
      <c r="I715" s="34" t="n"/>
      <c r="J715" s="34" t="n"/>
      <c r="K715" s="34" t="n"/>
      <c r="L715" s="34" t="n"/>
      <c r="M715" s="36" t="n"/>
      <c r="N715" s="36" t="n"/>
      <c r="O715" s="41" t="n"/>
      <c r="P715" s="27">
        <f>IF($B715="","",IFERROR(TRIM(LEFT($B715,FIND(" - ",$B715)-1)),"Others"))</f>
        <v/>
      </c>
      <c r="Q715" s="39">
        <f>IF($A715="","",SUM($F715:$H715))</f>
        <v/>
      </c>
      <c r="R715" s="39">
        <f>IF($A715="","",SUM($I715:$K715))</f>
        <v/>
      </c>
      <c r="S715" s="39">
        <f>IF($A715="","",($L715+$R715)-$Q715)</f>
        <v/>
      </c>
      <c r="T715" s="31">
        <f>IF(OR($A715="",$Q715=0),"",$S715/$Q715)</f>
        <v/>
      </c>
      <c r="U715" s="27">
        <f>IF($A715="","",IF($L715&gt;0,"Live","Exited"))</f>
        <v/>
      </c>
      <c r="V715" s="40">
        <f>IF($A715="","",IF($A715='Client Report'!$C$4,COUNTIFS($A$6:$A715,'Client Report'!$C$4),""))</f>
        <v/>
      </c>
    </row>
    <row r="716">
      <c r="A716" s="11" t="n"/>
      <c r="B716" s="11" t="n"/>
      <c r="C716" s="11" t="n"/>
      <c r="D716" s="11" t="n"/>
      <c r="E716" s="12" t="n"/>
      <c r="F716" s="34" t="n"/>
      <c r="G716" s="34" t="n"/>
      <c r="H716" s="34" t="n"/>
      <c r="I716" s="34" t="n"/>
      <c r="J716" s="34" t="n"/>
      <c r="K716" s="34" t="n"/>
      <c r="L716" s="34" t="n"/>
      <c r="M716" s="36" t="n"/>
      <c r="N716" s="36" t="n"/>
      <c r="O716" s="41" t="n"/>
      <c r="P716" s="27">
        <f>IF($B716="","",IFERROR(TRIM(LEFT($B716,FIND(" - ",$B716)-1)),"Others"))</f>
        <v/>
      </c>
      <c r="Q716" s="39">
        <f>IF($A716="","",SUM($F716:$H716))</f>
        <v/>
      </c>
      <c r="R716" s="39">
        <f>IF($A716="","",SUM($I716:$K716))</f>
        <v/>
      </c>
      <c r="S716" s="39">
        <f>IF($A716="","",($L716+$R716)-$Q716)</f>
        <v/>
      </c>
      <c r="T716" s="31">
        <f>IF(OR($A716="",$Q716=0),"",$S716/$Q716)</f>
        <v/>
      </c>
      <c r="U716" s="27">
        <f>IF($A716="","",IF($L716&gt;0,"Live","Exited"))</f>
        <v/>
      </c>
      <c r="V716" s="40">
        <f>IF($A716="","",IF($A716='Client Report'!$C$4,COUNTIFS($A$6:$A716,'Client Report'!$C$4),""))</f>
        <v/>
      </c>
    </row>
    <row r="717">
      <c r="A717" s="11" t="n"/>
      <c r="B717" s="11" t="n"/>
      <c r="C717" s="11" t="n"/>
      <c r="D717" s="11" t="n"/>
      <c r="E717" s="12" t="n"/>
      <c r="F717" s="34" t="n"/>
      <c r="G717" s="34" t="n"/>
      <c r="H717" s="34" t="n"/>
      <c r="I717" s="34" t="n"/>
      <c r="J717" s="34" t="n"/>
      <c r="K717" s="34" t="n"/>
      <c r="L717" s="34" t="n"/>
      <c r="M717" s="36" t="n"/>
      <c r="N717" s="36" t="n"/>
      <c r="O717" s="41" t="n"/>
      <c r="P717" s="27">
        <f>IF($B717="","",IFERROR(TRIM(LEFT($B717,FIND(" - ",$B717)-1)),"Others"))</f>
        <v/>
      </c>
      <c r="Q717" s="39">
        <f>IF($A717="","",SUM($F717:$H717))</f>
        <v/>
      </c>
      <c r="R717" s="39">
        <f>IF($A717="","",SUM($I717:$K717))</f>
        <v/>
      </c>
      <c r="S717" s="39">
        <f>IF($A717="","",($L717+$R717)-$Q717)</f>
        <v/>
      </c>
      <c r="T717" s="31">
        <f>IF(OR($A717="",$Q717=0),"",$S717/$Q717)</f>
        <v/>
      </c>
      <c r="U717" s="27">
        <f>IF($A717="","",IF($L717&gt;0,"Live","Exited"))</f>
        <v/>
      </c>
      <c r="V717" s="40">
        <f>IF($A717="","",IF($A717='Client Report'!$C$4,COUNTIFS($A$6:$A717,'Client Report'!$C$4),""))</f>
        <v/>
      </c>
    </row>
    <row r="718">
      <c r="A718" s="11" t="n"/>
      <c r="B718" s="11" t="n"/>
      <c r="C718" s="11" t="n"/>
      <c r="D718" s="11" t="n"/>
      <c r="E718" s="12" t="n"/>
      <c r="F718" s="34" t="n"/>
      <c r="G718" s="34" t="n"/>
      <c r="H718" s="34" t="n"/>
      <c r="I718" s="34" t="n"/>
      <c r="J718" s="34" t="n"/>
      <c r="K718" s="34" t="n"/>
      <c r="L718" s="34" t="n"/>
      <c r="M718" s="36" t="n"/>
      <c r="N718" s="36" t="n"/>
      <c r="O718" s="41" t="n"/>
      <c r="P718" s="27">
        <f>IF($B718="","",IFERROR(TRIM(LEFT($B718,FIND(" - ",$B718)-1)),"Others"))</f>
        <v/>
      </c>
      <c r="Q718" s="39">
        <f>IF($A718="","",SUM($F718:$H718))</f>
        <v/>
      </c>
      <c r="R718" s="39">
        <f>IF($A718="","",SUM($I718:$K718))</f>
        <v/>
      </c>
      <c r="S718" s="39">
        <f>IF($A718="","",($L718+$R718)-$Q718)</f>
        <v/>
      </c>
      <c r="T718" s="31">
        <f>IF(OR($A718="",$Q718=0),"",$S718/$Q718)</f>
        <v/>
      </c>
      <c r="U718" s="27">
        <f>IF($A718="","",IF($L718&gt;0,"Live","Exited"))</f>
        <v/>
      </c>
      <c r="V718" s="40">
        <f>IF($A718="","",IF($A718='Client Report'!$C$4,COUNTIFS($A$6:$A718,'Client Report'!$C$4),""))</f>
        <v/>
      </c>
    </row>
    <row r="719">
      <c r="A719" s="11" t="n"/>
      <c r="B719" s="11" t="n"/>
      <c r="C719" s="11" t="n"/>
      <c r="D719" s="11" t="n"/>
      <c r="E719" s="12" t="n"/>
      <c r="F719" s="34" t="n"/>
      <c r="G719" s="34" t="n"/>
      <c r="H719" s="34" t="n"/>
      <c r="I719" s="34" t="n"/>
      <c r="J719" s="34" t="n"/>
      <c r="K719" s="34" t="n"/>
      <c r="L719" s="34" t="n"/>
      <c r="M719" s="36" t="n"/>
      <c r="N719" s="36" t="n"/>
      <c r="O719" s="41" t="n"/>
      <c r="P719" s="27">
        <f>IF($B719="","",IFERROR(TRIM(LEFT($B719,FIND(" - ",$B719)-1)),"Others"))</f>
        <v/>
      </c>
      <c r="Q719" s="39">
        <f>IF($A719="","",SUM($F719:$H719))</f>
        <v/>
      </c>
      <c r="R719" s="39">
        <f>IF($A719="","",SUM($I719:$K719))</f>
        <v/>
      </c>
      <c r="S719" s="39">
        <f>IF($A719="","",($L719+$R719)-$Q719)</f>
        <v/>
      </c>
      <c r="T719" s="31">
        <f>IF(OR($A719="",$Q719=0),"",$S719/$Q719)</f>
        <v/>
      </c>
      <c r="U719" s="27">
        <f>IF($A719="","",IF($L719&gt;0,"Live","Exited"))</f>
        <v/>
      </c>
      <c r="V719" s="40">
        <f>IF($A719="","",IF($A719='Client Report'!$C$4,COUNTIFS($A$6:$A719,'Client Report'!$C$4),""))</f>
        <v/>
      </c>
    </row>
    <row r="720">
      <c r="A720" s="11" t="n"/>
      <c r="B720" s="11" t="n"/>
      <c r="C720" s="11" t="n"/>
      <c r="D720" s="11" t="n"/>
      <c r="E720" s="12" t="n"/>
      <c r="F720" s="34" t="n"/>
      <c r="G720" s="34" t="n"/>
      <c r="H720" s="34" t="n"/>
      <c r="I720" s="34" t="n"/>
      <c r="J720" s="34" t="n"/>
      <c r="K720" s="34" t="n"/>
      <c r="L720" s="34" t="n"/>
      <c r="M720" s="36" t="n"/>
      <c r="N720" s="36" t="n"/>
      <c r="O720" s="41" t="n"/>
      <c r="P720" s="27">
        <f>IF($B720="","",IFERROR(TRIM(LEFT($B720,FIND(" - ",$B720)-1)),"Others"))</f>
        <v/>
      </c>
      <c r="Q720" s="39">
        <f>IF($A720="","",SUM($F720:$H720))</f>
        <v/>
      </c>
      <c r="R720" s="39">
        <f>IF($A720="","",SUM($I720:$K720))</f>
        <v/>
      </c>
      <c r="S720" s="39">
        <f>IF($A720="","",($L720+$R720)-$Q720)</f>
        <v/>
      </c>
      <c r="T720" s="31">
        <f>IF(OR($A720="",$Q720=0),"",$S720/$Q720)</f>
        <v/>
      </c>
      <c r="U720" s="27">
        <f>IF($A720="","",IF($L720&gt;0,"Live","Exited"))</f>
        <v/>
      </c>
      <c r="V720" s="40">
        <f>IF($A720="","",IF($A720='Client Report'!$C$4,COUNTIFS($A$6:$A720,'Client Report'!$C$4),""))</f>
        <v/>
      </c>
    </row>
    <row r="721">
      <c r="A721" s="11" t="n"/>
      <c r="B721" s="11" t="n"/>
      <c r="C721" s="11" t="n"/>
      <c r="D721" s="11" t="n"/>
      <c r="E721" s="12" t="n"/>
      <c r="F721" s="34" t="n"/>
      <c r="G721" s="34" t="n"/>
      <c r="H721" s="34" t="n"/>
      <c r="I721" s="34" t="n"/>
      <c r="J721" s="34" t="n"/>
      <c r="K721" s="34" t="n"/>
      <c r="L721" s="34" t="n"/>
      <c r="M721" s="36" t="n"/>
      <c r="N721" s="36" t="n"/>
      <c r="O721" s="41" t="n"/>
      <c r="P721" s="27">
        <f>IF($B721="","",IFERROR(TRIM(LEFT($B721,FIND(" - ",$B721)-1)),"Others"))</f>
        <v/>
      </c>
      <c r="Q721" s="39">
        <f>IF($A721="","",SUM($F721:$H721))</f>
        <v/>
      </c>
      <c r="R721" s="39">
        <f>IF($A721="","",SUM($I721:$K721))</f>
        <v/>
      </c>
      <c r="S721" s="39">
        <f>IF($A721="","",($L721+$R721)-$Q721)</f>
        <v/>
      </c>
      <c r="T721" s="31">
        <f>IF(OR($A721="",$Q721=0),"",$S721/$Q721)</f>
        <v/>
      </c>
      <c r="U721" s="27">
        <f>IF($A721="","",IF($L721&gt;0,"Live","Exited"))</f>
        <v/>
      </c>
      <c r="V721" s="40">
        <f>IF($A721="","",IF($A721='Client Report'!$C$4,COUNTIFS($A$6:$A721,'Client Report'!$C$4),""))</f>
        <v/>
      </c>
    </row>
    <row r="722">
      <c r="A722" s="11" t="n"/>
      <c r="B722" s="11" t="n"/>
      <c r="C722" s="11" t="n"/>
      <c r="D722" s="11" t="n"/>
      <c r="E722" s="12" t="n"/>
      <c r="F722" s="34" t="n"/>
      <c r="G722" s="34" t="n"/>
      <c r="H722" s="34" t="n"/>
      <c r="I722" s="34" t="n"/>
      <c r="J722" s="34" t="n"/>
      <c r="K722" s="34" t="n"/>
      <c r="L722" s="34" t="n"/>
      <c r="M722" s="36" t="n"/>
      <c r="N722" s="36" t="n"/>
      <c r="O722" s="41" t="n"/>
      <c r="P722" s="27">
        <f>IF($B722="","",IFERROR(TRIM(LEFT($B722,FIND(" - ",$B722)-1)),"Others"))</f>
        <v/>
      </c>
      <c r="Q722" s="39">
        <f>IF($A722="","",SUM($F722:$H722))</f>
        <v/>
      </c>
      <c r="R722" s="39">
        <f>IF($A722="","",SUM($I722:$K722))</f>
        <v/>
      </c>
      <c r="S722" s="39">
        <f>IF($A722="","",($L722+$R722)-$Q722)</f>
        <v/>
      </c>
      <c r="T722" s="31">
        <f>IF(OR($A722="",$Q722=0),"",$S722/$Q722)</f>
        <v/>
      </c>
      <c r="U722" s="27">
        <f>IF($A722="","",IF($L722&gt;0,"Live","Exited"))</f>
        <v/>
      </c>
      <c r="V722" s="40">
        <f>IF($A722="","",IF($A722='Client Report'!$C$4,COUNTIFS($A$6:$A722,'Client Report'!$C$4),""))</f>
        <v/>
      </c>
    </row>
    <row r="723">
      <c r="A723" s="11" t="n"/>
      <c r="B723" s="11" t="n"/>
      <c r="C723" s="11" t="n"/>
      <c r="D723" s="11" t="n"/>
      <c r="E723" s="12" t="n"/>
      <c r="F723" s="34" t="n"/>
      <c r="G723" s="34" t="n"/>
      <c r="H723" s="34" t="n"/>
      <c r="I723" s="34" t="n"/>
      <c r="J723" s="34" t="n"/>
      <c r="K723" s="34" t="n"/>
      <c r="L723" s="34" t="n"/>
      <c r="M723" s="36" t="n"/>
      <c r="N723" s="36" t="n"/>
      <c r="O723" s="41" t="n"/>
      <c r="P723" s="27">
        <f>IF($B723="","",IFERROR(TRIM(LEFT($B723,FIND(" - ",$B723)-1)),"Others"))</f>
        <v/>
      </c>
      <c r="Q723" s="39">
        <f>IF($A723="","",SUM($F723:$H723))</f>
        <v/>
      </c>
      <c r="R723" s="39">
        <f>IF($A723="","",SUM($I723:$K723))</f>
        <v/>
      </c>
      <c r="S723" s="39">
        <f>IF($A723="","",($L723+$R723)-$Q723)</f>
        <v/>
      </c>
      <c r="T723" s="31">
        <f>IF(OR($A723="",$Q723=0),"",$S723/$Q723)</f>
        <v/>
      </c>
      <c r="U723" s="27">
        <f>IF($A723="","",IF($L723&gt;0,"Live","Exited"))</f>
        <v/>
      </c>
      <c r="V723" s="40">
        <f>IF($A723="","",IF($A723='Client Report'!$C$4,COUNTIFS($A$6:$A723,'Client Report'!$C$4),""))</f>
        <v/>
      </c>
    </row>
    <row r="724">
      <c r="A724" s="11" t="n"/>
      <c r="B724" s="11" t="n"/>
      <c r="C724" s="11" t="n"/>
      <c r="D724" s="11" t="n"/>
      <c r="E724" s="12" t="n"/>
      <c r="F724" s="34" t="n"/>
      <c r="G724" s="34" t="n"/>
      <c r="H724" s="34" t="n"/>
      <c r="I724" s="34" t="n"/>
      <c r="J724" s="34" t="n"/>
      <c r="K724" s="34" t="n"/>
      <c r="L724" s="34" t="n"/>
      <c r="M724" s="36" t="n"/>
      <c r="N724" s="36" t="n"/>
      <c r="O724" s="41" t="n"/>
      <c r="P724" s="27">
        <f>IF($B724="","",IFERROR(TRIM(LEFT($B724,FIND(" - ",$B724)-1)),"Others"))</f>
        <v/>
      </c>
      <c r="Q724" s="39">
        <f>IF($A724="","",SUM($F724:$H724))</f>
        <v/>
      </c>
      <c r="R724" s="39">
        <f>IF($A724="","",SUM($I724:$K724))</f>
        <v/>
      </c>
      <c r="S724" s="39">
        <f>IF($A724="","",($L724+$R724)-$Q724)</f>
        <v/>
      </c>
      <c r="T724" s="31">
        <f>IF(OR($A724="",$Q724=0),"",$S724/$Q724)</f>
        <v/>
      </c>
      <c r="U724" s="27">
        <f>IF($A724="","",IF($L724&gt;0,"Live","Exited"))</f>
        <v/>
      </c>
      <c r="V724" s="40">
        <f>IF($A724="","",IF($A724='Client Report'!$C$4,COUNTIFS($A$6:$A724,'Client Report'!$C$4),""))</f>
        <v/>
      </c>
    </row>
    <row r="725">
      <c r="A725" s="11" t="n"/>
      <c r="B725" s="11" t="n"/>
      <c r="C725" s="11" t="n"/>
      <c r="D725" s="11" t="n"/>
      <c r="E725" s="12" t="n"/>
      <c r="F725" s="34" t="n"/>
      <c r="G725" s="34" t="n"/>
      <c r="H725" s="34" t="n"/>
      <c r="I725" s="34" t="n"/>
      <c r="J725" s="34" t="n"/>
      <c r="K725" s="34" t="n"/>
      <c r="L725" s="34" t="n"/>
      <c r="M725" s="36" t="n"/>
      <c r="N725" s="36" t="n"/>
      <c r="O725" s="41" t="n"/>
      <c r="P725" s="27">
        <f>IF($B725="","",IFERROR(TRIM(LEFT($B725,FIND(" - ",$B725)-1)),"Others"))</f>
        <v/>
      </c>
      <c r="Q725" s="39">
        <f>IF($A725="","",SUM($F725:$H725))</f>
        <v/>
      </c>
      <c r="R725" s="39">
        <f>IF($A725="","",SUM($I725:$K725))</f>
        <v/>
      </c>
      <c r="S725" s="39">
        <f>IF($A725="","",($L725+$R725)-$Q725)</f>
        <v/>
      </c>
      <c r="T725" s="31">
        <f>IF(OR($A725="",$Q725=0),"",$S725/$Q725)</f>
        <v/>
      </c>
      <c r="U725" s="27">
        <f>IF($A725="","",IF($L725&gt;0,"Live","Exited"))</f>
        <v/>
      </c>
      <c r="V725" s="40">
        <f>IF($A725="","",IF($A725='Client Report'!$C$4,COUNTIFS($A$6:$A725,'Client Report'!$C$4),""))</f>
        <v/>
      </c>
    </row>
    <row r="726">
      <c r="A726" s="11" t="n"/>
      <c r="B726" s="11" t="n"/>
      <c r="C726" s="11" t="n"/>
      <c r="D726" s="11" t="n"/>
      <c r="E726" s="12" t="n"/>
      <c r="F726" s="34" t="n"/>
      <c r="G726" s="34" t="n"/>
      <c r="H726" s="34" t="n"/>
      <c r="I726" s="34" t="n"/>
      <c r="J726" s="34" t="n"/>
      <c r="K726" s="34" t="n"/>
      <c r="L726" s="34" t="n"/>
      <c r="M726" s="36" t="n"/>
      <c r="N726" s="36" t="n"/>
      <c r="O726" s="41" t="n"/>
      <c r="P726" s="27">
        <f>IF($B726="","",IFERROR(TRIM(LEFT($B726,FIND(" - ",$B726)-1)),"Others"))</f>
        <v/>
      </c>
      <c r="Q726" s="39">
        <f>IF($A726="","",SUM($F726:$H726))</f>
        <v/>
      </c>
      <c r="R726" s="39">
        <f>IF($A726="","",SUM($I726:$K726))</f>
        <v/>
      </c>
      <c r="S726" s="39">
        <f>IF($A726="","",($L726+$R726)-$Q726)</f>
        <v/>
      </c>
      <c r="T726" s="31">
        <f>IF(OR($A726="",$Q726=0),"",$S726/$Q726)</f>
        <v/>
      </c>
      <c r="U726" s="27">
        <f>IF($A726="","",IF($L726&gt;0,"Live","Exited"))</f>
        <v/>
      </c>
      <c r="V726" s="40">
        <f>IF($A726="","",IF($A726='Client Report'!$C$4,COUNTIFS($A$6:$A726,'Client Report'!$C$4),""))</f>
        <v/>
      </c>
    </row>
    <row r="727">
      <c r="A727" s="11" t="n"/>
      <c r="B727" s="11" t="n"/>
      <c r="C727" s="11" t="n"/>
      <c r="D727" s="11" t="n"/>
      <c r="E727" s="12" t="n"/>
      <c r="F727" s="34" t="n"/>
      <c r="G727" s="34" t="n"/>
      <c r="H727" s="34" t="n"/>
      <c r="I727" s="34" t="n"/>
      <c r="J727" s="34" t="n"/>
      <c r="K727" s="34" t="n"/>
      <c r="L727" s="34" t="n"/>
      <c r="M727" s="36" t="n"/>
      <c r="N727" s="36" t="n"/>
      <c r="O727" s="41" t="n"/>
      <c r="P727" s="27">
        <f>IF($B727="","",IFERROR(TRIM(LEFT($B727,FIND(" - ",$B727)-1)),"Others"))</f>
        <v/>
      </c>
      <c r="Q727" s="39">
        <f>IF($A727="","",SUM($F727:$H727))</f>
        <v/>
      </c>
      <c r="R727" s="39">
        <f>IF($A727="","",SUM($I727:$K727))</f>
        <v/>
      </c>
      <c r="S727" s="39">
        <f>IF($A727="","",($L727+$R727)-$Q727)</f>
        <v/>
      </c>
      <c r="T727" s="31">
        <f>IF(OR($A727="",$Q727=0),"",$S727/$Q727)</f>
        <v/>
      </c>
      <c r="U727" s="27">
        <f>IF($A727="","",IF($L727&gt;0,"Live","Exited"))</f>
        <v/>
      </c>
      <c r="V727" s="40">
        <f>IF($A727="","",IF($A727='Client Report'!$C$4,COUNTIFS($A$6:$A727,'Client Report'!$C$4),""))</f>
        <v/>
      </c>
    </row>
    <row r="728">
      <c r="A728" s="11" t="n"/>
      <c r="B728" s="11" t="n"/>
      <c r="C728" s="11" t="n"/>
      <c r="D728" s="11" t="n"/>
      <c r="E728" s="12" t="n"/>
      <c r="F728" s="34" t="n"/>
      <c r="G728" s="34" t="n"/>
      <c r="H728" s="34" t="n"/>
      <c r="I728" s="34" t="n"/>
      <c r="J728" s="34" t="n"/>
      <c r="K728" s="34" t="n"/>
      <c r="L728" s="34" t="n"/>
      <c r="M728" s="36" t="n"/>
      <c r="N728" s="36" t="n"/>
      <c r="O728" s="41" t="n"/>
      <c r="P728" s="27">
        <f>IF($B728="","",IFERROR(TRIM(LEFT($B728,FIND(" - ",$B728)-1)),"Others"))</f>
        <v/>
      </c>
      <c r="Q728" s="39">
        <f>IF($A728="","",SUM($F728:$H728))</f>
        <v/>
      </c>
      <c r="R728" s="39">
        <f>IF($A728="","",SUM($I728:$K728))</f>
        <v/>
      </c>
      <c r="S728" s="39">
        <f>IF($A728="","",($L728+$R728)-$Q728)</f>
        <v/>
      </c>
      <c r="T728" s="31">
        <f>IF(OR($A728="",$Q728=0),"",$S728/$Q728)</f>
        <v/>
      </c>
      <c r="U728" s="27">
        <f>IF($A728="","",IF($L728&gt;0,"Live","Exited"))</f>
        <v/>
      </c>
      <c r="V728" s="40">
        <f>IF($A728="","",IF($A728='Client Report'!$C$4,COUNTIFS($A$6:$A728,'Client Report'!$C$4),""))</f>
        <v/>
      </c>
    </row>
    <row r="729">
      <c r="A729" s="11" t="n"/>
      <c r="B729" s="11" t="n"/>
      <c r="C729" s="11" t="n"/>
      <c r="D729" s="11" t="n"/>
      <c r="E729" s="12" t="n"/>
      <c r="F729" s="34" t="n"/>
      <c r="G729" s="34" t="n"/>
      <c r="H729" s="34" t="n"/>
      <c r="I729" s="34" t="n"/>
      <c r="J729" s="34" t="n"/>
      <c r="K729" s="34" t="n"/>
      <c r="L729" s="34" t="n"/>
      <c r="M729" s="36" t="n"/>
      <c r="N729" s="36" t="n"/>
      <c r="O729" s="41" t="n"/>
      <c r="P729" s="27">
        <f>IF($B729="","",IFERROR(TRIM(LEFT($B729,FIND(" - ",$B729)-1)),"Others"))</f>
        <v/>
      </c>
      <c r="Q729" s="39">
        <f>IF($A729="","",SUM($F729:$H729))</f>
        <v/>
      </c>
      <c r="R729" s="39">
        <f>IF($A729="","",SUM($I729:$K729))</f>
        <v/>
      </c>
      <c r="S729" s="39">
        <f>IF($A729="","",($L729+$R729)-$Q729)</f>
        <v/>
      </c>
      <c r="T729" s="31">
        <f>IF(OR($A729="",$Q729=0),"",$S729/$Q729)</f>
        <v/>
      </c>
      <c r="U729" s="27">
        <f>IF($A729="","",IF($L729&gt;0,"Live","Exited"))</f>
        <v/>
      </c>
      <c r="V729" s="40">
        <f>IF($A729="","",IF($A729='Client Report'!$C$4,COUNTIFS($A$6:$A729,'Client Report'!$C$4),""))</f>
        <v/>
      </c>
    </row>
    <row r="730">
      <c r="A730" s="11" t="n"/>
      <c r="B730" s="11" t="n"/>
      <c r="C730" s="11" t="n"/>
      <c r="D730" s="11" t="n"/>
      <c r="E730" s="12" t="n"/>
      <c r="F730" s="34" t="n"/>
      <c r="G730" s="34" t="n"/>
      <c r="H730" s="34" t="n"/>
      <c r="I730" s="34" t="n"/>
      <c r="J730" s="34" t="n"/>
      <c r="K730" s="34" t="n"/>
      <c r="L730" s="34" t="n"/>
      <c r="M730" s="36" t="n"/>
      <c r="N730" s="36" t="n"/>
      <c r="O730" s="41" t="n"/>
      <c r="P730" s="27">
        <f>IF($B730="","",IFERROR(TRIM(LEFT($B730,FIND(" - ",$B730)-1)),"Others"))</f>
        <v/>
      </c>
      <c r="Q730" s="39">
        <f>IF($A730="","",SUM($F730:$H730))</f>
        <v/>
      </c>
      <c r="R730" s="39">
        <f>IF($A730="","",SUM($I730:$K730))</f>
        <v/>
      </c>
      <c r="S730" s="39">
        <f>IF($A730="","",($L730+$R730)-$Q730)</f>
        <v/>
      </c>
      <c r="T730" s="31">
        <f>IF(OR($A730="",$Q730=0),"",$S730/$Q730)</f>
        <v/>
      </c>
      <c r="U730" s="27">
        <f>IF($A730="","",IF($L730&gt;0,"Live","Exited"))</f>
        <v/>
      </c>
      <c r="V730" s="40">
        <f>IF($A730="","",IF($A730='Client Report'!$C$4,COUNTIFS($A$6:$A730,'Client Report'!$C$4),""))</f>
        <v/>
      </c>
    </row>
    <row r="731">
      <c r="A731" s="11" t="n"/>
      <c r="B731" s="11" t="n"/>
      <c r="C731" s="11" t="n"/>
      <c r="D731" s="11" t="n"/>
      <c r="E731" s="12" t="n"/>
      <c r="F731" s="34" t="n"/>
      <c r="G731" s="34" t="n"/>
      <c r="H731" s="34" t="n"/>
      <c r="I731" s="34" t="n"/>
      <c r="J731" s="34" t="n"/>
      <c r="K731" s="34" t="n"/>
      <c r="L731" s="34" t="n"/>
      <c r="M731" s="36" t="n"/>
      <c r="N731" s="36" t="n"/>
      <c r="O731" s="41" t="n"/>
      <c r="P731" s="27">
        <f>IF($B731="","",IFERROR(TRIM(LEFT($B731,FIND(" - ",$B731)-1)),"Others"))</f>
        <v/>
      </c>
      <c r="Q731" s="39">
        <f>IF($A731="","",SUM($F731:$H731))</f>
        <v/>
      </c>
      <c r="R731" s="39">
        <f>IF($A731="","",SUM($I731:$K731))</f>
        <v/>
      </c>
      <c r="S731" s="39">
        <f>IF($A731="","",($L731+$R731)-$Q731)</f>
        <v/>
      </c>
      <c r="T731" s="31">
        <f>IF(OR($A731="",$Q731=0),"",$S731/$Q731)</f>
        <v/>
      </c>
      <c r="U731" s="27">
        <f>IF($A731="","",IF($L731&gt;0,"Live","Exited"))</f>
        <v/>
      </c>
      <c r="V731" s="40">
        <f>IF($A731="","",IF($A731='Client Report'!$C$4,COUNTIFS($A$6:$A731,'Client Report'!$C$4),""))</f>
        <v/>
      </c>
    </row>
    <row r="732">
      <c r="A732" s="11" t="n"/>
      <c r="B732" s="11" t="n"/>
      <c r="C732" s="11" t="n"/>
      <c r="D732" s="11" t="n"/>
      <c r="E732" s="12" t="n"/>
      <c r="F732" s="34" t="n"/>
      <c r="G732" s="34" t="n"/>
      <c r="H732" s="34" t="n"/>
      <c r="I732" s="34" t="n"/>
      <c r="J732" s="34" t="n"/>
      <c r="K732" s="34" t="n"/>
      <c r="L732" s="34" t="n"/>
      <c r="M732" s="36" t="n"/>
      <c r="N732" s="36" t="n"/>
      <c r="O732" s="41" t="n"/>
      <c r="P732" s="27">
        <f>IF($B732="","",IFERROR(TRIM(LEFT($B732,FIND(" - ",$B732)-1)),"Others"))</f>
        <v/>
      </c>
      <c r="Q732" s="39">
        <f>IF($A732="","",SUM($F732:$H732))</f>
        <v/>
      </c>
      <c r="R732" s="39">
        <f>IF($A732="","",SUM($I732:$K732))</f>
        <v/>
      </c>
      <c r="S732" s="39">
        <f>IF($A732="","",($L732+$R732)-$Q732)</f>
        <v/>
      </c>
      <c r="T732" s="31">
        <f>IF(OR($A732="",$Q732=0),"",$S732/$Q732)</f>
        <v/>
      </c>
      <c r="U732" s="27">
        <f>IF($A732="","",IF($L732&gt;0,"Live","Exited"))</f>
        <v/>
      </c>
      <c r="V732" s="40">
        <f>IF($A732="","",IF($A732='Client Report'!$C$4,COUNTIFS($A$6:$A732,'Client Report'!$C$4),""))</f>
        <v/>
      </c>
    </row>
    <row r="733">
      <c r="A733" s="11" t="n"/>
      <c r="B733" s="11" t="n"/>
      <c r="C733" s="11" t="n"/>
      <c r="D733" s="11" t="n"/>
      <c r="E733" s="12" t="n"/>
      <c r="F733" s="34" t="n"/>
      <c r="G733" s="34" t="n"/>
      <c r="H733" s="34" t="n"/>
      <c r="I733" s="34" t="n"/>
      <c r="J733" s="34" t="n"/>
      <c r="K733" s="34" t="n"/>
      <c r="L733" s="34" t="n"/>
      <c r="M733" s="36" t="n"/>
      <c r="N733" s="36" t="n"/>
      <c r="O733" s="41" t="n"/>
      <c r="P733" s="27">
        <f>IF($B733="","",IFERROR(TRIM(LEFT($B733,FIND(" - ",$B733)-1)),"Others"))</f>
        <v/>
      </c>
      <c r="Q733" s="39">
        <f>IF($A733="","",SUM($F733:$H733))</f>
        <v/>
      </c>
      <c r="R733" s="39">
        <f>IF($A733="","",SUM($I733:$K733))</f>
        <v/>
      </c>
      <c r="S733" s="39">
        <f>IF($A733="","",($L733+$R733)-$Q733)</f>
        <v/>
      </c>
      <c r="T733" s="31">
        <f>IF(OR($A733="",$Q733=0),"",$S733/$Q733)</f>
        <v/>
      </c>
      <c r="U733" s="27">
        <f>IF($A733="","",IF($L733&gt;0,"Live","Exited"))</f>
        <v/>
      </c>
      <c r="V733" s="40">
        <f>IF($A733="","",IF($A733='Client Report'!$C$4,COUNTIFS($A$6:$A733,'Client Report'!$C$4),""))</f>
        <v/>
      </c>
    </row>
    <row r="734">
      <c r="A734" s="11" t="n"/>
      <c r="B734" s="11" t="n"/>
      <c r="C734" s="11" t="n"/>
      <c r="D734" s="11" t="n"/>
      <c r="E734" s="12" t="n"/>
      <c r="F734" s="34" t="n"/>
      <c r="G734" s="34" t="n"/>
      <c r="H734" s="34" t="n"/>
      <c r="I734" s="34" t="n"/>
      <c r="J734" s="34" t="n"/>
      <c r="K734" s="34" t="n"/>
      <c r="L734" s="34" t="n"/>
      <c r="M734" s="36" t="n"/>
      <c r="N734" s="36" t="n"/>
      <c r="O734" s="41" t="n"/>
      <c r="P734" s="27">
        <f>IF($B734="","",IFERROR(TRIM(LEFT($B734,FIND(" - ",$B734)-1)),"Others"))</f>
        <v/>
      </c>
      <c r="Q734" s="39">
        <f>IF($A734="","",SUM($F734:$H734))</f>
        <v/>
      </c>
      <c r="R734" s="39">
        <f>IF($A734="","",SUM($I734:$K734))</f>
        <v/>
      </c>
      <c r="S734" s="39">
        <f>IF($A734="","",($L734+$R734)-$Q734)</f>
        <v/>
      </c>
      <c r="T734" s="31">
        <f>IF(OR($A734="",$Q734=0),"",$S734/$Q734)</f>
        <v/>
      </c>
      <c r="U734" s="27">
        <f>IF($A734="","",IF($L734&gt;0,"Live","Exited"))</f>
        <v/>
      </c>
      <c r="V734" s="40">
        <f>IF($A734="","",IF($A734='Client Report'!$C$4,COUNTIFS($A$6:$A734,'Client Report'!$C$4),""))</f>
        <v/>
      </c>
    </row>
    <row r="735">
      <c r="A735" s="11" t="n"/>
      <c r="B735" s="11" t="n"/>
      <c r="C735" s="11" t="n"/>
      <c r="D735" s="11" t="n"/>
      <c r="E735" s="12" t="n"/>
      <c r="F735" s="34" t="n"/>
      <c r="G735" s="34" t="n"/>
      <c r="H735" s="34" t="n"/>
      <c r="I735" s="34" t="n"/>
      <c r="J735" s="34" t="n"/>
      <c r="K735" s="34" t="n"/>
      <c r="L735" s="34" t="n"/>
      <c r="M735" s="36" t="n"/>
      <c r="N735" s="36" t="n"/>
      <c r="O735" s="41" t="n"/>
      <c r="P735" s="27">
        <f>IF($B735="","",IFERROR(TRIM(LEFT($B735,FIND(" - ",$B735)-1)),"Others"))</f>
        <v/>
      </c>
      <c r="Q735" s="39">
        <f>IF($A735="","",SUM($F735:$H735))</f>
        <v/>
      </c>
      <c r="R735" s="39">
        <f>IF($A735="","",SUM($I735:$K735))</f>
        <v/>
      </c>
      <c r="S735" s="39">
        <f>IF($A735="","",($L735+$R735)-$Q735)</f>
        <v/>
      </c>
      <c r="T735" s="31">
        <f>IF(OR($A735="",$Q735=0),"",$S735/$Q735)</f>
        <v/>
      </c>
      <c r="U735" s="27">
        <f>IF($A735="","",IF($L735&gt;0,"Live","Exited"))</f>
        <v/>
      </c>
      <c r="V735" s="40">
        <f>IF($A735="","",IF($A735='Client Report'!$C$4,COUNTIFS($A$6:$A735,'Client Report'!$C$4),""))</f>
        <v/>
      </c>
    </row>
    <row r="736">
      <c r="A736" s="11" t="n"/>
      <c r="B736" s="11" t="n"/>
      <c r="C736" s="11" t="n"/>
      <c r="D736" s="11" t="n"/>
      <c r="E736" s="12" t="n"/>
      <c r="F736" s="34" t="n"/>
      <c r="G736" s="34" t="n"/>
      <c r="H736" s="34" t="n"/>
      <c r="I736" s="34" t="n"/>
      <c r="J736" s="34" t="n"/>
      <c r="K736" s="34" t="n"/>
      <c r="L736" s="34" t="n"/>
      <c r="M736" s="36" t="n"/>
      <c r="N736" s="36" t="n"/>
      <c r="O736" s="41" t="n"/>
      <c r="P736" s="27">
        <f>IF($B736="","",IFERROR(TRIM(LEFT($B736,FIND(" - ",$B736)-1)),"Others"))</f>
        <v/>
      </c>
      <c r="Q736" s="39">
        <f>IF($A736="","",SUM($F736:$H736))</f>
        <v/>
      </c>
      <c r="R736" s="39">
        <f>IF($A736="","",SUM($I736:$K736))</f>
        <v/>
      </c>
      <c r="S736" s="39">
        <f>IF($A736="","",($L736+$R736)-$Q736)</f>
        <v/>
      </c>
      <c r="T736" s="31">
        <f>IF(OR($A736="",$Q736=0),"",$S736/$Q736)</f>
        <v/>
      </c>
      <c r="U736" s="27">
        <f>IF($A736="","",IF($L736&gt;0,"Live","Exited"))</f>
        <v/>
      </c>
      <c r="V736" s="40">
        <f>IF($A736="","",IF($A736='Client Report'!$C$4,COUNTIFS($A$6:$A736,'Client Report'!$C$4),""))</f>
        <v/>
      </c>
    </row>
    <row r="737">
      <c r="A737" s="11" t="n"/>
      <c r="B737" s="11" t="n"/>
      <c r="C737" s="11" t="n"/>
      <c r="D737" s="11" t="n"/>
      <c r="E737" s="12" t="n"/>
      <c r="F737" s="34" t="n"/>
      <c r="G737" s="34" t="n"/>
      <c r="H737" s="34" t="n"/>
      <c r="I737" s="34" t="n"/>
      <c r="J737" s="34" t="n"/>
      <c r="K737" s="34" t="n"/>
      <c r="L737" s="34" t="n"/>
      <c r="M737" s="36" t="n"/>
      <c r="N737" s="36" t="n"/>
      <c r="O737" s="41" t="n"/>
      <c r="P737" s="27">
        <f>IF($B737="","",IFERROR(TRIM(LEFT($B737,FIND(" - ",$B737)-1)),"Others"))</f>
        <v/>
      </c>
      <c r="Q737" s="39">
        <f>IF($A737="","",SUM($F737:$H737))</f>
        <v/>
      </c>
      <c r="R737" s="39">
        <f>IF($A737="","",SUM($I737:$K737))</f>
        <v/>
      </c>
      <c r="S737" s="39">
        <f>IF($A737="","",($L737+$R737)-$Q737)</f>
        <v/>
      </c>
      <c r="T737" s="31">
        <f>IF(OR($A737="",$Q737=0),"",$S737/$Q737)</f>
        <v/>
      </c>
      <c r="U737" s="27">
        <f>IF($A737="","",IF($L737&gt;0,"Live","Exited"))</f>
        <v/>
      </c>
      <c r="V737" s="40">
        <f>IF($A737="","",IF($A737='Client Report'!$C$4,COUNTIFS($A$6:$A737,'Client Report'!$C$4),""))</f>
        <v/>
      </c>
    </row>
    <row r="738">
      <c r="A738" s="11" t="n"/>
      <c r="B738" s="11" t="n"/>
      <c r="C738" s="11" t="n"/>
      <c r="D738" s="11" t="n"/>
      <c r="E738" s="12" t="n"/>
      <c r="F738" s="34" t="n"/>
      <c r="G738" s="34" t="n"/>
      <c r="H738" s="34" t="n"/>
      <c r="I738" s="34" t="n"/>
      <c r="J738" s="34" t="n"/>
      <c r="K738" s="34" t="n"/>
      <c r="L738" s="34" t="n"/>
      <c r="M738" s="36" t="n"/>
      <c r="N738" s="36" t="n"/>
      <c r="O738" s="41" t="n"/>
      <c r="P738" s="27">
        <f>IF($B738="","",IFERROR(TRIM(LEFT($B738,FIND(" - ",$B738)-1)),"Others"))</f>
        <v/>
      </c>
      <c r="Q738" s="39">
        <f>IF($A738="","",SUM($F738:$H738))</f>
        <v/>
      </c>
      <c r="R738" s="39">
        <f>IF($A738="","",SUM($I738:$K738))</f>
        <v/>
      </c>
      <c r="S738" s="39">
        <f>IF($A738="","",($L738+$R738)-$Q738)</f>
        <v/>
      </c>
      <c r="T738" s="31">
        <f>IF(OR($A738="",$Q738=0),"",$S738/$Q738)</f>
        <v/>
      </c>
      <c r="U738" s="27">
        <f>IF($A738="","",IF($L738&gt;0,"Live","Exited"))</f>
        <v/>
      </c>
      <c r="V738" s="40">
        <f>IF($A738="","",IF($A738='Client Report'!$C$4,COUNTIFS($A$6:$A738,'Client Report'!$C$4),""))</f>
        <v/>
      </c>
    </row>
    <row r="739">
      <c r="A739" s="11" t="n"/>
      <c r="B739" s="11" t="n"/>
      <c r="C739" s="11" t="n"/>
      <c r="D739" s="11" t="n"/>
      <c r="E739" s="12" t="n"/>
      <c r="F739" s="34" t="n"/>
      <c r="G739" s="34" t="n"/>
      <c r="H739" s="34" t="n"/>
      <c r="I739" s="34" t="n"/>
      <c r="J739" s="34" t="n"/>
      <c r="K739" s="34" t="n"/>
      <c r="L739" s="34" t="n"/>
      <c r="M739" s="36" t="n"/>
      <c r="N739" s="36" t="n"/>
      <c r="O739" s="41" t="n"/>
      <c r="P739" s="27">
        <f>IF($B739="","",IFERROR(TRIM(LEFT($B739,FIND(" - ",$B739)-1)),"Others"))</f>
        <v/>
      </c>
      <c r="Q739" s="39">
        <f>IF($A739="","",SUM($F739:$H739))</f>
        <v/>
      </c>
      <c r="R739" s="39">
        <f>IF($A739="","",SUM($I739:$K739))</f>
        <v/>
      </c>
      <c r="S739" s="39">
        <f>IF($A739="","",($L739+$R739)-$Q739)</f>
        <v/>
      </c>
      <c r="T739" s="31">
        <f>IF(OR($A739="",$Q739=0),"",$S739/$Q739)</f>
        <v/>
      </c>
      <c r="U739" s="27">
        <f>IF($A739="","",IF($L739&gt;0,"Live","Exited"))</f>
        <v/>
      </c>
      <c r="V739" s="40">
        <f>IF($A739="","",IF($A739='Client Report'!$C$4,COUNTIFS($A$6:$A739,'Client Report'!$C$4),""))</f>
        <v/>
      </c>
    </row>
    <row r="740">
      <c r="A740" s="11" t="n"/>
      <c r="B740" s="11" t="n"/>
      <c r="C740" s="11" t="n"/>
      <c r="D740" s="11" t="n"/>
      <c r="E740" s="12" t="n"/>
      <c r="F740" s="34" t="n"/>
      <c r="G740" s="34" t="n"/>
      <c r="H740" s="34" t="n"/>
      <c r="I740" s="34" t="n"/>
      <c r="J740" s="34" t="n"/>
      <c r="K740" s="34" t="n"/>
      <c r="L740" s="34" t="n"/>
      <c r="M740" s="36" t="n"/>
      <c r="N740" s="36" t="n"/>
      <c r="O740" s="41" t="n"/>
      <c r="P740" s="27">
        <f>IF($B740="","",IFERROR(TRIM(LEFT($B740,FIND(" - ",$B740)-1)),"Others"))</f>
        <v/>
      </c>
      <c r="Q740" s="39">
        <f>IF($A740="","",SUM($F740:$H740))</f>
        <v/>
      </c>
      <c r="R740" s="39">
        <f>IF($A740="","",SUM($I740:$K740))</f>
        <v/>
      </c>
      <c r="S740" s="39">
        <f>IF($A740="","",($L740+$R740)-$Q740)</f>
        <v/>
      </c>
      <c r="T740" s="31">
        <f>IF(OR($A740="",$Q740=0),"",$S740/$Q740)</f>
        <v/>
      </c>
      <c r="U740" s="27">
        <f>IF($A740="","",IF($L740&gt;0,"Live","Exited"))</f>
        <v/>
      </c>
      <c r="V740" s="40">
        <f>IF($A740="","",IF($A740='Client Report'!$C$4,COUNTIFS($A$6:$A740,'Client Report'!$C$4),""))</f>
        <v/>
      </c>
    </row>
    <row r="741">
      <c r="A741" s="11" t="n"/>
      <c r="B741" s="11" t="n"/>
      <c r="C741" s="11" t="n"/>
      <c r="D741" s="11" t="n"/>
      <c r="E741" s="12" t="n"/>
      <c r="F741" s="34" t="n"/>
      <c r="G741" s="34" t="n"/>
      <c r="H741" s="34" t="n"/>
      <c r="I741" s="34" t="n"/>
      <c r="J741" s="34" t="n"/>
      <c r="K741" s="34" t="n"/>
      <c r="L741" s="34" t="n"/>
      <c r="M741" s="36" t="n"/>
      <c r="N741" s="36" t="n"/>
      <c r="O741" s="41" t="n"/>
      <c r="P741" s="27">
        <f>IF($B741="","",IFERROR(TRIM(LEFT($B741,FIND(" - ",$B741)-1)),"Others"))</f>
        <v/>
      </c>
      <c r="Q741" s="39">
        <f>IF($A741="","",SUM($F741:$H741))</f>
        <v/>
      </c>
      <c r="R741" s="39">
        <f>IF($A741="","",SUM($I741:$K741))</f>
        <v/>
      </c>
      <c r="S741" s="39">
        <f>IF($A741="","",($L741+$R741)-$Q741)</f>
        <v/>
      </c>
      <c r="T741" s="31">
        <f>IF(OR($A741="",$Q741=0),"",$S741/$Q741)</f>
        <v/>
      </c>
      <c r="U741" s="27">
        <f>IF($A741="","",IF($L741&gt;0,"Live","Exited"))</f>
        <v/>
      </c>
      <c r="V741" s="40">
        <f>IF($A741="","",IF($A741='Client Report'!$C$4,COUNTIFS($A$6:$A741,'Client Report'!$C$4),""))</f>
        <v/>
      </c>
    </row>
    <row r="742">
      <c r="A742" s="11" t="n"/>
      <c r="B742" s="11" t="n"/>
      <c r="C742" s="11" t="n"/>
      <c r="D742" s="11" t="n"/>
      <c r="E742" s="12" t="n"/>
      <c r="F742" s="34" t="n"/>
      <c r="G742" s="34" t="n"/>
      <c r="H742" s="34" t="n"/>
      <c r="I742" s="34" t="n"/>
      <c r="J742" s="34" t="n"/>
      <c r="K742" s="34" t="n"/>
      <c r="L742" s="34" t="n"/>
      <c r="M742" s="36" t="n"/>
      <c r="N742" s="36" t="n"/>
      <c r="O742" s="41" t="n"/>
      <c r="P742" s="27">
        <f>IF($B742="","",IFERROR(TRIM(LEFT($B742,FIND(" - ",$B742)-1)),"Others"))</f>
        <v/>
      </c>
      <c r="Q742" s="39">
        <f>IF($A742="","",SUM($F742:$H742))</f>
        <v/>
      </c>
      <c r="R742" s="39">
        <f>IF($A742="","",SUM($I742:$K742))</f>
        <v/>
      </c>
      <c r="S742" s="39">
        <f>IF($A742="","",($L742+$R742)-$Q742)</f>
        <v/>
      </c>
      <c r="T742" s="31">
        <f>IF(OR($A742="",$Q742=0),"",$S742/$Q742)</f>
        <v/>
      </c>
      <c r="U742" s="27">
        <f>IF($A742="","",IF($L742&gt;0,"Live","Exited"))</f>
        <v/>
      </c>
      <c r="V742" s="40">
        <f>IF($A742="","",IF($A742='Client Report'!$C$4,COUNTIFS($A$6:$A742,'Client Report'!$C$4),""))</f>
        <v/>
      </c>
    </row>
    <row r="743">
      <c r="A743" s="11" t="n"/>
      <c r="B743" s="11" t="n"/>
      <c r="C743" s="11" t="n"/>
      <c r="D743" s="11" t="n"/>
      <c r="E743" s="12" t="n"/>
      <c r="F743" s="34" t="n"/>
      <c r="G743" s="34" t="n"/>
      <c r="H743" s="34" t="n"/>
      <c r="I743" s="34" t="n"/>
      <c r="J743" s="34" t="n"/>
      <c r="K743" s="34" t="n"/>
      <c r="L743" s="34" t="n"/>
      <c r="M743" s="36" t="n"/>
      <c r="N743" s="36" t="n"/>
      <c r="O743" s="41" t="n"/>
      <c r="P743" s="27">
        <f>IF($B743="","",IFERROR(TRIM(LEFT($B743,FIND(" - ",$B743)-1)),"Others"))</f>
        <v/>
      </c>
      <c r="Q743" s="39">
        <f>IF($A743="","",SUM($F743:$H743))</f>
        <v/>
      </c>
      <c r="R743" s="39">
        <f>IF($A743="","",SUM($I743:$K743))</f>
        <v/>
      </c>
      <c r="S743" s="39">
        <f>IF($A743="","",($L743+$R743)-$Q743)</f>
        <v/>
      </c>
      <c r="T743" s="31">
        <f>IF(OR($A743="",$Q743=0),"",$S743/$Q743)</f>
        <v/>
      </c>
      <c r="U743" s="27">
        <f>IF($A743="","",IF($L743&gt;0,"Live","Exited"))</f>
        <v/>
      </c>
      <c r="V743" s="40">
        <f>IF($A743="","",IF($A743='Client Report'!$C$4,COUNTIFS($A$6:$A743,'Client Report'!$C$4),""))</f>
        <v/>
      </c>
    </row>
    <row r="744">
      <c r="A744" s="11" t="n"/>
      <c r="B744" s="11" t="n"/>
      <c r="C744" s="11" t="n"/>
      <c r="D744" s="11" t="n"/>
      <c r="E744" s="12" t="n"/>
      <c r="F744" s="34" t="n"/>
      <c r="G744" s="34" t="n"/>
      <c r="H744" s="34" t="n"/>
      <c r="I744" s="34" t="n"/>
      <c r="J744" s="34" t="n"/>
      <c r="K744" s="34" t="n"/>
      <c r="L744" s="34" t="n"/>
      <c r="M744" s="36" t="n"/>
      <c r="N744" s="36" t="n"/>
      <c r="O744" s="41" t="n"/>
      <c r="P744" s="27">
        <f>IF($B744="","",IFERROR(TRIM(LEFT($B744,FIND(" - ",$B744)-1)),"Others"))</f>
        <v/>
      </c>
      <c r="Q744" s="39">
        <f>IF($A744="","",SUM($F744:$H744))</f>
        <v/>
      </c>
      <c r="R744" s="39">
        <f>IF($A744="","",SUM($I744:$K744))</f>
        <v/>
      </c>
      <c r="S744" s="39">
        <f>IF($A744="","",($L744+$R744)-$Q744)</f>
        <v/>
      </c>
      <c r="T744" s="31">
        <f>IF(OR($A744="",$Q744=0),"",$S744/$Q744)</f>
        <v/>
      </c>
      <c r="U744" s="27">
        <f>IF($A744="","",IF($L744&gt;0,"Live","Exited"))</f>
        <v/>
      </c>
      <c r="V744" s="40">
        <f>IF($A744="","",IF($A744='Client Report'!$C$4,COUNTIFS($A$6:$A744,'Client Report'!$C$4),""))</f>
        <v/>
      </c>
    </row>
    <row r="745">
      <c r="A745" s="11" t="n"/>
      <c r="B745" s="11" t="n"/>
      <c r="C745" s="11" t="n"/>
      <c r="D745" s="11" t="n"/>
      <c r="E745" s="12" t="n"/>
      <c r="F745" s="34" t="n"/>
      <c r="G745" s="34" t="n"/>
      <c r="H745" s="34" t="n"/>
      <c r="I745" s="34" t="n"/>
      <c r="J745" s="34" t="n"/>
      <c r="K745" s="34" t="n"/>
      <c r="L745" s="34" t="n"/>
      <c r="M745" s="36" t="n"/>
      <c r="N745" s="36" t="n"/>
      <c r="O745" s="41" t="n"/>
      <c r="P745" s="27">
        <f>IF($B745="","",IFERROR(TRIM(LEFT($B745,FIND(" - ",$B745)-1)),"Others"))</f>
        <v/>
      </c>
      <c r="Q745" s="39">
        <f>IF($A745="","",SUM($F745:$H745))</f>
        <v/>
      </c>
      <c r="R745" s="39">
        <f>IF($A745="","",SUM($I745:$K745))</f>
        <v/>
      </c>
      <c r="S745" s="39">
        <f>IF($A745="","",($L745+$R745)-$Q745)</f>
        <v/>
      </c>
      <c r="T745" s="31">
        <f>IF(OR($A745="",$Q745=0),"",$S745/$Q745)</f>
        <v/>
      </c>
      <c r="U745" s="27">
        <f>IF($A745="","",IF($L745&gt;0,"Live","Exited"))</f>
        <v/>
      </c>
      <c r="V745" s="40">
        <f>IF($A745="","",IF($A745='Client Report'!$C$4,COUNTIFS($A$6:$A745,'Client Report'!$C$4),""))</f>
        <v/>
      </c>
    </row>
    <row r="746">
      <c r="A746" s="11" t="n"/>
      <c r="B746" s="11" t="n"/>
      <c r="C746" s="11" t="n"/>
      <c r="D746" s="11" t="n"/>
      <c r="E746" s="12" t="n"/>
      <c r="F746" s="34" t="n"/>
      <c r="G746" s="34" t="n"/>
      <c r="H746" s="34" t="n"/>
      <c r="I746" s="34" t="n"/>
      <c r="J746" s="34" t="n"/>
      <c r="K746" s="34" t="n"/>
      <c r="L746" s="34" t="n"/>
      <c r="M746" s="36" t="n"/>
      <c r="N746" s="36" t="n"/>
      <c r="O746" s="41" t="n"/>
      <c r="P746" s="27">
        <f>IF($B746="","",IFERROR(TRIM(LEFT($B746,FIND(" - ",$B746)-1)),"Others"))</f>
        <v/>
      </c>
      <c r="Q746" s="39">
        <f>IF($A746="","",SUM($F746:$H746))</f>
        <v/>
      </c>
      <c r="R746" s="39">
        <f>IF($A746="","",SUM($I746:$K746))</f>
        <v/>
      </c>
      <c r="S746" s="39">
        <f>IF($A746="","",($L746+$R746)-$Q746)</f>
        <v/>
      </c>
      <c r="T746" s="31">
        <f>IF(OR($A746="",$Q746=0),"",$S746/$Q746)</f>
        <v/>
      </c>
      <c r="U746" s="27">
        <f>IF($A746="","",IF($L746&gt;0,"Live","Exited"))</f>
        <v/>
      </c>
      <c r="V746" s="40">
        <f>IF($A746="","",IF($A746='Client Report'!$C$4,COUNTIFS($A$6:$A746,'Client Report'!$C$4),""))</f>
        <v/>
      </c>
    </row>
    <row r="747">
      <c r="A747" s="11" t="n"/>
      <c r="B747" s="11" t="n"/>
      <c r="C747" s="11" t="n"/>
      <c r="D747" s="11" t="n"/>
      <c r="E747" s="12" t="n"/>
      <c r="F747" s="34" t="n"/>
      <c r="G747" s="34" t="n"/>
      <c r="H747" s="34" t="n"/>
      <c r="I747" s="34" t="n"/>
      <c r="J747" s="34" t="n"/>
      <c r="K747" s="34" t="n"/>
      <c r="L747" s="34" t="n"/>
      <c r="M747" s="36" t="n"/>
      <c r="N747" s="36" t="n"/>
      <c r="O747" s="41" t="n"/>
      <c r="P747" s="27">
        <f>IF($B747="","",IFERROR(TRIM(LEFT($B747,FIND(" - ",$B747)-1)),"Others"))</f>
        <v/>
      </c>
      <c r="Q747" s="39">
        <f>IF($A747="","",SUM($F747:$H747))</f>
        <v/>
      </c>
      <c r="R747" s="39">
        <f>IF($A747="","",SUM($I747:$K747))</f>
        <v/>
      </c>
      <c r="S747" s="39">
        <f>IF($A747="","",($L747+$R747)-$Q747)</f>
        <v/>
      </c>
      <c r="T747" s="31">
        <f>IF(OR($A747="",$Q747=0),"",$S747/$Q747)</f>
        <v/>
      </c>
      <c r="U747" s="27">
        <f>IF($A747="","",IF($L747&gt;0,"Live","Exited"))</f>
        <v/>
      </c>
      <c r="V747" s="40">
        <f>IF($A747="","",IF($A747='Client Report'!$C$4,COUNTIFS($A$6:$A747,'Client Report'!$C$4),""))</f>
        <v/>
      </c>
    </row>
    <row r="748">
      <c r="A748" s="11" t="n"/>
      <c r="B748" s="11" t="n"/>
      <c r="C748" s="11" t="n"/>
      <c r="D748" s="11" t="n"/>
      <c r="E748" s="12" t="n"/>
      <c r="F748" s="34" t="n"/>
      <c r="G748" s="34" t="n"/>
      <c r="H748" s="34" t="n"/>
      <c r="I748" s="34" t="n"/>
      <c r="J748" s="34" t="n"/>
      <c r="K748" s="34" t="n"/>
      <c r="L748" s="34" t="n"/>
      <c r="M748" s="36" t="n"/>
      <c r="N748" s="36" t="n"/>
      <c r="O748" s="41" t="n"/>
      <c r="P748" s="27">
        <f>IF($B748="","",IFERROR(TRIM(LEFT($B748,FIND(" - ",$B748)-1)),"Others"))</f>
        <v/>
      </c>
      <c r="Q748" s="39">
        <f>IF($A748="","",SUM($F748:$H748))</f>
        <v/>
      </c>
      <c r="R748" s="39">
        <f>IF($A748="","",SUM($I748:$K748))</f>
        <v/>
      </c>
      <c r="S748" s="39">
        <f>IF($A748="","",($L748+$R748)-$Q748)</f>
        <v/>
      </c>
      <c r="T748" s="31">
        <f>IF(OR($A748="",$Q748=0),"",$S748/$Q748)</f>
        <v/>
      </c>
      <c r="U748" s="27">
        <f>IF($A748="","",IF($L748&gt;0,"Live","Exited"))</f>
        <v/>
      </c>
      <c r="V748" s="40">
        <f>IF($A748="","",IF($A748='Client Report'!$C$4,COUNTIFS($A$6:$A748,'Client Report'!$C$4),""))</f>
        <v/>
      </c>
    </row>
    <row r="749">
      <c r="A749" s="11" t="n"/>
      <c r="B749" s="11" t="n"/>
      <c r="C749" s="11" t="n"/>
      <c r="D749" s="11" t="n"/>
      <c r="E749" s="12" t="n"/>
      <c r="F749" s="34" t="n"/>
      <c r="G749" s="34" t="n"/>
      <c r="H749" s="34" t="n"/>
      <c r="I749" s="34" t="n"/>
      <c r="J749" s="34" t="n"/>
      <c r="K749" s="34" t="n"/>
      <c r="L749" s="34" t="n"/>
      <c r="M749" s="36" t="n"/>
      <c r="N749" s="36" t="n"/>
      <c r="O749" s="41" t="n"/>
      <c r="P749" s="27">
        <f>IF($B749="","",IFERROR(TRIM(LEFT($B749,FIND(" - ",$B749)-1)),"Others"))</f>
        <v/>
      </c>
      <c r="Q749" s="39">
        <f>IF($A749="","",SUM($F749:$H749))</f>
        <v/>
      </c>
      <c r="R749" s="39">
        <f>IF($A749="","",SUM($I749:$K749))</f>
        <v/>
      </c>
      <c r="S749" s="39">
        <f>IF($A749="","",($L749+$R749)-$Q749)</f>
        <v/>
      </c>
      <c r="T749" s="31">
        <f>IF(OR($A749="",$Q749=0),"",$S749/$Q749)</f>
        <v/>
      </c>
      <c r="U749" s="27">
        <f>IF($A749="","",IF($L749&gt;0,"Live","Exited"))</f>
        <v/>
      </c>
      <c r="V749" s="40">
        <f>IF($A749="","",IF($A749='Client Report'!$C$4,COUNTIFS($A$6:$A749,'Client Report'!$C$4),""))</f>
        <v/>
      </c>
    </row>
    <row r="750">
      <c r="A750" s="11" t="n"/>
      <c r="B750" s="11" t="n"/>
      <c r="C750" s="11" t="n"/>
      <c r="D750" s="11" t="n"/>
      <c r="E750" s="12" t="n"/>
      <c r="F750" s="34" t="n"/>
      <c r="G750" s="34" t="n"/>
      <c r="H750" s="34" t="n"/>
      <c r="I750" s="34" t="n"/>
      <c r="J750" s="34" t="n"/>
      <c r="K750" s="34" t="n"/>
      <c r="L750" s="34" t="n"/>
      <c r="M750" s="36" t="n"/>
      <c r="N750" s="36" t="n"/>
      <c r="O750" s="41" t="n"/>
      <c r="P750" s="27">
        <f>IF($B750="","",IFERROR(TRIM(LEFT($B750,FIND(" - ",$B750)-1)),"Others"))</f>
        <v/>
      </c>
      <c r="Q750" s="39">
        <f>IF($A750="","",SUM($F750:$H750))</f>
        <v/>
      </c>
      <c r="R750" s="39">
        <f>IF($A750="","",SUM($I750:$K750))</f>
        <v/>
      </c>
      <c r="S750" s="39">
        <f>IF($A750="","",($L750+$R750)-$Q750)</f>
        <v/>
      </c>
      <c r="T750" s="31">
        <f>IF(OR($A750="",$Q750=0),"",$S750/$Q750)</f>
        <v/>
      </c>
      <c r="U750" s="27">
        <f>IF($A750="","",IF($L750&gt;0,"Live","Exited"))</f>
        <v/>
      </c>
      <c r="V750" s="40">
        <f>IF($A750="","",IF($A750='Client Report'!$C$4,COUNTIFS($A$6:$A750,'Client Report'!$C$4),""))</f>
        <v/>
      </c>
    </row>
    <row r="751">
      <c r="A751" s="11" t="n"/>
      <c r="B751" s="11" t="n"/>
      <c r="C751" s="11" t="n"/>
      <c r="D751" s="11" t="n"/>
      <c r="E751" s="12" t="n"/>
      <c r="F751" s="34" t="n"/>
      <c r="G751" s="34" t="n"/>
      <c r="H751" s="34" t="n"/>
      <c r="I751" s="34" t="n"/>
      <c r="J751" s="34" t="n"/>
      <c r="K751" s="34" t="n"/>
      <c r="L751" s="34" t="n"/>
      <c r="M751" s="36" t="n"/>
      <c r="N751" s="36" t="n"/>
      <c r="O751" s="41" t="n"/>
      <c r="P751" s="27">
        <f>IF($B751="","",IFERROR(TRIM(LEFT($B751,FIND(" - ",$B751)-1)),"Others"))</f>
        <v/>
      </c>
      <c r="Q751" s="39">
        <f>IF($A751="","",SUM($F751:$H751))</f>
        <v/>
      </c>
      <c r="R751" s="39">
        <f>IF($A751="","",SUM($I751:$K751))</f>
        <v/>
      </c>
      <c r="S751" s="39">
        <f>IF($A751="","",($L751+$R751)-$Q751)</f>
        <v/>
      </c>
      <c r="T751" s="31">
        <f>IF(OR($A751="",$Q751=0),"",$S751/$Q751)</f>
        <v/>
      </c>
      <c r="U751" s="27">
        <f>IF($A751="","",IF($L751&gt;0,"Live","Exited"))</f>
        <v/>
      </c>
      <c r="V751" s="40">
        <f>IF($A751="","",IF($A751='Client Report'!$C$4,COUNTIFS($A$6:$A751,'Client Report'!$C$4),""))</f>
        <v/>
      </c>
    </row>
    <row r="752">
      <c r="A752" s="11" t="n"/>
      <c r="B752" s="11" t="n"/>
      <c r="C752" s="11" t="n"/>
      <c r="D752" s="11" t="n"/>
      <c r="E752" s="12" t="n"/>
      <c r="F752" s="34" t="n"/>
      <c r="G752" s="34" t="n"/>
      <c r="H752" s="34" t="n"/>
      <c r="I752" s="34" t="n"/>
      <c r="J752" s="34" t="n"/>
      <c r="K752" s="34" t="n"/>
      <c r="L752" s="34" t="n"/>
      <c r="M752" s="36" t="n"/>
      <c r="N752" s="36" t="n"/>
      <c r="O752" s="41" t="n"/>
      <c r="P752" s="27">
        <f>IF($B752="","",IFERROR(TRIM(LEFT($B752,FIND(" - ",$B752)-1)),"Others"))</f>
        <v/>
      </c>
      <c r="Q752" s="39">
        <f>IF($A752="","",SUM($F752:$H752))</f>
        <v/>
      </c>
      <c r="R752" s="39">
        <f>IF($A752="","",SUM($I752:$K752))</f>
        <v/>
      </c>
      <c r="S752" s="39">
        <f>IF($A752="","",($L752+$R752)-$Q752)</f>
        <v/>
      </c>
      <c r="T752" s="31">
        <f>IF(OR($A752="",$Q752=0),"",$S752/$Q752)</f>
        <v/>
      </c>
      <c r="U752" s="27">
        <f>IF($A752="","",IF($L752&gt;0,"Live","Exited"))</f>
        <v/>
      </c>
      <c r="V752" s="40">
        <f>IF($A752="","",IF($A752='Client Report'!$C$4,COUNTIFS($A$6:$A752,'Client Report'!$C$4),""))</f>
        <v/>
      </c>
    </row>
    <row r="753">
      <c r="A753" s="11" t="n"/>
      <c r="B753" s="11" t="n"/>
      <c r="C753" s="11" t="n"/>
      <c r="D753" s="11" t="n"/>
      <c r="E753" s="12" t="n"/>
      <c r="F753" s="34" t="n"/>
      <c r="G753" s="34" t="n"/>
      <c r="H753" s="34" t="n"/>
      <c r="I753" s="34" t="n"/>
      <c r="J753" s="34" t="n"/>
      <c r="K753" s="34" t="n"/>
      <c r="L753" s="34" t="n"/>
      <c r="M753" s="36" t="n"/>
      <c r="N753" s="36" t="n"/>
      <c r="O753" s="41" t="n"/>
      <c r="P753" s="27">
        <f>IF($B753="","",IFERROR(TRIM(LEFT($B753,FIND(" - ",$B753)-1)),"Others"))</f>
        <v/>
      </c>
      <c r="Q753" s="39">
        <f>IF($A753="","",SUM($F753:$H753))</f>
        <v/>
      </c>
      <c r="R753" s="39">
        <f>IF($A753="","",SUM($I753:$K753))</f>
        <v/>
      </c>
      <c r="S753" s="39">
        <f>IF($A753="","",($L753+$R753)-$Q753)</f>
        <v/>
      </c>
      <c r="T753" s="31">
        <f>IF(OR($A753="",$Q753=0),"",$S753/$Q753)</f>
        <v/>
      </c>
      <c r="U753" s="27">
        <f>IF($A753="","",IF($L753&gt;0,"Live","Exited"))</f>
        <v/>
      </c>
      <c r="V753" s="40">
        <f>IF($A753="","",IF($A753='Client Report'!$C$4,COUNTIFS($A$6:$A753,'Client Report'!$C$4),""))</f>
        <v/>
      </c>
    </row>
    <row r="754">
      <c r="A754" s="11" t="n"/>
      <c r="B754" s="11" t="n"/>
      <c r="C754" s="11" t="n"/>
      <c r="D754" s="11" t="n"/>
      <c r="E754" s="12" t="n"/>
      <c r="F754" s="34" t="n"/>
      <c r="G754" s="34" t="n"/>
      <c r="H754" s="34" t="n"/>
      <c r="I754" s="34" t="n"/>
      <c r="J754" s="34" t="n"/>
      <c r="K754" s="34" t="n"/>
      <c r="L754" s="34" t="n"/>
      <c r="M754" s="36" t="n"/>
      <c r="N754" s="36" t="n"/>
      <c r="O754" s="41" t="n"/>
      <c r="P754" s="27">
        <f>IF($B754="","",IFERROR(TRIM(LEFT($B754,FIND(" - ",$B754)-1)),"Others"))</f>
        <v/>
      </c>
      <c r="Q754" s="39">
        <f>IF($A754="","",SUM($F754:$H754))</f>
        <v/>
      </c>
      <c r="R754" s="39">
        <f>IF($A754="","",SUM($I754:$K754))</f>
        <v/>
      </c>
      <c r="S754" s="39">
        <f>IF($A754="","",($L754+$R754)-$Q754)</f>
        <v/>
      </c>
      <c r="T754" s="31">
        <f>IF(OR($A754="",$Q754=0),"",$S754/$Q754)</f>
        <v/>
      </c>
      <c r="U754" s="27">
        <f>IF($A754="","",IF($L754&gt;0,"Live","Exited"))</f>
        <v/>
      </c>
      <c r="V754" s="40">
        <f>IF($A754="","",IF($A754='Client Report'!$C$4,COUNTIFS($A$6:$A754,'Client Report'!$C$4),""))</f>
        <v/>
      </c>
    </row>
    <row r="755">
      <c r="A755" s="11" t="n"/>
      <c r="B755" s="11" t="n"/>
      <c r="C755" s="11" t="n"/>
      <c r="D755" s="11" t="n"/>
      <c r="E755" s="12" t="n"/>
      <c r="F755" s="34" t="n"/>
      <c r="G755" s="34" t="n"/>
      <c r="H755" s="34" t="n"/>
      <c r="I755" s="34" t="n"/>
      <c r="J755" s="34" t="n"/>
      <c r="K755" s="34" t="n"/>
      <c r="L755" s="34" t="n"/>
      <c r="M755" s="36" t="n"/>
      <c r="N755" s="36" t="n"/>
      <c r="O755" s="41" t="n"/>
      <c r="P755" s="27">
        <f>IF($B755="","",IFERROR(TRIM(LEFT($B755,FIND(" - ",$B755)-1)),"Others"))</f>
        <v/>
      </c>
      <c r="Q755" s="39">
        <f>IF($A755="","",SUM($F755:$H755))</f>
        <v/>
      </c>
      <c r="R755" s="39">
        <f>IF($A755="","",SUM($I755:$K755))</f>
        <v/>
      </c>
      <c r="S755" s="39">
        <f>IF($A755="","",($L755+$R755)-$Q755)</f>
        <v/>
      </c>
      <c r="T755" s="31">
        <f>IF(OR($A755="",$Q755=0),"",$S755/$Q755)</f>
        <v/>
      </c>
      <c r="U755" s="27">
        <f>IF($A755="","",IF($L755&gt;0,"Live","Exited"))</f>
        <v/>
      </c>
      <c r="V755" s="40">
        <f>IF($A755="","",IF($A755='Client Report'!$C$4,COUNTIFS($A$6:$A755,'Client Report'!$C$4),""))</f>
        <v/>
      </c>
    </row>
    <row r="756">
      <c r="A756" s="11" t="n"/>
      <c r="B756" s="11" t="n"/>
      <c r="C756" s="11" t="n"/>
      <c r="D756" s="11" t="n"/>
      <c r="E756" s="12" t="n"/>
      <c r="F756" s="34" t="n"/>
      <c r="G756" s="34" t="n"/>
      <c r="H756" s="34" t="n"/>
      <c r="I756" s="34" t="n"/>
      <c r="J756" s="34" t="n"/>
      <c r="K756" s="34" t="n"/>
      <c r="L756" s="34" t="n"/>
      <c r="M756" s="36" t="n"/>
      <c r="N756" s="36" t="n"/>
      <c r="O756" s="41" t="n"/>
      <c r="P756" s="27">
        <f>IF($B756="","",IFERROR(TRIM(LEFT($B756,FIND(" - ",$B756)-1)),"Others"))</f>
        <v/>
      </c>
      <c r="Q756" s="39">
        <f>IF($A756="","",SUM($F756:$H756))</f>
        <v/>
      </c>
      <c r="R756" s="39">
        <f>IF($A756="","",SUM($I756:$K756))</f>
        <v/>
      </c>
      <c r="S756" s="39">
        <f>IF($A756="","",($L756+$R756)-$Q756)</f>
        <v/>
      </c>
      <c r="T756" s="31">
        <f>IF(OR($A756="",$Q756=0),"",$S756/$Q756)</f>
        <v/>
      </c>
      <c r="U756" s="27">
        <f>IF($A756="","",IF($L756&gt;0,"Live","Exited"))</f>
        <v/>
      </c>
      <c r="V756" s="40">
        <f>IF($A756="","",IF($A756='Client Report'!$C$4,COUNTIFS($A$6:$A756,'Client Report'!$C$4),""))</f>
        <v/>
      </c>
    </row>
    <row r="757">
      <c r="A757" s="11" t="n"/>
      <c r="B757" s="11" t="n"/>
      <c r="C757" s="11" t="n"/>
      <c r="D757" s="11" t="n"/>
      <c r="E757" s="12" t="n"/>
      <c r="F757" s="34" t="n"/>
      <c r="G757" s="34" t="n"/>
      <c r="H757" s="34" t="n"/>
      <c r="I757" s="34" t="n"/>
      <c r="J757" s="34" t="n"/>
      <c r="K757" s="34" t="n"/>
      <c r="L757" s="34" t="n"/>
      <c r="M757" s="36" t="n"/>
      <c r="N757" s="36" t="n"/>
      <c r="O757" s="41" t="n"/>
      <c r="P757" s="27">
        <f>IF($B757="","",IFERROR(TRIM(LEFT($B757,FIND(" - ",$B757)-1)),"Others"))</f>
        <v/>
      </c>
      <c r="Q757" s="39">
        <f>IF($A757="","",SUM($F757:$H757))</f>
        <v/>
      </c>
      <c r="R757" s="39">
        <f>IF($A757="","",SUM($I757:$K757))</f>
        <v/>
      </c>
      <c r="S757" s="39">
        <f>IF($A757="","",($L757+$R757)-$Q757)</f>
        <v/>
      </c>
      <c r="T757" s="31">
        <f>IF(OR($A757="",$Q757=0),"",$S757/$Q757)</f>
        <v/>
      </c>
      <c r="U757" s="27">
        <f>IF($A757="","",IF($L757&gt;0,"Live","Exited"))</f>
        <v/>
      </c>
      <c r="V757" s="40">
        <f>IF($A757="","",IF($A757='Client Report'!$C$4,COUNTIFS($A$6:$A757,'Client Report'!$C$4),""))</f>
        <v/>
      </c>
    </row>
    <row r="758">
      <c r="A758" s="11" t="n"/>
      <c r="B758" s="11" t="n"/>
      <c r="C758" s="11" t="n"/>
      <c r="D758" s="11" t="n"/>
      <c r="E758" s="12" t="n"/>
      <c r="F758" s="34" t="n"/>
      <c r="G758" s="34" t="n"/>
      <c r="H758" s="34" t="n"/>
      <c r="I758" s="34" t="n"/>
      <c r="J758" s="34" t="n"/>
      <c r="K758" s="34" t="n"/>
      <c r="L758" s="34" t="n"/>
      <c r="M758" s="36" t="n"/>
      <c r="N758" s="36" t="n"/>
      <c r="O758" s="41" t="n"/>
      <c r="P758" s="27">
        <f>IF($B758="","",IFERROR(TRIM(LEFT($B758,FIND(" - ",$B758)-1)),"Others"))</f>
        <v/>
      </c>
      <c r="Q758" s="39">
        <f>IF($A758="","",SUM($F758:$H758))</f>
        <v/>
      </c>
      <c r="R758" s="39">
        <f>IF($A758="","",SUM($I758:$K758))</f>
        <v/>
      </c>
      <c r="S758" s="39">
        <f>IF($A758="","",($L758+$R758)-$Q758)</f>
        <v/>
      </c>
      <c r="T758" s="31">
        <f>IF(OR($A758="",$Q758=0),"",$S758/$Q758)</f>
        <v/>
      </c>
      <c r="U758" s="27">
        <f>IF($A758="","",IF($L758&gt;0,"Live","Exited"))</f>
        <v/>
      </c>
      <c r="V758" s="40">
        <f>IF($A758="","",IF($A758='Client Report'!$C$4,COUNTIFS($A$6:$A758,'Client Report'!$C$4),""))</f>
        <v/>
      </c>
    </row>
    <row r="759">
      <c r="A759" s="11" t="n"/>
      <c r="B759" s="11" t="n"/>
      <c r="C759" s="11" t="n"/>
      <c r="D759" s="11" t="n"/>
      <c r="E759" s="12" t="n"/>
      <c r="F759" s="34" t="n"/>
      <c r="G759" s="34" t="n"/>
      <c r="H759" s="34" t="n"/>
      <c r="I759" s="34" t="n"/>
      <c r="J759" s="34" t="n"/>
      <c r="K759" s="34" t="n"/>
      <c r="L759" s="34" t="n"/>
      <c r="M759" s="36" t="n"/>
      <c r="N759" s="36" t="n"/>
      <c r="O759" s="41" t="n"/>
      <c r="P759" s="27">
        <f>IF($B759="","",IFERROR(TRIM(LEFT($B759,FIND(" - ",$B759)-1)),"Others"))</f>
        <v/>
      </c>
      <c r="Q759" s="39">
        <f>IF($A759="","",SUM($F759:$H759))</f>
        <v/>
      </c>
      <c r="R759" s="39">
        <f>IF($A759="","",SUM($I759:$K759))</f>
        <v/>
      </c>
      <c r="S759" s="39">
        <f>IF($A759="","",($L759+$R759)-$Q759)</f>
        <v/>
      </c>
      <c r="T759" s="31">
        <f>IF(OR($A759="",$Q759=0),"",$S759/$Q759)</f>
        <v/>
      </c>
      <c r="U759" s="27">
        <f>IF($A759="","",IF($L759&gt;0,"Live","Exited"))</f>
        <v/>
      </c>
      <c r="V759" s="40">
        <f>IF($A759="","",IF($A759='Client Report'!$C$4,COUNTIFS($A$6:$A759,'Client Report'!$C$4),""))</f>
        <v/>
      </c>
    </row>
    <row r="760">
      <c r="A760" s="11" t="n"/>
      <c r="B760" s="11" t="n"/>
      <c r="C760" s="11" t="n"/>
      <c r="D760" s="11" t="n"/>
      <c r="E760" s="12" t="n"/>
      <c r="F760" s="34" t="n"/>
      <c r="G760" s="34" t="n"/>
      <c r="H760" s="34" t="n"/>
      <c r="I760" s="34" t="n"/>
      <c r="J760" s="34" t="n"/>
      <c r="K760" s="34" t="n"/>
      <c r="L760" s="34" t="n"/>
      <c r="M760" s="36" t="n"/>
      <c r="N760" s="36" t="n"/>
      <c r="O760" s="41" t="n"/>
      <c r="P760" s="27">
        <f>IF($B760="","",IFERROR(TRIM(LEFT($B760,FIND(" - ",$B760)-1)),"Others"))</f>
        <v/>
      </c>
      <c r="Q760" s="39">
        <f>IF($A760="","",SUM($F760:$H760))</f>
        <v/>
      </c>
      <c r="R760" s="39">
        <f>IF($A760="","",SUM($I760:$K760))</f>
        <v/>
      </c>
      <c r="S760" s="39">
        <f>IF($A760="","",($L760+$R760)-$Q760)</f>
        <v/>
      </c>
      <c r="T760" s="31">
        <f>IF(OR($A760="",$Q760=0),"",$S760/$Q760)</f>
        <v/>
      </c>
      <c r="U760" s="27">
        <f>IF($A760="","",IF($L760&gt;0,"Live","Exited"))</f>
        <v/>
      </c>
      <c r="V760" s="40">
        <f>IF($A760="","",IF($A760='Client Report'!$C$4,COUNTIFS($A$6:$A760,'Client Report'!$C$4),""))</f>
        <v/>
      </c>
    </row>
    <row r="761">
      <c r="A761" s="11" t="n"/>
      <c r="B761" s="11" t="n"/>
      <c r="C761" s="11" t="n"/>
      <c r="D761" s="11" t="n"/>
      <c r="E761" s="12" t="n"/>
      <c r="F761" s="34" t="n"/>
      <c r="G761" s="34" t="n"/>
      <c r="H761" s="34" t="n"/>
      <c r="I761" s="34" t="n"/>
      <c r="J761" s="34" t="n"/>
      <c r="K761" s="34" t="n"/>
      <c r="L761" s="34" t="n"/>
      <c r="M761" s="36" t="n"/>
      <c r="N761" s="36" t="n"/>
      <c r="O761" s="41" t="n"/>
      <c r="P761" s="27">
        <f>IF($B761="","",IFERROR(TRIM(LEFT($B761,FIND(" - ",$B761)-1)),"Others"))</f>
        <v/>
      </c>
      <c r="Q761" s="39">
        <f>IF($A761="","",SUM($F761:$H761))</f>
        <v/>
      </c>
      <c r="R761" s="39">
        <f>IF($A761="","",SUM($I761:$K761))</f>
        <v/>
      </c>
      <c r="S761" s="39">
        <f>IF($A761="","",($L761+$R761)-$Q761)</f>
        <v/>
      </c>
      <c r="T761" s="31">
        <f>IF(OR($A761="",$Q761=0),"",$S761/$Q761)</f>
        <v/>
      </c>
      <c r="U761" s="27">
        <f>IF($A761="","",IF($L761&gt;0,"Live","Exited"))</f>
        <v/>
      </c>
      <c r="V761" s="40">
        <f>IF($A761="","",IF($A761='Client Report'!$C$4,COUNTIFS($A$6:$A761,'Client Report'!$C$4),""))</f>
        <v/>
      </c>
    </row>
    <row r="762">
      <c r="A762" s="11" t="n"/>
      <c r="B762" s="11" t="n"/>
      <c r="C762" s="11" t="n"/>
      <c r="D762" s="11" t="n"/>
      <c r="E762" s="12" t="n"/>
      <c r="F762" s="34" t="n"/>
      <c r="G762" s="34" t="n"/>
      <c r="H762" s="34" t="n"/>
      <c r="I762" s="34" t="n"/>
      <c r="J762" s="34" t="n"/>
      <c r="K762" s="34" t="n"/>
      <c r="L762" s="34" t="n"/>
      <c r="M762" s="36" t="n"/>
      <c r="N762" s="36" t="n"/>
      <c r="O762" s="41" t="n"/>
      <c r="P762" s="27">
        <f>IF($B762="","",IFERROR(TRIM(LEFT($B762,FIND(" - ",$B762)-1)),"Others"))</f>
        <v/>
      </c>
      <c r="Q762" s="39">
        <f>IF($A762="","",SUM($F762:$H762))</f>
        <v/>
      </c>
      <c r="R762" s="39">
        <f>IF($A762="","",SUM($I762:$K762))</f>
        <v/>
      </c>
      <c r="S762" s="39">
        <f>IF($A762="","",($L762+$R762)-$Q762)</f>
        <v/>
      </c>
      <c r="T762" s="31">
        <f>IF(OR($A762="",$Q762=0),"",$S762/$Q762)</f>
        <v/>
      </c>
      <c r="U762" s="27">
        <f>IF($A762="","",IF($L762&gt;0,"Live","Exited"))</f>
        <v/>
      </c>
      <c r="V762" s="40">
        <f>IF($A762="","",IF($A762='Client Report'!$C$4,COUNTIFS($A$6:$A762,'Client Report'!$C$4),""))</f>
        <v/>
      </c>
    </row>
    <row r="763">
      <c r="A763" s="11" t="n"/>
      <c r="B763" s="11" t="n"/>
      <c r="C763" s="11" t="n"/>
      <c r="D763" s="11" t="n"/>
      <c r="E763" s="12" t="n"/>
      <c r="F763" s="34" t="n"/>
      <c r="G763" s="34" t="n"/>
      <c r="H763" s="34" t="n"/>
      <c r="I763" s="34" t="n"/>
      <c r="J763" s="34" t="n"/>
      <c r="K763" s="34" t="n"/>
      <c r="L763" s="34" t="n"/>
      <c r="M763" s="36" t="n"/>
      <c r="N763" s="36" t="n"/>
      <c r="O763" s="41" t="n"/>
      <c r="P763" s="27">
        <f>IF($B763="","",IFERROR(TRIM(LEFT($B763,FIND(" - ",$B763)-1)),"Others"))</f>
        <v/>
      </c>
      <c r="Q763" s="39">
        <f>IF($A763="","",SUM($F763:$H763))</f>
        <v/>
      </c>
      <c r="R763" s="39">
        <f>IF($A763="","",SUM($I763:$K763))</f>
        <v/>
      </c>
      <c r="S763" s="39">
        <f>IF($A763="","",($L763+$R763)-$Q763)</f>
        <v/>
      </c>
      <c r="T763" s="31">
        <f>IF(OR($A763="",$Q763=0),"",$S763/$Q763)</f>
        <v/>
      </c>
      <c r="U763" s="27">
        <f>IF($A763="","",IF($L763&gt;0,"Live","Exited"))</f>
        <v/>
      </c>
      <c r="V763" s="40">
        <f>IF($A763="","",IF($A763='Client Report'!$C$4,COUNTIFS($A$6:$A763,'Client Report'!$C$4),""))</f>
        <v/>
      </c>
    </row>
    <row r="764">
      <c r="A764" s="11" t="n"/>
      <c r="B764" s="11" t="n"/>
      <c r="C764" s="11" t="n"/>
      <c r="D764" s="11" t="n"/>
      <c r="E764" s="12" t="n"/>
      <c r="F764" s="34" t="n"/>
      <c r="G764" s="34" t="n"/>
      <c r="H764" s="34" t="n"/>
      <c r="I764" s="34" t="n"/>
      <c r="J764" s="34" t="n"/>
      <c r="K764" s="34" t="n"/>
      <c r="L764" s="34" t="n"/>
      <c r="M764" s="36" t="n"/>
      <c r="N764" s="36" t="n"/>
      <c r="O764" s="41" t="n"/>
      <c r="P764" s="27">
        <f>IF($B764="","",IFERROR(TRIM(LEFT($B764,FIND(" - ",$B764)-1)),"Others"))</f>
        <v/>
      </c>
      <c r="Q764" s="39">
        <f>IF($A764="","",SUM($F764:$H764))</f>
        <v/>
      </c>
      <c r="R764" s="39">
        <f>IF($A764="","",SUM($I764:$K764))</f>
        <v/>
      </c>
      <c r="S764" s="39">
        <f>IF($A764="","",($L764+$R764)-$Q764)</f>
        <v/>
      </c>
      <c r="T764" s="31">
        <f>IF(OR($A764="",$Q764=0),"",$S764/$Q764)</f>
        <v/>
      </c>
      <c r="U764" s="27">
        <f>IF($A764="","",IF($L764&gt;0,"Live","Exited"))</f>
        <v/>
      </c>
      <c r="V764" s="40">
        <f>IF($A764="","",IF($A764='Client Report'!$C$4,COUNTIFS($A$6:$A764,'Client Report'!$C$4),""))</f>
        <v/>
      </c>
    </row>
    <row r="765">
      <c r="A765" s="11" t="n"/>
      <c r="B765" s="11" t="n"/>
      <c r="C765" s="11" t="n"/>
      <c r="D765" s="11" t="n"/>
      <c r="E765" s="12" t="n"/>
      <c r="F765" s="34" t="n"/>
      <c r="G765" s="34" t="n"/>
      <c r="H765" s="34" t="n"/>
      <c r="I765" s="34" t="n"/>
      <c r="J765" s="34" t="n"/>
      <c r="K765" s="34" t="n"/>
      <c r="L765" s="34" t="n"/>
      <c r="M765" s="36" t="n"/>
      <c r="N765" s="36" t="n"/>
      <c r="O765" s="41" t="n"/>
      <c r="P765" s="27">
        <f>IF($B765="","",IFERROR(TRIM(LEFT($B765,FIND(" - ",$B765)-1)),"Others"))</f>
        <v/>
      </c>
      <c r="Q765" s="39">
        <f>IF($A765="","",SUM($F765:$H765))</f>
        <v/>
      </c>
      <c r="R765" s="39">
        <f>IF($A765="","",SUM($I765:$K765))</f>
        <v/>
      </c>
      <c r="S765" s="39">
        <f>IF($A765="","",($L765+$R765)-$Q765)</f>
        <v/>
      </c>
      <c r="T765" s="31">
        <f>IF(OR($A765="",$Q765=0),"",$S765/$Q765)</f>
        <v/>
      </c>
      <c r="U765" s="27">
        <f>IF($A765="","",IF($L765&gt;0,"Live","Exited"))</f>
        <v/>
      </c>
      <c r="V765" s="40">
        <f>IF($A765="","",IF($A765='Client Report'!$C$4,COUNTIFS($A$6:$A765,'Client Report'!$C$4),""))</f>
        <v/>
      </c>
    </row>
    <row r="766">
      <c r="A766" s="11" t="n"/>
      <c r="B766" s="11" t="n"/>
      <c r="C766" s="11" t="n"/>
      <c r="D766" s="11" t="n"/>
      <c r="E766" s="12" t="n"/>
      <c r="F766" s="34" t="n"/>
      <c r="G766" s="34" t="n"/>
      <c r="H766" s="34" t="n"/>
      <c r="I766" s="34" t="n"/>
      <c r="J766" s="34" t="n"/>
      <c r="K766" s="34" t="n"/>
      <c r="L766" s="34" t="n"/>
      <c r="M766" s="36" t="n"/>
      <c r="N766" s="36" t="n"/>
      <c r="O766" s="41" t="n"/>
      <c r="P766" s="27">
        <f>IF($B766="","",IFERROR(TRIM(LEFT($B766,FIND(" - ",$B766)-1)),"Others"))</f>
        <v/>
      </c>
      <c r="Q766" s="39">
        <f>IF($A766="","",SUM($F766:$H766))</f>
        <v/>
      </c>
      <c r="R766" s="39">
        <f>IF($A766="","",SUM($I766:$K766))</f>
        <v/>
      </c>
      <c r="S766" s="39">
        <f>IF($A766="","",($L766+$R766)-$Q766)</f>
        <v/>
      </c>
      <c r="T766" s="31">
        <f>IF(OR($A766="",$Q766=0),"",$S766/$Q766)</f>
        <v/>
      </c>
      <c r="U766" s="27">
        <f>IF($A766="","",IF($L766&gt;0,"Live","Exited"))</f>
        <v/>
      </c>
      <c r="V766" s="40">
        <f>IF($A766="","",IF($A766='Client Report'!$C$4,COUNTIFS($A$6:$A766,'Client Report'!$C$4),""))</f>
        <v/>
      </c>
    </row>
    <row r="767">
      <c r="A767" s="11" t="n"/>
      <c r="B767" s="11" t="n"/>
      <c r="C767" s="11" t="n"/>
      <c r="D767" s="11" t="n"/>
      <c r="E767" s="12" t="n"/>
      <c r="F767" s="34" t="n"/>
      <c r="G767" s="34" t="n"/>
      <c r="H767" s="34" t="n"/>
      <c r="I767" s="34" t="n"/>
      <c r="J767" s="34" t="n"/>
      <c r="K767" s="34" t="n"/>
      <c r="L767" s="34" t="n"/>
      <c r="M767" s="36" t="n"/>
      <c r="N767" s="36" t="n"/>
      <c r="O767" s="41" t="n"/>
      <c r="P767" s="27">
        <f>IF($B767="","",IFERROR(TRIM(LEFT($B767,FIND(" - ",$B767)-1)),"Others"))</f>
        <v/>
      </c>
      <c r="Q767" s="39">
        <f>IF($A767="","",SUM($F767:$H767))</f>
        <v/>
      </c>
      <c r="R767" s="39">
        <f>IF($A767="","",SUM($I767:$K767))</f>
        <v/>
      </c>
      <c r="S767" s="39">
        <f>IF($A767="","",($L767+$R767)-$Q767)</f>
        <v/>
      </c>
      <c r="T767" s="31">
        <f>IF(OR($A767="",$Q767=0),"",$S767/$Q767)</f>
        <v/>
      </c>
      <c r="U767" s="27">
        <f>IF($A767="","",IF($L767&gt;0,"Live","Exited"))</f>
        <v/>
      </c>
      <c r="V767" s="40">
        <f>IF($A767="","",IF($A767='Client Report'!$C$4,COUNTIFS($A$6:$A767,'Client Report'!$C$4),""))</f>
        <v/>
      </c>
    </row>
    <row r="768">
      <c r="A768" s="11" t="n"/>
      <c r="B768" s="11" t="n"/>
      <c r="C768" s="11" t="n"/>
      <c r="D768" s="11" t="n"/>
      <c r="E768" s="12" t="n"/>
      <c r="F768" s="34" t="n"/>
      <c r="G768" s="34" t="n"/>
      <c r="H768" s="34" t="n"/>
      <c r="I768" s="34" t="n"/>
      <c r="J768" s="34" t="n"/>
      <c r="K768" s="34" t="n"/>
      <c r="L768" s="34" t="n"/>
      <c r="M768" s="36" t="n"/>
      <c r="N768" s="36" t="n"/>
      <c r="O768" s="41" t="n"/>
      <c r="P768" s="27">
        <f>IF($B768="","",IFERROR(TRIM(LEFT($B768,FIND(" - ",$B768)-1)),"Others"))</f>
        <v/>
      </c>
      <c r="Q768" s="39">
        <f>IF($A768="","",SUM($F768:$H768))</f>
        <v/>
      </c>
      <c r="R768" s="39">
        <f>IF($A768="","",SUM($I768:$K768))</f>
        <v/>
      </c>
      <c r="S768" s="39">
        <f>IF($A768="","",($L768+$R768)-$Q768)</f>
        <v/>
      </c>
      <c r="T768" s="31">
        <f>IF(OR($A768="",$Q768=0),"",$S768/$Q768)</f>
        <v/>
      </c>
      <c r="U768" s="27">
        <f>IF($A768="","",IF($L768&gt;0,"Live","Exited"))</f>
        <v/>
      </c>
      <c r="V768" s="40">
        <f>IF($A768="","",IF($A768='Client Report'!$C$4,COUNTIFS($A$6:$A768,'Client Report'!$C$4),""))</f>
        <v/>
      </c>
    </row>
    <row r="769">
      <c r="A769" s="11" t="n"/>
      <c r="B769" s="11" t="n"/>
      <c r="C769" s="11" t="n"/>
      <c r="D769" s="11" t="n"/>
      <c r="E769" s="12" t="n"/>
      <c r="F769" s="34" t="n"/>
      <c r="G769" s="34" t="n"/>
      <c r="H769" s="34" t="n"/>
      <c r="I769" s="34" t="n"/>
      <c r="J769" s="34" t="n"/>
      <c r="K769" s="34" t="n"/>
      <c r="L769" s="34" t="n"/>
      <c r="M769" s="36" t="n"/>
      <c r="N769" s="36" t="n"/>
      <c r="O769" s="41" t="n"/>
      <c r="P769" s="27">
        <f>IF($B769="","",IFERROR(TRIM(LEFT($B769,FIND(" - ",$B769)-1)),"Others"))</f>
        <v/>
      </c>
      <c r="Q769" s="39">
        <f>IF($A769="","",SUM($F769:$H769))</f>
        <v/>
      </c>
      <c r="R769" s="39">
        <f>IF($A769="","",SUM($I769:$K769))</f>
        <v/>
      </c>
      <c r="S769" s="39">
        <f>IF($A769="","",($L769+$R769)-$Q769)</f>
        <v/>
      </c>
      <c r="T769" s="31">
        <f>IF(OR($A769="",$Q769=0),"",$S769/$Q769)</f>
        <v/>
      </c>
      <c r="U769" s="27">
        <f>IF($A769="","",IF($L769&gt;0,"Live","Exited"))</f>
        <v/>
      </c>
      <c r="V769" s="40">
        <f>IF($A769="","",IF($A769='Client Report'!$C$4,COUNTIFS($A$6:$A769,'Client Report'!$C$4),""))</f>
        <v/>
      </c>
    </row>
    <row r="770">
      <c r="A770" s="11" t="n"/>
      <c r="B770" s="11" t="n"/>
      <c r="C770" s="11" t="n"/>
      <c r="D770" s="11" t="n"/>
      <c r="E770" s="12" t="n"/>
      <c r="F770" s="34" t="n"/>
      <c r="G770" s="34" t="n"/>
      <c r="H770" s="34" t="n"/>
      <c r="I770" s="34" t="n"/>
      <c r="J770" s="34" t="n"/>
      <c r="K770" s="34" t="n"/>
      <c r="L770" s="34" t="n"/>
      <c r="M770" s="36" t="n"/>
      <c r="N770" s="36" t="n"/>
      <c r="O770" s="41" t="n"/>
      <c r="P770" s="27">
        <f>IF($B770="","",IFERROR(TRIM(LEFT($B770,FIND(" - ",$B770)-1)),"Others"))</f>
        <v/>
      </c>
      <c r="Q770" s="39">
        <f>IF($A770="","",SUM($F770:$H770))</f>
        <v/>
      </c>
      <c r="R770" s="39">
        <f>IF($A770="","",SUM($I770:$K770))</f>
        <v/>
      </c>
      <c r="S770" s="39">
        <f>IF($A770="","",($L770+$R770)-$Q770)</f>
        <v/>
      </c>
      <c r="T770" s="31">
        <f>IF(OR($A770="",$Q770=0),"",$S770/$Q770)</f>
        <v/>
      </c>
      <c r="U770" s="27">
        <f>IF($A770="","",IF($L770&gt;0,"Live","Exited"))</f>
        <v/>
      </c>
      <c r="V770" s="40">
        <f>IF($A770="","",IF($A770='Client Report'!$C$4,COUNTIFS($A$6:$A770,'Client Report'!$C$4),""))</f>
        <v/>
      </c>
    </row>
    <row r="771">
      <c r="A771" s="11" t="n"/>
      <c r="B771" s="11" t="n"/>
      <c r="C771" s="11" t="n"/>
      <c r="D771" s="11" t="n"/>
      <c r="E771" s="12" t="n"/>
      <c r="F771" s="34" t="n"/>
      <c r="G771" s="34" t="n"/>
      <c r="H771" s="34" t="n"/>
      <c r="I771" s="34" t="n"/>
      <c r="J771" s="34" t="n"/>
      <c r="K771" s="34" t="n"/>
      <c r="L771" s="34" t="n"/>
      <c r="M771" s="36" t="n"/>
      <c r="N771" s="36" t="n"/>
      <c r="O771" s="41" t="n"/>
      <c r="P771" s="27">
        <f>IF($B771="","",IFERROR(TRIM(LEFT($B771,FIND(" - ",$B771)-1)),"Others"))</f>
        <v/>
      </c>
      <c r="Q771" s="39">
        <f>IF($A771="","",SUM($F771:$H771))</f>
        <v/>
      </c>
      <c r="R771" s="39">
        <f>IF($A771="","",SUM($I771:$K771))</f>
        <v/>
      </c>
      <c r="S771" s="39">
        <f>IF($A771="","",($L771+$R771)-$Q771)</f>
        <v/>
      </c>
      <c r="T771" s="31">
        <f>IF(OR($A771="",$Q771=0),"",$S771/$Q771)</f>
        <v/>
      </c>
      <c r="U771" s="27">
        <f>IF($A771="","",IF($L771&gt;0,"Live","Exited"))</f>
        <v/>
      </c>
      <c r="V771" s="40">
        <f>IF($A771="","",IF($A771='Client Report'!$C$4,COUNTIFS($A$6:$A771,'Client Report'!$C$4),""))</f>
        <v/>
      </c>
    </row>
    <row r="772">
      <c r="A772" s="11" t="n"/>
      <c r="B772" s="11" t="n"/>
      <c r="C772" s="11" t="n"/>
      <c r="D772" s="11" t="n"/>
      <c r="E772" s="12" t="n"/>
      <c r="F772" s="34" t="n"/>
      <c r="G772" s="34" t="n"/>
      <c r="H772" s="34" t="n"/>
      <c r="I772" s="34" t="n"/>
      <c r="J772" s="34" t="n"/>
      <c r="K772" s="34" t="n"/>
      <c r="L772" s="34" t="n"/>
      <c r="M772" s="36" t="n"/>
      <c r="N772" s="36" t="n"/>
      <c r="O772" s="41" t="n"/>
      <c r="P772" s="27">
        <f>IF($B772="","",IFERROR(TRIM(LEFT($B772,FIND(" - ",$B772)-1)),"Others"))</f>
        <v/>
      </c>
      <c r="Q772" s="39">
        <f>IF($A772="","",SUM($F772:$H772))</f>
        <v/>
      </c>
      <c r="R772" s="39">
        <f>IF($A772="","",SUM($I772:$K772))</f>
        <v/>
      </c>
      <c r="S772" s="39">
        <f>IF($A772="","",($L772+$R772)-$Q772)</f>
        <v/>
      </c>
      <c r="T772" s="31">
        <f>IF(OR($A772="",$Q772=0),"",$S772/$Q772)</f>
        <v/>
      </c>
      <c r="U772" s="27">
        <f>IF($A772="","",IF($L772&gt;0,"Live","Exited"))</f>
        <v/>
      </c>
      <c r="V772" s="40">
        <f>IF($A772="","",IF($A772='Client Report'!$C$4,COUNTIFS($A$6:$A772,'Client Report'!$C$4),""))</f>
        <v/>
      </c>
    </row>
    <row r="773">
      <c r="A773" s="11" t="n"/>
      <c r="B773" s="11" t="n"/>
      <c r="C773" s="11" t="n"/>
      <c r="D773" s="11" t="n"/>
      <c r="E773" s="12" t="n"/>
      <c r="F773" s="34" t="n"/>
      <c r="G773" s="34" t="n"/>
      <c r="H773" s="34" t="n"/>
      <c r="I773" s="34" t="n"/>
      <c r="J773" s="34" t="n"/>
      <c r="K773" s="34" t="n"/>
      <c r="L773" s="34" t="n"/>
      <c r="M773" s="36" t="n"/>
      <c r="N773" s="36" t="n"/>
      <c r="O773" s="41" t="n"/>
      <c r="P773" s="27">
        <f>IF($B773="","",IFERROR(TRIM(LEFT($B773,FIND(" - ",$B773)-1)),"Others"))</f>
        <v/>
      </c>
      <c r="Q773" s="39">
        <f>IF($A773="","",SUM($F773:$H773))</f>
        <v/>
      </c>
      <c r="R773" s="39">
        <f>IF($A773="","",SUM($I773:$K773))</f>
        <v/>
      </c>
      <c r="S773" s="39">
        <f>IF($A773="","",($L773+$R773)-$Q773)</f>
        <v/>
      </c>
      <c r="T773" s="31">
        <f>IF(OR($A773="",$Q773=0),"",$S773/$Q773)</f>
        <v/>
      </c>
      <c r="U773" s="27">
        <f>IF($A773="","",IF($L773&gt;0,"Live","Exited"))</f>
        <v/>
      </c>
      <c r="V773" s="40">
        <f>IF($A773="","",IF($A773='Client Report'!$C$4,COUNTIFS($A$6:$A773,'Client Report'!$C$4),""))</f>
        <v/>
      </c>
    </row>
    <row r="774">
      <c r="A774" s="11" t="n"/>
      <c r="B774" s="11" t="n"/>
      <c r="C774" s="11" t="n"/>
      <c r="D774" s="11" t="n"/>
      <c r="E774" s="12" t="n"/>
      <c r="F774" s="34" t="n"/>
      <c r="G774" s="34" t="n"/>
      <c r="H774" s="34" t="n"/>
      <c r="I774" s="34" t="n"/>
      <c r="J774" s="34" t="n"/>
      <c r="K774" s="34" t="n"/>
      <c r="L774" s="34" t="n"/>
      <c r="M774" s="36" t="n"/>
      <c r="N774" s="36" t="n"/>
      <c r="O774" s="41" t="n"/>
      <c r="P774" s="27">
        <f>IF($B774="","",IFERROR(TRIM(LEFT($B774,FIND(" - ",$B774)-1)),"Others"))</f>
        <v/>
      </c>
      <c r="Q774" s="39">
        <f>IF($A774="","",SUM($F774:$H774))</f>
        <v/>
      </c>
      <c r="R774" s="39">
        <f>IF($A774="","",SUM($I774:$K774))</f>
        <v/>
      </c>
      <c r="S774" s="39">
        <f>IF($A774="","",($L774+$R774)-$Q774)</f>
        <v/>
      </c>
      <c r="T774" s="31">
        <f>IF(OR($A774="",$Q774=0),"",$S774/$Q774)</f>
        <v/>
      </c>
      <c r="U774" s="27">
        <f>IF($A774="","",IF($L774&gt;0,"Live","Exited"))</f>
        <v/>
      </c>
      <c r="V774" s="40">
        <f>IF($A774="","",IF($A774='Client Report'!$C$4,COUNTIFS($A$6:$A774,'Client Report'!$C$4),""))</f>
        <v/>
      </c>
    </row>
    <row r="775">
      <c r="A775" s="11" t="n"/>
      <c r="B775" s="11" t="n"/>
      <c r="C775" s="11" t="n"/>
      <c r="D775" s="11" t="n"/>
      <c r="E775" s="12" t="n"/>
      <c r="F775" s="34" t="n"/>
      <c r="G775" s="34" t="n"/>
      <c r="H775" s="34" t="n"/>
      <c r="I775" s="34" t="n"/>
      <c r="J775" s="34" t="n"/>
      <c r="K775" s="34" t="n"/>
      <c r="L775" s="34" t="n"/>
      <c r="M775" s="36" t="n"/>
      <c r="N775" s="36" t="n"/>
      <c r="O775" s="41" t="n"/>
      <c r="P775" s="27">
        <f>IF($B775="","",IFERROR(TRIM(LEFT($B775,FIND(" - ",$B775)-1)),"Others"))</f>
        <v/>
      </c>
      <c r="Q775" s="39">
        <f>IF($A775="","",SUM($F775:$H775))</f>
        <v/>
      </c>
      <c r="R775" s="39">
        <f>IF($A775="","",SUM($I775:$K775))</f>
        <v/>
      </c>
      <c r="S775" s="39">
        <f>IF($A775="","",($L775+$R775)-$Q775)</f>
        <v/>
      </c>
      <c r="T775" s="31">
        <f>IF(OR($A775="",$Q775=0),"",$S775/$Q775)</f>
        <v/>
      </c>
      <c r="U775" s="27">
        <f>IF($A775="","",IF($L775&gt;0,"Live","Exited"))</f>
        <v/>
      </c>
      <c r="V775" s="40">
        <f>IF($A775="","",IF($A775='Client Report'!$C$4,COUNTIFS($A$6:$A775,'Client Report'!$C$4),""))</f>
        <v/>
      </c>
    </row>
    <row r="776">
      <c r="A776" s="11" t="n"/>
      <c r="B776" s="11" t="n"/>
      <c r="C776" s="11" t="n"/>
      <c r="D776" s="11" t="n"/>
      <c r="E776" s="12" t="n"/>
      <c r="F776" s="34" t="n"/>
      <c r="G776" s="34" t="n"/>
      <c r="H776" s="34" t="n"/>
      <c r="I776" s="34" t="n"/>
      <c r="J776" s="34" t="n"/>
      <c r="K776" s="34" t="n"/>
      <c r="L776" s="34" t="n"/>
      <c r="M776" s="36" t="n"/>
      <c r="N776" s="36" t="n"/>
      <c r="O776" s="41" t="n"/>
      <c r="P776" s="27">
        <f>IF($B776="","",IFERROR(TRIM(LEFT($B776,FIND(" - ",$B776)-1)),"Others"))</f>
        <v/>
      </c>
      <c r="Q776" s="39">
        <f>IF($A776="","",SUM($F776:$H776))</f>
        <v/>
      </c>
      <c r="R776" s="39">
        <f>IF($A776="","",SUM($I776:$K776))</f>
        <v/>
      </c>
      <c r="S776" s="39">
        <f>IF($A776="","",($L776+$R776)-$Q776)</f>
        <v/>
      </c>
      <c r="T776" s="31">
        <f>IF(OR($A776="",$Q776=0),"",$S776/$Q776)</f>
        <v/>
      </c>
      <c r="U776" s="27">
        <f>IF($A776="","",IF($L776&gt;0,"Live","Exited"))</f>
        <v/>
      </c>
      <c r="V776" s="40">
        <f>IF($A776="","",IF($A776='Client Report'!$C$4,COUNTIFS($A$6:$A776,'Client Report'!$C$4),""))</f>
        <v/>
      </c>
    </row>
    <row r="777">
      <c r="A777" s="11" t="n"/>
      <c r="B777" s="11" t="n"/>
      <c r="C777" s="11" t="n"/>
      <c r="D777" s="11" t="n"/>
      <c r="E777" s="12" t="n"/>
      <c r="F777" s="34" t="n"/>
      <c r="G777" s="34" t="n"/>
      <c r="H777" s="34" t="n"/>
      <c r="I777" s="34" t="n"/>
      <c r="J777" s="34" t="n"/>
      <c r="K777" s="34" t="n"/>
      <c r="L777" s="34" t="n"/>
      <c r="M777" s="36" t="n"/>
      <c r="N777" s="36" t="n"/>
      <c r="O777" s="41" t="n"/>
      <c r="P777" s="27">
        <f>IF($B777="","",IFERROR(TRIM(LEFT($B777,FIND(" - ",$B777)-1)),"Others"))</f>
        <v/>
      </c>
      <c r="Q777" s="39">
        <f>IF($A777="","",SUM($F777:$H777))</f>
        <v/>
      </c>
      <c r="R777" s="39">
        <f>IF($A777="","",SUM($I777:$K777))</f>
        <v/>
      </c>
      <c r="S777" s="39">
        <f>IF($A777="","",($L777+$R777)-$Q777)</f>
        <v/>
      </c>
      <c r="T777" s="31">
        <f>IF(OR($A777="",$Q777=0),"",$S777/$Q777)</f>
        <v/>
      </c>
      <c r="U777" s="27">
        <f>IF($A777="","",IF($L777&gt;0,"Live","Exited"))</f>
        <v/>
      </c>
      <c r="V777" s="40">
        <f>IF($A777="","",IF($A777='Client Report'!$C$4,COUNTIFS($A$6:$A777,'Client Report'!$C$4),""))</f>
        <v/>
      </c>
    </row>
    <row r="778">
      <c r="A778" s="11" t="n"/>
      <c r="B778" s="11" t="n"/>
      <c r="C778" s="11" t="n"/>
      <c r="D778" s="11" t="n"/>
      <c r="E778" s="12" t="n"/>
      <c r="F778" s="34" t="n"/>
      <c r="G778" s="34" t="n"/>
      <c r="H778" s="34" t="n"/>
      <c r="I778" s="34" t="n"/>
      <c r="J778" s="34" t="n"/>
      <c r="K778" s="34" t="n"/>
      <c r="L778" s="34" t="n"/>
      <c r="M778" s="36" t="n"/>
      <c r="N778" s="36" t="n"/>
      <c r="O778" s="41" t="n"/>
      <c r="P778" s="27">
        <f>IF($B778="","",IFERROR(TRIM(LEFT($B778,FIND(" - ",$B778)-1)),"Others"))</f>
        <v/>
      </c>
      <c r="Q778" s="39">
        <f>IF($A778="","",SUM($F778:$H778))</f>
        <v/>
      </c>
      <c r="R778" s="39">
        <f>IF($A778="","",SUM($I778:$K778))</f>
        <v/>
      </c>
      <c r="S778" s="39">
        <f>IF($A778="","",($L778+$R778)-$Q778)</f>
        <v/>
      </c>
      <c r="T778" s="31">
        <f>IF(OR($A778="",$Q778=0),"",$S778/$Q778)</f>
        <v/>
      </c>
      <c r="U778" s="27">
        <f>IF($A778="","",IF($L778&gt;0,"Live","Exited"))</f>
        <v/>
      </c>
      <c r="V778" s="40">
        <f>IF($A778="","",IF($A778='Client Report'!$C$4,COUNTIFS($A$6:$A778,'Client Report'!$C$4),""))</f>
        <v/>
      </c>
    </row>
    <row r="779">
      <c r="A779" s="11" t="n"/>
      <c r="B779" s="11" t="n"/>
      <c r="C779" s="11" t="n"/>
      <c r="D779" s="11" t="n"/>
      <c r="E779" s="12" t="n"/>
      <c r="F779" s="34" t="n"/>
      <c r="G779" s="34" t="n"/>
      <c r="H779" s="34" t="n"/>
      <c r="I779" s="34" t="n"/>
      <c r="J779" s="34" t="n"/>
      <c r="K779" s="34" t="n"/>
      <c r="L779" s="34" t="n"/>
      <c r="M779" s="36" t="n"/>
      <c r="N779" s="36" t="n"/>
      <c r="O779" s="41" t="n"/>
      <c r="P779" s="27">
        <f>IF($B779="","",IFERROR(TRIM(LEFT($B779,FIND(" - ",$B779)-1)),"Others"))</f>
        <v/>
      </c>
      <c r="Q779" s="39">
        <f>IF($A779="","",SUM($F779:$H779))</f>
        <v/>
      </c>
      <c r="R779" s="39">
        <f>IF($A779="","",SUM($I779:$K779))</f>
        <v/>
      </c>
      <c r="S779" s="39">
        <f>IF($A779="","",($L779+$R779)-$Q779)</f>
        <v/>
      </c>
      <c r="T779" s="31">
        <f>IF(OR($A779="",$Q779=0),"",$S779/$Q779)</f>
        <v/>
      </c>
      <c r="U779" s="27">
        <f>IF($A779="","",IF($L779&gt;0,"Live","Exited"))</f>
        <v/>
      </c>
      <c r="V779" s="40">
        <f>IF($A779="","",IF($A779='Client Report'!$C$4,COUNTIFS($A$6:$A779,'Client Report'!$C$4),""))</f>
        <v/>
      </c>
    </row>
    <row r="780">
      <c r="A780" s="11" t="n"/>
      <c r="B780" s="11" t="n"/>
      <c r="C780" s="11" t="n"/>
      <c r="D780" s="11" t="n"/>
      <c r="E780" s="12" t="n"/>
      <c r="F780" s="34" t="n"/>
      <c r="G780" s="34" t="n"/>
      <c r="H780" s="34" t="n"/>
      <c r="I780" s="34" t="n"/>
      <c r="J780" s="34" t="n"/>
      <c r="K780" s="34" t="n"/>
      <c r="L780" s="34" t="n"/>
      <c r="M780" s="36" t="n"/>
      <c r="N780" s="36" t="n"/>
      <c r="O780" s="41" t="n"/>
      <c r="P780" s="27">
        <f>IF($B780="","",IFERROR(TRIM(LEFT($B780,FIND(" - ",$B780)-1)),"Others"))</f>
        <v/>
      </c>
      <c r="Q780" s="39">
        <f>IF($A780="","",SUM($F780:$H780))</f>
        <v/>
      </c>
      <c r="R780" s="39">
        <f>IF($A780="","",SUM($I780:$K780))</f>
        <v/>
      </c>
      <c r="S780" s="39">
        <f>IF($A780="","",($L780+$R780)-$Q780)</f>
        <v/>
      </c>
      <c r="T780" s="31">
        <f>IF(OR($A780="",$Q780=0),"",$S780/$Q780)</f>
        <v/>
      </c>
      <c r="U780" s="27">
        <f>IF($A780="","",IF($L780&gt;0,"Live","Exited"))</f>
        <v/>
      </c>
      <c r="V780" s="40">
        <f>IF($A780="","",IF($A780='Client Report'!$C$4,COUNTIFS($A$6:$A780,'Client Report'!$C$4),""))</f>
        <v/>
      </c>
    </row>
    <row r="781">
      <c r="A781" s="11" t="n"/>
      <c r="B781" s="11" t="n"/>
      <c r="C781" s="11" t="n"/>
      <c r="D781" s="11" t="n"/>
      <c r="E781" s="12" t="n"/>
      <c r="F781" s="34" t="n"/>
      <c r="G781" s="34" t="n"/>
      <c r="H781" s="34" t="n"/>
      <c r="I781" s="34" t="n"/>
      <c r="J781" s="34" t="n"/>
      <c r="K781" s="34" t="n"/>
      <c r="L781" s="34" t="n"/>
      <c r="M781" s="36" t="n"/>
      <c r="N781" s="36" t="n"/>
      <c r="O781" s="41" t="n"/>
      <c r="P781" s="27">
        <f>IF($B781="","",IFERROR(TRIM(LEFT($B781,FIND(" - ",$B781)-1)),"Others"))</f>
        <v/>
      </c>
      <c r="Q781" s="39">
        <f>IF($A781="","",SUM($F781:$H781))</f>
        <v/>
      </c>
      <c r="R781" s="39">
        <f>IF($A781="","",SUM($I781:$K781))</f>
        <v/>
      </c>
      <c r="S781" s="39">
        <f>IF($A781="","",($L781+$R781)-$Q781)</f>
        <v/>
      </c>
      <c r="T781" s="31">
        <f>IF(OR($A781="",$Q781=0),"",$S781/$Q781)</f>
        <v/>
      </c>
      <c r="U781" s="27">
        <f>IF($A781="","",IF($L781&gt;0,"Live","Exited"))</f>
        <v/>
      </c>
      <c r="V781" s="40">
        <f>IF($A781="","",IF($A781='Client Report'!$C$4,COUNTIFS($A$6:$A781,'Client Report'!$C$4),""))</f>
        <v/>
      </c>
    </row>
    <row r="782">
      <c r="A782" s="11" t="n"/>
      <c r="B782" s="11" t="n"/>
      <c r="C782" s="11" t="n"/>
      <c r="D782" s="11" t="n"/>
      <c r="E782" s="12" t="n"/>
      <c r="F782" s="34" t="n"/>
      <c r="G782" s="34" t="n"/>
      <c r="H782" s="34" t="n"/>
      <c r="I782" s="34" t="n"/>
      <c r="J782" s="34" t="n"/>
      <c r="K782" s="34" t="n"/>
      <c r="L782" s="34" t="n"/>
      <c r="M782" s="36" t="n"/>
      <c r="N782" s="36" t="n"/>
      <c r="O782" s="41" t="n"/>
      <c r="P782" s="27">
        <f>IF($B782="","",IFERROR(TRIM(LEFT($B782,FIND(" - ",$B782)-1)),"Others"))</f>
        <v/>
      </c>
      <c r="Q782" s="39">
        <f>IF($A782="","",SUM($F782:$H782))</f>
        <v/>
      </c>
      <c r="R782" s="39">
        <f>IF($A782="","",SUM($I782:$K782))</f>
        <v/>
      </c>
      <c r="S782" s="39">
        <f>IF($A782="","",($L782+$R782)-$Q782)</f>
        <v/>
      </c>
      <c r="T782" s="31">
        <f>IF(OR($A782="",$Q782=0),"",$S782/$Q782)</f>
        <v/>
      </c>
      <c r="U782" s="27">
        <f>IF($A782="","",IF($L782&gt;0,"Live","Exited"))</f>
        <v/>
      </c>
      <c r="V782" s="40">
        <f>IF($A782="","",IF($A782='Client Report'!$C$4,COUNTIFS($A$6:$A782,'Client Report'!$C$4),""))</f>
        <v/>
      </c>
    </row>
    <row r="783">
      <c r="A783" s="11" t="n"/>
      <c r="B783" s="11" t="n"/>
      <c r="C783" s="11" t="n"/>
      <c r="D783" s="11" t="n"/>
      <c r="E783" s="12" t="n"/>
      <c r="F783" s="34" t="n"/>
      <c r="G783" s="34" t="n"/>
      <c r="H783" s="34" t="n"/>
      <c r="I783" s="34" t="n"/>
      <c r="J783" s="34" t="n"/>
      <c r="K783" s="34" t="n"/>
      <c r="L783" s="34" t="n"/>
      <c r="M783" s="36" t="n"/>
      <c r="N783" s="36" t="n"/>
      <c r="O783" s="41" t="n"/>
      <c r="P783" s="27">
        <f>IF($B783="","",IFERROR(TRIM(LEFT($B783,FIND(" - ",$B783)-1)),"Others"))</f>
        <v/>
      </c>
      <c r="Q783" s="39">
        <f>IF($A783="","",SUM($F783:$H783))</f>
        <v/>
      </c>
      <c r="R783" s="39">
        <f>IF($A783="","",SUM($I783:$K783))</f>
        <v/>
      </c>
      <c r="S783" s="39">
        <f>IF($A783="","",($L783+$R783)-$Q783)</f>
        <v/>
      </c>
      <c r="T783" s="31">
        <f>IF(OR($A783="",$Q783=0),"",$S783/$Q783)</f>
        <v/>
      </c>
      <c r="U783" s="27">
        <f>IF($A783="","",IF($L783&gt;0,"Live","Exited"))</f>
        <v/>
      </c>
      <c r="V783" s="40">
        <f>IF($A783="","",IF($A783='Client Report'!$C$4,COUNTIFS($A$6:$A783,'Client Report'!$C$4),""))</f>
        <v/>
      </c>
    </row>
    <row r="784">
      <c r="A784" s="11" t="n"/>
      <c r="B784" s="11" t="n"/>
      <c r="C784" s="11" t="n"/>
      <c r="D784" s="11" t="n"/>
      <c r="E784" s="12" t="n"/>
      <c r="F784" s="34" t="n"/>
      <c r="G784" s="34" t="n"/>
      <c r="H784" s="34" t="n"/>
      <c r="I784" s="34" t="n"/>
      <c r="J784" s="34" t="n"/>
      <c r="K784" s="34" t="n"/>
      <c r="L784" s="34" t="n"/>
      <c r="M784" s="36" t="n"/>
      <c r="N784" s="36" t="n"/>
      <c r="O784" s="41" t="n"/>
      <c r="P784" s="27">
        <f>IF($B784="","",IFERROR(TRIM(LEFT($B784,FIND(" - ",$B784)-1)),"Others"))</f>
        <v/>
      </c>
      <c r="Q784" s="39">
        <f>IF($A784="","",SUM($F784:$H784))</f>
        <v/>
      </c>
      <c r="R784" s="39">
        <f>IF($A784="","",SUM($I784:$K784))</f>
        <v/>
      </c>
      <c r="S784" s="39">
        <f>IF($A784="","",($L784+$R784)-$Q784)</f>
        <v/>
      </c>
      <c r="T784" s="31">
        <f>IF(OR($A784="",$Q784=0),"",$S784/$Q784)</f>
        <v/>
      </c>
      <c r="U784" s="27">
        <f>IF($A784="","",IF($L784&gt;0,"Live","Exited"))</f>
        <v/>
      </c>
      <c r="V784" s="40">
        <f>IF($A784="","",IF($A784='Client Report'!$C$4,COUNTIFS($A$6:$A784,'Client Report'!$C$4),""))</f>
        <v/>
      </c>
    </row>
    <row r="785">
      <c r="A785" s="11" t="n"/>
      <c r="B785" s="11" t="n"/>
      <c r="C785" s="11" t="n"/>
      <c r="D785" s="11" t="n"/>
      <c r="E785" s="12" t="n"/>
      <c r="F785" s="34" t="n"/>
      <c r="G785" s="34" t="n"/>
      <c r="H785" s="34" t="n"/>
      <c r="I785" s="34" t="n"/>
      <c r="J785" s="34" t="n"/>
      <c r="K785" s="34" t="n"/>
      <c r="L785" s="34" t="n"/>
      <c r="M785" s="36" t="n"/>
      <c r="N785" s="36" t="n"/>
      <c r="O785" s="41" t="n"/>
      <c r="P785" s="27">
        <f>IF($B785="","",IFERROR(TRIM(LEFT($B785,FIND(" - ",$B785)-1)),"Others"))</f>
        <v/>
      </c>
      <c r="Q785" s="39">
        <f>IF($A785="","",SUM($F785:$H785))</f>
        <v/>
      </c>
      <c r="R785" s="39">
        <f>IF($A785="","",SUM($I785:$K785))</f>
        <v/>
      </c>
      <c r="S785" s="39">
        <f>IF($A785="","",($L785+$R785)-$Q785)</f>
        <v/>
      </c>
      <c r="T785" s="31">
        <f>IF(OR($A785="",$Q785=0),"",$S785/$Q785)</f>
        <v/>
      </c>
      <c r="U785" s="27">
        <f>IF($A785="","",IF($L785&gt;0,"Live","Exited"))</f>
        <v/>
      </c>
      <c r="V785" s="40">
        <f>IF($A785="","",IF($A785='Client Report'!$C$4,COUNTIFS($A$6:$A785,'Client Report'!$C$4),""))</f>
        <v/>
      </c>
    </row>
    <row r="786">
      <c r="A786" s="11" t="n"/>
      <c r="B786" s="11" t="n"/>
      <c r="C786" s="11" t="n"/>
      <c r="D786" s="11" t="n"/>
      <c r="E786" s="12" t="n"/>
      <c r="F786" s="34" t="n"/>
      <c r="G786" s="34" t="n"/>
      <c r="H786" s="34" t="n"/>
      <c r="I786" s="34" t="n"/>
      <c r="J786" s="34" t="n"/>
      <c r="K786" s="34" t="n"/>
      <c r="L786" s="34" t="n"/>
      <c r="M786" s="36" t="n"/>
      <c r="N786" s="36" t="n"/>
      <c r="O786" s="41" t="n"/>
      <c r="P786" s="27">
        <f>IF($B786="","",IFERROR(TRIM(LEFT($B786,FIND(" - ",$B786)-1)),"Others"))</f>
        <v/>
      </c>
      <c r="Q786" s="39">
        <f>IF($A786="","",SUM($F786:$H786))</f>
        <v/>
      </c>
      <c r="R786" s="39">
        <f>IF($A786="","",SUM($I786:$K786))</f>
        <v/>
      </c>
      <c r="S786" s="39">
        <f>IF($A786="","",($L786+$R786)-$Q786)</f>
        <v/>
      </c>
      <c r="T786" s="31">
        <f>IF(OR($A786="",$Q786=0),"",$S786/$Q786)</f>
        <v/>
      </c>
      <c r="U786" s="27">
        <f>IF($A786="","",IF($L786&gt;0,"Live","Exited"))</f>
        <v/>
      </c>
      <c r="V786" s="40">
        <f>IF($A786="","",IF($A786='Client Report'!$C$4,COUNTIFS($A$6:$A786,'Client Report'!$C$4),""))</f>
        <v/>
      </c>
    </row>
    <row r="787">
      <c r="A787" s="11" t="n"/>
      <c r="B787" s="11" t="n"/>
      <c r="C787" s="11" t="n"/>
      <c r="D787" s="11" t="n"/>
      <c r="E787" s="12" t="n"/>
      <c r="F787" s="34" t="n"/>
      <c r="G787" s="34" t="n"/>
      <c r="H787" s="34" t="n"/>
      <c r="I787" s="34" t="n"/>
      <c r="J787" s="34" t="n"/>
      <c r="K787" s="34" t="n"/>
      <c r="L787" s="34" t="n"/>
      <c r="M787" s="36" t="n"/>
      <c r="N787" s="36" t="n"/>
      <c r="O787" s="41" t="n"/>
      <c r="P787" s="27">
        <f>IF($B787="","",IFERROR(TRIM(LEFT($B787,FIND(" - ",$B787)-1)),"Others"))</f>
        <v/>
      </c>
      <c r="Q787" s="39">
        <f>IF($A787="","",SUM($F787:$H787))</f>
        <v/>
      </c>
      <c r="R787" s="39">
        <f>IF($A787="","",SUM($I787:$K787))</f>
        <v/>
      </c>
      <c r="S787" s="39">
        <f>IF($A787="","",($L787+$R787)-$Q787)</f>
        <v/>
      </c>
      <c r="T787" s="31">
        <f>IF(OR($A787="",$Q787=0),"",$S787/$Q787)</f>
        <v/>
      </c>
      <c r="U787" s="27">
        <f>IF($A787="","",IF($L787&gt;0,"Live","Exited"))</f>
        <v/>
      </c>
      <c r="V787" s="40">
        <f>IF($A787="","",IF($A787='Client Report'!$C$4,COUNTIFS($A$6:$A787,'Client Report'!$C$4),""))</f>
        <v/>
      </c>
    </row>
    <row r="788">
      <c r="A788" s="11" t="n"/>
      <c r="B788" s="11" t="n"/>
      <c r="C788" s="11" t="n"/>
      <c r="D788" s="11" t="n"/>
      <c r="E788" s="12" t="n"/>
      <c r="F788" s="34" t="n"/>
      <c r="G788" s="34" t="n"/>
      <c r="H788" s="34" t="n"/>
      <c r="I788" s="34" t="n"/>
      <c r="J788" s="34" t="n"/>
      <c r="K788" s="34" t="n"/>
      <c r="L788" s="34" t="n"/>
      <c r="M788" s="36" t="n"/>
      <c r="N788" s="36" t="n"/>
      <c r="O788" s="41" t="n"/>
      <c r="P788" s="27">
        <f>IF($B788="","",IFERROR(TRIM(LEFT($B788,FIND(" - ",$B788)-1)),"Others"))</f>
        <v/>
      </c>
      <c r="Q788" s="39">
        <f>IF($A788="","",SUM($F788:$H788))</f>
        <v/>
      </c>
      <c r="R788" s="39">
        <f>IF($A788="","",SUM($I788:$K788))</f>
        <v/>
      </c>
      <c r="S788" s="39">
        <f>IF($A788="","",($L788+$R788)-$Q788)</f>
        <v/>
      </c>
      <c r="T788" s="31">
        <f>IF(OR($A788="",$Q788=0),"",$S788/$Q788)</f>
        <v/>
      </c>
      <c r="U788" s="27">
        <f>IF($A788="","",IF($L788&gt;0,"Live","Exited"))</f>
        <v/>
      </c>
      <c r="V788" s="40">
        <f>IF($A788="","",IF($A788='Client Report'!$C$4,COUNTIFS($A$6:$A788,'Client Report'!$C$4),""))</f>
        <v/>
      </c>
    </row>
    <row r="789">
      <c r="A789" s="11" t="n"/>
      <c r="B789" s="11" t="n"/>
      <c r="C789" s="11" t="n"/>
      <c r="D789" s="11" t="n"/>
      <c r="E789" s="12" t="n"/>
      <c r="F789" s="34" t="n"/>
      <c r="G789" s="34" t="n"/>
      <c r="H789" s="34" t="n"/>
      <c r="I789" s="34" t="n"/>
      <c r="J789" s="34" t="n"/>
      <c r="K789" s="34" t="n"/>
      <c r="L789" s="34" t="n"/>
      <c r="M789" s="36" t="n"/>
      <c r="N789" s="36" t="n"/>
      <c r="O789" s="41" t="n"/>
      <c r="P789" s="27">
        <f>IF($B789="","",IFERROR(TRIM(LEFT($B789,FIND(" - ",$B789)-1)),"Others"))</f>
        <v/>
      </c>
      <c r="Q789" s="39">
        <f>IF($A789="","",SUM($F789:$H789))</f>
        <v/>
      </c>
      <c r="R789" s="39">
        <f>IF($A789="","",SUM($I789:$K789))</f>
        <v/>
      </c>
      <c r="S789" s="39">
        <f>IF($A789="","",($L789+$R789)-$Q789)</f>
        <v/>
      </c>
      <c r="T789" s="31">
        <f>IF(OR($A789="",$Q789=0),"",$S789/$Q789)</f>
        <v/>
      </c>
      <c r="U789" s="27">
        <f>IF($A789="","",IF($L789&gt;0,"Live","Exited"))</f>
        <v/>
      </c>
      <c r="V789" s="40">
        <f>IF($A789="","",IF($A789='Client Report'!$C$4,COUNTIFS($A$6:$A789,'Client Report'!$C$4),""))</f>
        <v/>
      </c>
    </row>
    <row r="790">
      <c r="A790" s="11" t="n"/>
      <c r="B790" s="11" t="n"/>
      <c r="C790" s="11" t="n"/>
      <c r="D790" s="11" t="n"/>
      <c r="E790" s="12" t="n"/>
      <c r="F790" s="34" t="n"/>
      <c r="G790" s="34" t="n"/>
      <c r="H790" s="34" t="n"/>
      <c r="I790" s="34" t="n"/>
      <c r="J790" s="34" t="n"/>
      <c r="K790" s="34" t="n"/>
      <c r="L790" s="34" t="n"/>
      <c r="M790" s="36" t="n"/>
      <c r="N790" s="36" t="n"/>
      <c r="O790" s="41" t="n"/>
      <c r="P790" s="27">
        <f>IF($B790="","",IFERROR(TRIM(LEFT($B790,FIND(" - ",$B790)-1)),"Others"))</f>
        <v/>
      </c>
      <c r="Q790" s="39">
        <f>IF($A790="","",SUM($F790:$H790))</f>
        <v/>
      </c>
      <c r="R790" s="39">
        <f>IF($A790="","",SUM($I790:$K790))</f>
        <v/>
      </c>
      <c r="S790" s="39">
        <f>IF($A790="","",($L790+$R790)-$Q790)</f>
        <v/>
      </c>
      <c r="T790" s="31">
        <f>IF(OR($A790="",$Q790=0),"",$S790/$Q790)</f>
        <v/>
      </c>
      <c r="U790" s="27">
        <f>IF($A790="","",IF($L790&gt;0,"Live","Exited"))</f>
        <v/>
      </c>
      <c r="V790" s="40">
        <f>IF($A790="","",IF($A790='Client Report'!$C$4,COUNTIFS($A$6:$A790,'Client Report'!$C$4),""))</f>
        <v/>
      </c>
    </row>
    <row r="791">
      <c r="A791" s="11" t="n"/>
      <c r="B791" s="11" t="n"/>
      <c r="C791" s="11" t="n"/>
      <c r="D791" s="11" t="n"/>
      <c r="E791" s="12" t="n"/>
      <c r="F791" s="34" t="n"/>
      <c r="G791" s="34" t="n"/>
      <c r="H791" s="34" t="n"/>
      <c r="I791" s="34" t="n"/>
      <c r="J791" s="34" t="n"/>
      <c r="K791" s="34" t="n"/>
      <c r="L791" s="34" t="n"/>
      <c r="M791" s="36" t="n"/>
      <c r="N791" s="36" t="n"/>
      <c r="O791" s="41" t="n"/>
      <c r="P791" s="27">
        <f>IF($B791="","",IFERROR(TRIM(LEFT($B791,FIND(" - ",$B791)-1)),"Others"))</f>
        <v/>
      </c>
      <c r="Q791" s="39">
        <f>IF($A791="","",SUM($F791:$H791))</f>
        <v/>
      </c>
      <c r="R791" s="39">
        <f>IF($A791="","",SUM($I791:$K791))</f>
        <v/>
      </c>
      <c r="S791" s="39">
        <f>IF($A791="","",($L791+$R791)-$Q791)</f>
        <v/>
      </c>
      <c r="T791" s="31">
        <f>IF(OR($A791="",$Q791=0),"",$S791/$Q791)</f>
        <v/>
      </c>
      <c r="U791" s="27">
        <f>IF($A791="","",IF($L791&gt;0,"Live","Exited"))</f>
        <v/>
      </c>
      <c r="V791" s="40">
        <f>IF($A791="","",IF($A791='Client Report'!$C$4,COUNTIFS($A$6:$A791,'Client Report'!$C$4),""))</f>
        <v/>
      </c>
    </row>
    <row r="792">
      <c r="A792" s="11" t="n"/>
      <c r="B792" s="11" t="n"/>
      <c r="C792" s="11" t="n"/>
      <c r="D792" s="11" t="n"/>
      <c r="E792" s="12" t="n"/>
      <c r="F792" s="34" t="n"/>
      <c r="G792" s="34" t="n"/>
      <c r="H792" s="34" t="n"/>
      <c r="I792" s="34" t="n"/>
      <c r="J792" s="34" t="n"/>
      <c r="K792" s="34" t="n"/>
      <c r="L792" s="34" t="n"/>
      <c r="M792" s="36" t="n"/>
      <c r="N792" s="36" t="n"/>
      <c r="O792" s="41" t="n"/>
      <c r="P792" s="27">
        <f>IF($B792="","",IFERROR(TRIM(LEFT($B792,FIND(" - ",$B792)-1)),"Others"))</f>
        <v/>
      </c>
      <c r="Q792" s="39">
        <f>IF($A792="","",SUM($F792:$H792))</f>
        <v/>
      </c>
      <c r="R792" s="39">
        <f>IF($A792="","",SUM($I792:$K792))</f>
        <v/>
      </c>
      <c r="S792" s="39">
        <f>IF($A792="","",($L792+$R792)-$Q792)</f>
        <v/>
      </c>
      <c r="T792" s="31">
        <f>IF(OR($A792="",$Q792=0),"",$S792/$Q792)</f>
        <v/>
      </c>
      <c r="U792" s="27">
        <f>IF($A792="","",IF($L792&gt;0,"Live","Exited"))</f>
        <v/>
      </c>
      <c r="V792" s="40">
        <f>IF($A792="","",IF($A792='Client Report'!$C$4,COUNTIFS($A$6:$A792,'Client Report'!$C$4),""))</f>
        <v/>
      </c>
    </row>
    <row r="793">
      <c r="A793" s="11" t="n"/>
      <c r="B793" s="11" t="n"/>
      <c r="C793" s="11" t="n"/>
      <c r="D793" s="11" t="n"/>
      <c r="E793" s="12" t="n"/>
      <c r="F793" s="34" t="n"/>
      <c r="G793" s="34" t="n"/>
      <c r="H793" s="34" t="n"/>
      <c r="I793" s="34" t="n"/>
      <c r="J793" s="34" t="n"/>
      <c r="K793" s="34" t="n"/>
      <c r="L793" s="34" t="n"/>
      <c r="M793" s="36" t="n"/>
      <c r="N793" s="36" t="n"/>
      <c r="O793" s="41" t="n"/>
      <c r="P793" s="27">
        <f>IF($B793="","",IFERROR(TRIM(LEFT($B793,FIND(" - ",$B793)-1)),"Others"))</f>
        <v/>
      </c>
      <c r="Q793" s="39">
        <f>IF($A793="","",SUM($F793:$H793))</f>
        <v/>
      </c>
      <c r="R793" s="39">
        <f>IF($A793="","",SUM($I793:$K793))</f>
        <v/>
      </c>
      <c r="S793" s="39">
        <f>IF($A793="","",($L793+$R793)-$Q793)</f>
        <v/>
      </c>
      <c r="T793" s="31">
        <f>IF(OR($A793="",$Q793=0),"",$S793/$Q793)</f>
        <v/>
      </c>
      <c r="U793" s="27">
        <f>IF($A793="","",IF($L793&gt;0,"Live","Exited"))</f>
        <v/>
      </c>
      <c r="V793" s="40">
        <f>IF($A793="","",IF($A793='Client Report'!$C$4,COUNTIFS($A$6:$A793,'Client Report'!$C$4),""))</f>
        <v/>
      </c>
    </row>
    <row r="794">
      <c r="A794" s="11" t="n"/>
      <c r="B794" s="11" t="n"/>
      <c r="C794" s="11" t="n"/>
      <c r="D794" s="11" t="n"/>
      <c r="E794" s="12" t="n"/>
      <c r="F794" s="34" t="n"/>
      <c r="G794" s="34" t="n"/>
      <c r="H794" s="34" t="n"/>
      <c r="I794" s="34" t="n"/>
      <c r="J794" s="34" t="n"/>
      <c r="K794" s="34" t="n"/>
      <c r="L794" s="34" t="n"/>
      <c r="M794" s="36" t="n"/>
      <c r="N794" s="36" t="n"/>
      <c r="O794" s="41" t="n"/>
      <c r="P794" s="27">
        <f>IF($B794="","",IFERROR(TRIM(LEFT($B794,FIND(" - ",$B794)-1)),"Others"))</f>
        <v/>
      </c>
      <c r="Q794" s="39">
        <f>IF($A794="","",SUM($F794:$H794))</f>
        <v/>
      </c>
      <c r="R794" s="39">
        <f>IF($A794="","",SUM($I794:$K794))</f>
        <v/>
      </c>
      <c r="S794" s="39">
        <f>IF($A794="","",($L794+$R794)-$Q794)</f>
        <v/>
      </c>
      <c r="T794" s="31">
        <f>IF(OR($A794="",$Q794=0),"",$S794/$Q794)</f>
        <v/>
      </c>
      <c r="U794" s="27">
        <f>IF($A794="","",IF($L794&gt;0,"Live","Exited"))</f>
        <v/>
      </c>
      <c r="V794" s="40">
        <f>IF($A794="","",IF($A794='Client Report'!$C$4,COUNTIFS($A$6:$A794,'Client Report'!$C$4),""))</f>
        <v/>
      </c>
    </row>
    <row r="795">
      <c r="A795" s="11" t="n"/>
      <c r="B795" s="11" t="n"/>
      <c r="C795" s="11" t="n"/>
      <c r="D795" s="11" t="n"/>
      <c r="E795" s="12" t="n"/>
      <c r="F795" s="34" t="n"/>
      <c r="G795" s="34" t="n"/>
      <c r="H795" s="34" t="n"/>
      <c r="I795" s="34" t="n"/>
      <c r="J795" s="34" t="n"/>
      <c r="K795" s="34" t="n"/>
      <c r="L795" s="34" t="n"/>
      <c r="M795" s="36" t="n"/>
      <c r="N795" s="36" t="n"/>
      <c r="O795" s="41" t="n"/>
      <c r="P795" s="27">
        <f>IF($B795="","",IFERROR(TRIM(LEFT($B795,FIND(" - ",$B795)-1)),"Others"))</f>
        <v/>
      </c>
      <c r="Q795" s="39">
        <f>IF($A795="","",SUM($F795:$H795))</f>
        <v/>
      </c>
      <c r="R795" s="39">
        <f>IF($A795="","",SUM($I795:$K795))</f>
        <v/>
      </c>
      <c r="S795" s="39">
        <f>IF($A795="","",($L795+$R795)-$Q795)</f>
        <v/>
      </c>
      <c r="T795" s="31">
        <f>IF(OR($A795="",$Q795=0),"",$S795/$Q795)</f>
        <v/>
      </c>
      <c r="U795" s="27">
        <f>IF($A795="","",IF($L795&gt;0,"Live","Exited"))</f>
        <v/>
      </c>
      <c r="V795" s="40">
        <f>IF($A795="","",IF($A795='Client Report'!$C$4,COUNTIFS($A$6:$A795,'Client Report'!$C$4),""))</f>
        <v/>
      </c>
    </row>
    <row r="796">
      <c r="A796" s="11" t="n"/>
      <c r="B796" s="11" t="n"/>
      <c r="C796" s="11" t="n"/>
      <c r="D796" s="11" t="n"/>
      <c r="E796" s="12" t="n"/>
      <c r="F796" s="34" t="n"/>
      <c r="G796" s="34" t="n"/>
      <c r="H796" s="34" t="n"/>
      <c r="I796" s="34" t="n"/>
      <c r="J796" s="34" t="n"/>
      <c r="K796" s="34" t="n"/>
      <c r="L796" s="34" t="n"/>
      <c r="M796" s="36" t="n"/>
      <c r="N796" s="36" t="n"/>
      <c r="O796" s="41" t="n"/>
      <c r="P796" s="27">
        <f>IF($B796="","",IFERROR(TRIM(LEFT($B796,FIND(" - ",$B796)-1)),"Others"))</f>
        <v/>
      </c>
      <c r="Q796" s="39">
        <f>IF($A796="","",SUM($F796:$H796))</f>
        <v/>
      </c>
      <c r="R796" s="39">
        <f>IF($A796="","",SUM($I796:$K796))</f>
        <v/>
      </c>
      <c r="S796" s="39">
        <f>IF($A796="","",($L796+$R796)-$Q796)</f>
        <v/>
      </c>
      <c r="T796" s="31">
        <f>IF(OR($A796="",$Q796=0),"",$S796/$Q796)</f>
        <v/>
      </c>
      <c r="U796" s="27">
        <f>IF($A796="","",IF($L796&gt;0,"Live","Exited"))</f>
        <v/>
      </c>
      <c r="V796" s="40">
        <f>IF($A796="","",IF($A796='Client Report'!$C$4,COUNTIFS($A$6:$A796,'Client Report'!$C$4),""))</f>
        <v/>
      </c>
    </row>
    <row r="797">
      <c r="A797" s="11" t="n"/>
      <c r="B797" s="11" t="n"/>
      <c r="C797" s="11" t="n"/>
      <c r="D797" s="11" t="n"/>
      <c r="E797" s="12" t="n"/>
      <c r="F797" s="34" t="n"/>
      <c r="G797" s="34" t="n"/>
      <c r="H797" s="34" t="n"/>
      <c r="I797" s="34" t="n"/>
      <c r="J797" s="34" t="n"/>
      <c r="K797" s="34" t="n"/>
      <c r="L797" s="34" t="n"/>
      <c r="M797" s="36" t="n"/>
      <c r="N797" s="36" t="n"/>
      <c r="O797" s="41" t="n"/>
      <c r="P797" s="27">
        <f>IF($B797="","",IFERROR(TRIM(LEFT($B797,FIND(" - ",$B797)-1)),"Others"))</f>
        <v/>
      </c>
      <c r="Q797" s="39">
        <f>IF($A797="","",SUM($F797:$H797))</f>
        <v/>
      </c>
      <c r="R797" s="39">
        <f>IF($A797="","",SUM($I797:$K797))</f>
        <v/>
      </c>
      <c r="S797" s="39">
        <f>IF($A797="","",($L797+$R797)-$Q797)</f>
        <v/>
      </c>
      <c r="T797" s="31">
        <f>IF(OR($A797="",$Q797=0),"",$S797/$Q797)</f>
        <v/>
      </c>
      <c r="U797" s="27">
        <f>IF($A797="","",IF($L797&gt;0,"Live","Exited"))</f>
        <v/>
      </c>
      <c r="V797" s="40">
        <f>IF($A797="","",IF($A797='Client Report'!$C$4,COUNTIFS($A$6:$A797,'Client Report'!$C$4),""))</f>
        <v/>
      </c>
    </row>
    <row r="798">
      <c r="A798" s="11" t="n"/>
      <c r="B798" s="11" t="n"/>
      <c r="C798" s="11" t="n"/>
      <c r="D798" s="11" t="n"/>
      <c r="E798" s="12" t="n"/>
      <c r="F798" s="34" t="n"/>
      <c r="G798" s="34" t="n"/>
      <c r="H798" s="34" t="n"/>
      <c r="I798" s="34" t="n"/>
      <c r="J798" s="34" t="n"/>
      <c r="K798" s="34" t="n"/>
      <c r="L798" s="34" t="n"/>
      <c r="M798" s="36" t="n"/>
      <c r="N798" s="36" t="n"/>
      <c r="O798" s="41" t="n"/>
      <c r="P798" s="27">
        <f>IF($B798="","",IFERROR(TRIM(LEFT($B798,FIND(" - ",$B798)-1)),"Others"))</f>
        <v/>
      </c>
      <c r="Q798" s="39">
        <f>IF($A798="","",SUM($F798:$H798))</f>
        <v/>
      </c>
      <c r="R798" s="39">
        <f>IF($A798="","",SUM($I798:$K798))</f>
        <v/>
      </c>
      <c r="S798" s="39">
        <f>IF($A798="","",($L798+$R798)-$Q798)</f>
        <v/>
      </c>
      <c r="T798" s="31">
        <f>IF(OR($A798="",$Q798=0),"",$S798/$Q798)</f>
        <v/>
      </c>
      <c r="U798" s="27">
        <f>IF($A798="","",IF($L798&gt;0,"Live","Exited"))</f>
        <v/>
      </c>
      <c r="V798" s="40">
        <f>IF($A798="","",IF($A798='Client Report'!$C$4,COUNTIFS($A$6:$A798,'Client Report'!$C$4),""))</f>
        <v/>
      </c>
    </row>
    <row r="799">
      <c r="A799" s="11" t="n"/>
      <c r="B799" s="11" t="n"/>
      <c r="C799" s="11" t="n"/>
      <c r="D799" s="11" t="n"/>
      <c r="E799" s="12" t="n"/>
      <c r="F799" s="34" t="n"/>
      <c r="G799" s="34" t="n"/>
      <c r="H799" s="34" t="n"/>
      <c r="I799" s="34" t="n"/>
      <c r="J799" s="34" t="n"/>
      <c r="K799" s="34" t="n"/>
      <c r="L799" s="34" t="n"/>
      <c r="M799" s="36" t="n"/>
      <c r="N799" s="36" t="n"/>
      <c r="O799" s="41" t="n"/>
      <c r="P799" s="27">
        <f>IF($B799="","",IFERROR(TRIM(LEFT($B799,FIND(" - ",$B799)-1)),"Others"))</f>
        <v/>
      </c>
      <c r="Q799" s="39">
        <f>IF($A799="","",SUM($F799:$H799))</f>
        <v/>
      </c>
      <c r="R799" s="39">
        <f>IF($A799="","",SUM($I799:$K799))</f>
        <v/>
      </c>
      <c r="S799" s="39">
        <f>IF($A799="","",($L799+$R799)-$Q799)</f>
        <v/>
      </c>
      <c r="T799" s="31">
        <f>IF(OR($A799="",$Q799=0),"",$S799/$Q799)</f>
        <v/>
      </c>
      <c r="U799" s="27">
        <f>IF($A799="","",IF($L799&gt;0,"Live","Exited"))</f>
        <v/>
      </c>
      <c r="V799" s="40">
        <f>IF($A799="","",IF($A799='Client Report'!$C$4,COUNTIFS($A$6:$A799,'Client Report'!$C$4),""))</f>
        <v/>
      </c>
    </row>
    <row r="800">
      <c r="A800" s="11" t="n"/>
      <c r="B800" s="11" t="n"/>
      <c r="C800" s="11" t="n"/>
      <c r="D800" s="11" t="n"/>
      <c r="E800" s="12" t="n"/>
      <c r="F800" s="34" t="n"/>
      <c r="G800" s="34" t="n"/>
      <c r="H800" s="34" t="n"/>
      <c r="I800" s="34" t="n"/>
      <c r="J800" s="34" t="n"/>
      <c r="K800" s="34" t="n"/>
      <c r="L800" s="34" t="n"/>
      <c r="M800" s="36" t="n"/>
      <c r="N800" s="36" t="n"/>
      <c r="O800" s="41" t="n"/>
      <c r="P800" s="27">
        <f>IF($B800="","",IFERROR(TRIM(LEFT($B800,FIND(" - ",$B800)-1)),"Others"))</f>
        <v/>
      </c>
      <c r="Q800" s="39">
        <f>IF($A800="","",SUM($F800:$H800))</f>
        <v/>
      </c>
      <c r="R800" s="39">
        <f>IF($A800="","",SUM($I800:$K800))</f>
        <v/>
      </c>
      <c r="S800" s="39">
        <f>IF($A800="","",($L800+$R800)-$Q800)</f>
        <v/>
      </c>
      <c r="T800" s="31">
        <f>IF(OR($A800="",$Q800=0),"",$S800/$Q800)</f>
        <v/>
      </c>
      <c r="U800" s="27">
        <f>IF($A800="","",IF($L800&gt;0,"Live","Exited"))</f>
        <v/>
      </c>
      <c r="V800" s="40">
        <f>IF($A800="","",IF($A800='Client Report'!$C$4,COUNTIFS($A$6:$A800,'Client Report'!$C$4),""))</f>
        <v/>
      </c>
    </row>
    <row r="801">
      <c r="A801" s="11" t="n"/>
      <c r="B801" s="11" t="n"/>
      <c r="C801" s="11" t="n"/>
      <c r="D801" s="11" t="n"/>
      <c r="E801" s="12" t="n"/>
      <c r="F801" s="34" t="n"/>
      <c r="G801" s="34" t="n"/>
      <c r="H801" s="34" t="n"/>
      <c r="I801" s="34" t="n"/>
      <c r="J801" s="34" t="n"/>
      <c r="K801" s="34" t="n"/>
      <c r="L801" s="34" t="n"/>
      <c r="M801" s="36" t="n"/>
      <c r="N801" s="36" t="n"/>
      <c r="O801" s="41" t="n"/>
      <c r="P801" s="27">
        <f>IF($B801="","",IFERROR(TRIM(LEFT($B801,FIND(" - ",$B801)-1)),"Others"))</f>
        <v/>
      </c>
      <c r="Q801" s="39">
        <f>IF($A801="","",SUM($F801:$H801))</f>
        <v/>
      </c>
      <c r="R801" s="39">
        <f>IF($A801="","",SUM($I801:$K801))</f>
        <v/>
      </c>
      <c r="S801" s="39">
        <f>IF($A801="","",($L801+$R801)-$Q801)</f>
        <v/>
      </c>
      <c r="T801" s="31">
        <f>IF(OR($A801="",$Q801=0),"",$S801/$Q801)</f>
        <v/>
      </c>
      <c r="U801" s="27">
        <f>IF($A801="","",IF($L801&gt;0,"Live","Exited"))</f>
        <v/>
      </c>
      <c r="V801" s="40">
        <f>IF($A801="","",IF($A801='Client Report'!$C$4,COUNTIFS($A$6:$A801,'Client Report'!$C$4),""))</f>
        <v/>
      </c>
    </row>
    <row r="802">
      <c r="A802" s="11" t="n"/>
      <c r="B802" s="11" t="n"/>
      <c r="C802" s="11" t="n"/>
      <c r="D802" s="11" t="n"/>
      <c r="E802" s="12" t="n"/>
      <c r="F802" s="34" t="n"/>
      <c r="G802" s="34" t="n"/>
      <c r="H802" s="34" t="n"/>
      <c r="I802" s="34" t="n"/>
      <c r="J802" s="34" t="n"/>
      <c r="K802" s="34" t="n"/>
      <c r="L802" s="34" t="n"/>
      <c r="M802" s="36" t="n"/>
      <c r="N802" s="36" t="n"/>
      <c r="O802" s="41" t="n"/>
      <c r="P802" s="27">
        <f>IF($B802="","",IFERROR(TRIM(LEFT($B802,FIND(" - ",$B802)-1)),"Others"))</f>
        <v/>
      </c>
      <c r="Q802" s="39">
        <f>IF($A802="","",SUM($F802:$H802))</f>
        <v/>
      </c>
      <c r="R802" s="39">
        <f>IF($A802="","",SUM($I802:$K802))</f>
        <v/>
      </c>
      <c r="S802" s="39">
        <f>IF($A802="","",($L802+$R802)-$Q802)</f>
        <v/>
      </c>
      <c r="T802" s="31">
        <f>IF(OR($A802="",$Q802=0),"",$S802/$Q802)</f>
        <v/>
      </c>
      <c r="U802" s="27">
        <f>IF($A802="","",IF($L802&gt;0,"Live","Exited"))</f>
        <v/>
      </c>
      <c r="V802" s="40">
        <f>IF($A802="","",IF($A802='Client Report'!$C$4,COUNTIFS($A$6:$A802,'Client Report'!$C$4),""))</f>
        <v/>
      </c>
    </row>
    <row r="803">
      <c r="A803" s="11" t="n"/>
      <c r="B803" s="11" t="n"/>
      <c r="C803" s="11" t="n"/>
      <c r="D803" s="11" t="n"/>
      <c r="E803" s="12" t="n"/>
      <c r="F803" s="34" t="n"/>
      <c r="G803" s="34" t="n"/>
      <c r="H803" s="34" t="n"/>
      <c r="I803" s="34" t="n"/>
      <c r="J803" s="34" t="n"/>
      <c r="K803" s="34" t="n"/>
      <c r="L803" s="34" t="n"/>
      <c r="M803" s="36" t="n"/>
      <c r="N803" s="36" t="n"/>
      <c r="O803" s="41" t="n"/>
      <c r="P803" s="27">
        <f>IF($B803="","",IFERROR(TRIM(LEFT($B803,FIND(" - ",$B803)-1)),"Others"))</f>
        <v/>
      </c>
      <c r="Q803" s="39">
        <f>IF($A803="","",SUM($F803:$H803))</f>
        <v/>
      </c>
      <c r="R803" s="39">
        <f>IF($A803="","",SUM($I803:$K803))</f>
        <v/>
      </c>
      <c r="S803" s="39">
        <f>IF($A803="","",($L803+$R803)-$Q803)</f>
        <v/>
      </c>
      <c r="T803" s="31">
        <f>IF(OR($A803="",$Q803=0),"",$S803/$Q803)</f>
        <v/>
      </c>
      <c r="U803" s="27">
        <f>IF($A803="","",IF($L803&gt;0,"Live","Exited"))</f>
        <v/>
      </c>
      <c r="V803" s="40">
        <f>IF($A803="","",IF($A803='Client Report'!$C$4,COUNTIFS($A$6:$A803,'Client Report'!$C$4),""))</f>
        <v/>
      </c>
    </row>
    <row r="804">
      <c r="A804" s="11" t="n"/>
      <c r="B804" s="11" t="n"/>
      <c r="C804" s="11" t="n"/>
      <c r="D804" s="11" t="n"/>
      <c r="E804" s="12" t="n"/>
      <c r="F804" s="34" t="n"/>
      <c r="G804" s="34" t="n"/>
      <c r="H804" s="34" t="n"/>
      <c r="I804" s="34" t="n"/>
      <c r="J804" s="34" t="n"/>
      <c r="K804" s="34" t="n"/>
      <c r="L804" s="34" t="n"/>
      <c r="M804" s="36" t="n"/>
      <c r="N804" s="36" t="n"/>
      <c r="O804" s="41" t="n"/>
      <c r="P804" s="27">
        <f>IF($B804="","",IFERROR(TRIM(LEFT($B804,FIND(" - ",$B804)-1)),"Others"))</f>
        <v/>
      </c>
      <c r="Q804" s="39">
        <f>IF($A804="","",SUM($F804:$H804))</f>
        <v/>
      </c>
      <c r="R804" s="39">
        <f>IF($A804="","",SUM($I804:$K804))</f>
        <v/>
      </c>
      <c r="S804" s="39">
        <f>IF($A804="","",($L804+$R804)-$Q804)</f>
        <v/>
      </c>
      <c r="T804" s="31">
        <f>IF(OR($A804="",$Q804=0),"",$S804/$Q804)</f>
        <v/>
      </c>
      <c r="U804" s="27">
        <f>IF($A804="","",IF($L804&gt;0,"Live","Exited"))</f>
        <v/>
      </c>
      <c r="V804" s="40">
        <f>IF($A804="","",IF($A804='Client Report'!$C$4,COUNTIFS($A$6:$A804,'Client Report'!$C$4),""))</f>
        <v/>
      </c>
    </row>
    <row r="805">
      <c r="A805" s="11" t="n"/>
      <c r="B805" s="11" t="n"/>
      <c r="C805" s="11" t="n"/>
      <c r="D805" s="11" t="n"/>
      <c r="E805" s="12" t="n"/>
      <c r="F805" s="34" t="n"/>
      <c r="G805" s="34" t="n"/>
      <c r="H805" s="34" t="n"/>
      <c r="I805" s="34" t="n"/>
      <c r="J805" s="34" t="n"/>
      <c r="K805" s="34" t="n"/>
      <c r="L805" s="34" t="n"/>
      <c r="M805" s="36" t="n"/>
      <c r="N805" s="36" t="n"/>
      <c r="O805" s="41" t="n"/>
      <c r="P805" s="27">
        <f>IF($B805="","",IFERROR(TRIM(LEFT($B805,FIND(" - ",$B805)-1)),"Others"))</f>
        <v/>
      </c>
      <c r="Q805" s="39">
        <f>IF($A805="","",SUM($F805:$H805))</f>
        <v/>
      </c>
      <c r="R805" s="39">
        <f>IF($A805="","",SUM($I805:$K805))</f>
        <v/>
      </c>
      <c r="S805" s="39">
        <f>IF($A805="","",($L805+$R805)-$Q805)</f>
        <v/>
      </c>
      <c r="T805" s="31">
        <f>IF(OR($A805="",$Q805=0),"",$S805/$Q805)</f>
        <v/>
      </c>
      <c r="U805" s="27">
        <f>IF($A805="","",IF($L805&gt;0,"Live","Exited"))</f>
        <v/>
      </c>
      <c r="V805" s="40">
        <f>IF($A805="","",IF($A805='Client Report'!$C$4,COUNTIFS($A$6:$A805,'Client Report'!$C$4),""))</f>
        <v/>
      </c>
    </row>
    <row r="806">
      <c r="A806" s="11" t="n"/>
      <c r="B806" s="11" t="n"/>
      <c r="C806" s="11" t="n"/>
      <c r="D806" s="11" t="n"/>
      <c r="E806" s="12" t="n"/>
      <c r="F806" s="34" t="n"/>
      <c r="G806" s="34" t="n"/>
      <c r="H806" s="34" t="n"/>
      <c r="I806" s="34" t="n"/>
      <c r="J806" s="34" t="n"/>
      <c r="K806" s="34" t="n"/>
      <c r="L806" s="34" t="n"/>
      <c r="M806" s="36" t="n"/>
      <c r="N806" s="36" t="n"/>
      <c r="O806" s="41" t="n"/>
      <c r="P806" s="27">
        <f>IF($B806="","",IFERROR(TRIM(LEFT($B806,FIND(" - ",$B806)-1)),"Others"))</f>
        <v/>
      </c>
      <c r="Q806" s="39">
        <f>IF($A806="","",SUM($F806:$H806))</f>
        <v/>
      </c>
      <c r="R806" s="39">
        <f>IF($A806="","",SUM($I806:$K806))</f>
        <v/>
      </c>
      <c r="S806" s="39">
        <f>IF($A806="","",($L806+$R806)-$Q806)</f>
        <v/>
      </c>
      <c r="T806" s="31">
        <f>IF(OR($A806="",$Q806=0),"",$S806/$Q806)</f>
        <v/>
      </c>
      <c r="U806" s="27">
        <f>IF($A806="","",IF($L806&gt;0,"Live","Exited"))</f>
        <v/>
      </c>
      <c r="V806" s="40">
        <f>IF($A806="","",IF($A806='Client Report'!$C$4,COUNTIFS($A$6:$A806,'Client Report'!$C$4),""))</f>
        <v/>
      </c>
    </row>
    <row r="807">
      <c r="A807" s="11" t="n"/>
      <c r="B807" s="11" t="n"/>
      <c r="C807" s="11" t="n"/>
      <c r="D807" s="11" t="n"/>
      <c r="E807" s="12" t="n"/>
      <c r="F807" s="34" t="n"/>
      <c r="G807" s="34" t="n"/>
      <c r="H807" s="34" t="n"/>
      <c r="I807" s="34" t="n"/>
      <c r="J807" s="34" t="n"/>
      <c r="K807" s="34" t="n"/>
      <c r="L807" s="34" t="n"/>
      <c r="M807" s="36" t="n"/>
      <c r="N807" s="36" t="n"/>
      <c r="O807" s="41" t="n"/>
      <c r="P807" s="27">
        <f>IF($B807="","",IFERROR(TRIM(LEFT($B807,FIND(" - ",$B807)-1)),"Others"))</f>
        <v/>
      </c>
      <c r="Q807" s="39">
        <f>IF($A807="","",SUM($F807:$H807))</f>
        <v/>
      </c>
      <c r="R807" s="39">
        <f>IF($A807="","",SUM($I807:$K807))</f>
        <v/>
      </c>
      <c r="S807" s="39">
        <f>IF($A807="","",($L807+$R807)-$Q807)</f>
        <v/>
      </c>
      <c r="T807" s="31">
        <f>IF(OR($A807="",$Q807=0),"",$S807/$Q807)</f>
        <v/>
      </c>
      <c r="U807" s="27">
        <f>IF($A807="","",IF($L807&gt;0,"Live","Exited"))</f>
        <v/>
      </c>
      <c r="V807" s="40">
        <f>IF($A807="","",IF($A807='Client Report'!$C$4,COUNTIFS($A$6:$A807,'Client Report'!$C$4),""))</f>
        <v/>
      </c>
    </row>
    <row r="808">
      <c r="A808" s="11" t="n"/>
      <c r="B808" s="11" t="n"/>
      <c r="C808" s="11" t="n"/>
      <c r="D808" s="11" t="n"/>
      <c r="E808" s="12" t="n"/>
      <c r="F808" s="34" t="n"/>
      <c r="G808" s="34" t="n"/>
      <c r="H808" s="34" t="n"/>
      <c r="I808" s="34" t="n"/>
      <c r="J808" s="34" t="n"/>
      <c r="K808" s="34" t="n"/>
      <c r="L808" s="34" t="n"/>
      <c r="M808" s="36" t="n"/>
      <c r="N808" s="36" t="n"/>
      <c r="O808" s="41" t="n"/>
      <c r="P808" s="27">
        <f>IF($B808="","",IFERROR(TRIM(LEFT($B808,FIND(" - ",$B808)-1)),"Others"))</f>
        <v/>
      </c>
      <c r="Q808" s="39">
        <f>IF($A808="","",SUM($F808:$H808))</f>
        <v/>
      </c>
      <c r="R808" s="39">
        <f>IF($A808="","",SUM($I808:$K808))</f>
        <v/>
      </c>
      <c r="S808" s="39">
        <f>IF($A808="","",($L808+$R808)-$Q808)</f>
        <v/>
      </c>
      <c r="T808" s="31">
        <f>IF(OR($A808="",$Q808=0),"",$S808/$Q808)</f>
        <v/>
      </c>
      <c r="U808" s="27">
        <f>IF($A808="","",IF($L808&gt;0,"Live","Exited"))</f>
        <v/>
      </c>
      <c r="V808" s="40">
        <f>IF($A808="","",IF($A808='Client Report'!$C$4,COUNTIFS($A$6:$A808,'Client Report'!$C$4),""))</f>
        <v/>
      </c>
    </row>
    <row r="809">
      <c r="A809" s="11" t="n"/>
      <c r="B809" s="11" t="n"/>
      <c r="C809" s="11" t="n"/>
      <c r="D809" s="11" t="n"/>
      <c r="E809" s="12" t="n"/>
      <c r="F809" s="34" t="n"/>
      <c r="G809" s="34" t="n"/>
      <c r="H809" s="34" t="n"/>
      <c r="I809" s="34" t="n"/>
      <c r="J809" s="34" t="n"/>
      <c r="K809" s="34" t="n"/>
      <c r="L809" s="34" t="n"/>
      <c r="M809" s="36" t="n"/>
      <c r="N809" s="36" t="n"/>
      <c r="O809" s="41" t="n"/>
      <c r="P809" s="27">
        <f>IF($B809="","",IFERROR(TRIM(LEFT($B809,FIND(" - ",$B809)-1)),"Others"))</f>
        <v/>
      </c>
      <c r="Q809" s="39">
        <f>IF($A809="","",SUM($F809:$H809))</f>
        <v/>
      </c>
      <c r="R809" s="39">
        <f>IF($A809="","",SUM($I809:$K809))</f>
        <v/>
      </c>
      <c r="S809" s="39">
        <f>IF($A809="","",($L809+$R809)-$Q809)</f>
        <v/>
      </c>
      <c r="T809" s="31">
        <f>IF(OR($A809="",$Q809=0),"",$S809/$Q809)</f>
        <v/>
      </c>
      <c r="U809" s="27">
        <f>IF($A809="","",IF($L809&gt;0,"Live","Exited"))</f>
        <v/>
      </c>
      <c r="V809" s="40">
        <f>IF($A809="","",IF($A809='Client Report'!$C$4,COUNTIFS($A$6:$A809,'Client Report'!$C$4),""))</f>
        <v/>
      </c>
    </row>
    <row r="810">
      <c r="A810" s="11" t="n"/>
      <c r="B810" s="11" t="n"/>
      <c r="C810" s="11" t="n"/>
      <c r="D810" s="11" t="n"/>
      <c r="E810" s="12" t="n"/>
      <c r="F810" s="34" t="n"/>
      <c r="G810" s="34" t="n"/>
      <c r="H810" s="34" t="n"/>
      <c r="I810" s="34" t="n"/>
      <c r="J810" s="34" t="n"/>
      <c r="K810" s="34" t="n"/>
      <c r="L810" s="34" t="n"/>
      <c r="M810" s="36" t="n"/>
      <c r="N810" s="36" t="n"/>
      <c r="O810" s="41" t="n"/>
      <c r="P810" s="27">
        <f>IF($B810="","",IFERROR(TRIM(LEFT($B810,FIND(" - ",$B810)-1)),"Others"))</f>
        <v/>
      </c>
      <c r="Q810" s="39">
        <f>IF($A810="","",SUM($F810:$H810))</f>
        <v/>
      </c>
      <c r="R810" s="39">
        <f>IF($A810="","",SUM($I810:$K810))</f>
        <v/>
      </c>
      <c r="S810" s="39">
        <f>IF($A810="","",($L810+$R810)-$Q810)</f>
        <v/>
      </c>
      <c r="T810" s="31">
        <f>IF(OR($A810="",$Q810=0),"",$S810/$Q810)</f>
        <v/>
      </c>
      <c r="U810" s="27">
        <f>IF($A810="","",IF($L810&gt;0,"Live","Exited"))</f>
        <v/>
      </c>
      <c r="V810" s="40">
        <f>IF($A810="","",IF($A810='Client Report'!$C$4,COUNTIFS($A$6:$A810,'Client Report'!$C$4),""))</f>
        <v/>
      </c>
    </row>
    <row r="811">
      <c r="A811" s="11" t="n"/>
      <c r="B811" s="11" t="n"/>
      <c r="C811" s="11" t="n"/>
      <c r="D811" s="11" t="n"/>
      <c r="E811" s="12" t="n"/>
      <c r="F811" s="34" t="n"/>
      <c r="G811" s="34" t="n"/>
      <c r="H811" s="34" t="n"/>
      <c r="I811" s="34" t="n"/>
      <c r="J811" s="34" t="n"/>
      <c r="K811" s="34" t="n"/>
      <c r="L811" s="34" t="n"/>
      <c r="M811" s="36" t="n"/>
      <c r="N811" s="36" t="n"/>
      <c r="O811" s="41" t="n"/>
      <c r="P811" s="27">
        <f>IF($B811="","",IFERROR(TRIM(LEFT($B811,FIND(" - ",$B811)-1)),"Others"))</f>
        <v/>
      </c>
      <c r="Q811" s="39">
        <f>IF($A811="","",SUM($F811:$H811))</f>
        <v/>
      </c>
      <c r="R811" s="39">
        <f>IF($A811="","",SUM($I811:$K811))</f>
        <v/>
      </c>
      <c r="S811" s="39">
        <f>IF($A811="","",($L811+$R811)-$Q811)</f>
        <v/>
      </c>
      <c r="T811" s="31">
        <f>IF(OR($A811="",$Q811=0),"",$S811/$Q811)</f>
        <v/>
      </c>
      <c r="U811" s="27">
        <f>IF($A811="","",IF($L811&gt;0,"Live","Exited"))</f>
        <v/>
      </c>
      <c r="V811" s="40">
        <f>IF($A811="","",IF($A811='Client Report'!$C$4,COUNTIFS($A$6:$A811,'Client Report'!$C$4),""))</f>
        <v/>
      </c>
    </row>
    <row r="812">
      <c r="A812" s="11" t="n"/>
      <c r="B812" s="11" t="n"/>
      <c r="C812" s="11" t="n"/>
      <c r="D812" s="11" t="n"/>
      <c r="E812" s="12" t="n"/>
      <c r="F812" s="34" t="n"/>
      <c r="G812" s="34" t="n"/>
      <c r="H812" s="34" t="n"/>
      <c r="I812" s="34" t="n"/>
      <c r="J812" s="34" t="n"/>
      <c r="K812" s="34" t="n"/>
      <c r="L812" s="34" t="n"/>
      <c r="M812" s="36" t="n"/>
      <c r="N812" s="36" t="n"/>
      <c r="O812" s="41" t="n"/>
      <c r="P812" s="27">
        <f>IF($B812="","",IFERROR(TRIM(LEFT($B812,FIND(" - ",$B812)-1)),"Others"))</f>
        <v/>
      </c>
      <c r="Q812" s="39">
        <f>IF($A812="","",SUM($F812:$H812))</f>
        <v/>
      </c>
      <c r="R812" s="39">
        <f>IF($A812="","",SUM($I812:$K812))</f>
        <v/>
      </c>
      <c r="S812" s="39">
        <f>IF($A812="","",($L812+$R812)-$Q812)</f>
        <v/>
      </c>
      <c r="T812" s="31">
        <f>IF(OR($A812="",$Q812=0),"",$S812/$Q812)</f>
        <v/>
      </c>
      <c r="U812" s="27">
        <f>IF($A812="","",IF($L812&gt;0,"Live","Exited"))</f>
        <v/>
      </c>
      <c r="V812" s="40">
        <f>IF($A812="","",IF($A812='Client Report'!$C$4,COUNTIFS($A$6:$A812,'Client Report'!$C$4),""))</f>
        <v/>
      </c>
    </row>
    <row r="813">
      <c r="A813" s="11" t="n"/>
      <c r="B813" s="11" t="n"/>
      <c r="C813" s="11" t="n"/>
      <c r="D813" s="11" t="n"/>
      <c r="E813" s="12" t="n"/>
      <c r="F813" s="34" t="n"/>
      <c r="G813" s="34" t="n"/>
      <c r="H813" s="34" t="n"/>
      <c r="I813" s="34" t="n"/>
      <c r="J813" s="34" t="n"/>
      <c r="K813" s="34" t="n"/>
      <c r="L813" s="34" t="n"/>
      <c r="M813" s="36" t="n"/>
      <c r="N813" s="36" t="n"/>
      <c r="O813" s="41" t="n"/>
      <c r="P813" s="27">
        <f>IF($B813="","",IFERROR(TRIM(LEFT($B813,FIND(" - ",$B813)-1)),"Others"))</f>
        <v/>
      </c>
      <c r="Q813" s="39">
        <f>IF($A813="","",SUM($F813:$H813))</f>
        <v/>
      </c>
      <c r="R813" s="39">
        <f>IF($A813="","",SUM($I813:$K813))</f>
        <v/>
      </c>
      <c r="S813" s="39">
        <f>IF($A813="","",($L813+$R813)-$Q813)</f>
        <v/>
      </c>
      <c r="T813" s="31">
        <f>IF(OR($A813="",$Q813=0),"",$S813/$Q813)</f>
        <v/>
      </c>
      <c r="U813" s="27">
        <f>IF($A813="","",IF($L813&gt;0,"Live","Exited"))</f>
        <v/>
      </c>
      <c r="V813" s="40">
        <f>IF($A813="","",IF($A813='Client Report'!$C$4,COUNTIFS($A$6:$A813,'Client Report'!$C$4),""))</f>
        <v/>
      </c>
    </row>
    <row r="814">
      <c r="A814" s="11" t="n"/>
      <c r="B814" s="11" t="n"/>
      <c r="C814" s="11" t="n"/>
      <c r="D814" s="11" t="n"/>
      <c r="E814" s="12" t="n"/>
      <c r="F814" s="34" t="n"/>
      <c r="G814" s="34" t="n"/>
      <c r="H814" s="34" t="n"/>
      <c r="I814" s="34" t="n"/>
      <c r="J814" s="34" t="n"/>
      <c r="K814" s="34" t="n"/>
      <c r="L814" s="34" t="n"/>
      <c r="M814" s="36" t="n"/>
      <c r="N814" s="36" t="n"/>
      <c r="O814" s="41" t="n"/>
      <c r="P814" s="27">
        <f>IF($B814="","",IFERROR(TRIM(LEFT($B814,FIND(" - ",$B814)-1)),"Others"))</f>
        <v/>
      </c>
      <c r="Q814" s="39">
        <f>IF($A814="","",SUM($F814:$H814))</f>
        <v/>
      </c>
      <c r="R814" s="39">
        <f>IF($A814="","",SUM($I814:$K814))</f>
        <v/>
      </c>
      <c r="S814" s="39">
        <f>IF($A814="","",($L814+$R814)-$Q814)</f>
        <v/>
      </c>
      <c r="T814" s="31">
        <f>IF(OR($A814="",$Q814=0),"",$S814/$Q814)</f>
        <v/>
      </c>
      <c r="U814" s="27">
        <f>IF($A814="","",IF($L814&gt;0,"Live","Exited"))</f>
        <v/>
      </c>
      <c r="V814" s="40">
        <f>IF($A814="","",IF($A814='Client Report'!$C$4,COUNTIFS($A$6:$A814,'Client Report'!$C$4),""))</f>
        <v/>
      </c>
    </row>
    <row r="815">
      <c r="A815" s="11" t="n"/>
      <c r="B815" s="11" t="n"/>
      <c r="C815" s="11" t="n"/>
      <c r="D815" s="11" t="n"/>
      <c r="E815" s="12" t="n"/>
      <c r="F815" s="34" t="n"/>
      <c r="G815" s="34" t="n"/>
      <c r="H815" s="34" t="n"/>
      <c r="I815" s="34" t="n"/>
      <c r="J815" s="34" t="n"/>
      <c r="K815" s="34" t="n"/>
      <c r="L815" s="34" t="n"/>
      <c r="M815" s="36" t="n"/>
      <c r="N815" s="36" t="n"/>
      <c r="O815" s="41" t="n"/>
      <c r="P815" s="27">
        <f>IF($B815="","",IFERROR(TRIM(LEFT($B815,FIND(" - ",$B815)-1)),"Others"))</f>
        <v/>
      </c>
      <c r="Q815" s="39">
        <f>IF($A815="","",SUM($F815:$H815))</f>
        <v/>
      </c>
      <c r="R815" s="39">
        <f>IF($A815="","",SUM($I815:$K815))</f>
        <v/>
      </c>
      <c r="S815" s="39">
        <f>IF($A815="","",($L815+$R815)-$Q815)</f>
        <v/>
      </c>
      <c r="T815" s="31">
        <f>IF(OR($A815="",$Q815=0),"",$S815/$Q815)</f>
        <v/>
      </c>
      <c r="U815" s="27">
        <f>IF($A815="","",IF($L815&gt;0,"Live","Exited"))</f>
        <v/>
      </c>
      <c r="V815" s="40">
        <f>IF($A815="","",IF($A815='Client Report'!$C$4,COUNTIFS($A$6:$A815,'Client Report'!$C$4),""))</f>
        <v/>
      </c>
    </row>
    <row r="816">
      <c r="A816" s="11" t="n"/>
      <c r="B816" s="11" t="n"/>
      <c r="C816" s="11" t="n"/>
      <c r="D816" s="11" t="n"/>
      <c r="E816" s="12" t="n"/>
      <c r="F816" s="34" t="n"/>
      <c r="G816" s="34" t="n"/>
      <c r="H816" s="34" t="n"/>
      <c r="I816" s="34" t="n"/>
      <c r="J816" s="34" t="n"/>
      <c r="K816" s="34" t="n"/>
      <c r="L816" s="34" t="n"/>
      <c r="M816" s="36" t="n"/>
      <c r="N816" s="36" t="n"/>
      <c r="O816" s="41" t="n"/>
      <c r="P816" s="27">
        <f>IF($B816="","",IFERROR(TRIM(LEFT($B816,FIND(" - ",$B816)-1)),"Others"))</f>
        <v/>
      </c>
      <c r="Q816" s="39">
        <f>IF($A816="","",SUM($F816:$H816))</f>
        <v/>
      </c>
      <c r="R816" s="39">
        <f>IF($A816="","",SUM($I816:$K816))</f>
        <v/>
      </c>
      <c r="S816" s="39">
        <f>IF($A816="","",($L816+$R816)-$Q816)</f>
        <v/>
      </c>
      <c r="T816" s="31">
        <f>IF(OR($A816="",$Q816=0),"",$S816/$Q816)</f>
        <v/>
      </c>
      <c r="U816" s="27">
        <f>IF($A816="","",IF($L816&gt;0,"Live","Exited"))</f>
        <v/>
      </c>
      <c r="V816" s="40">
        <f>IF($A816="","",IF($A816='Client Report'!$C$4,COUNTIFS($A$6:$A816,'Client Report'!$C$4),""))</f>
        <v/>
      </c>
    </row>
    <row r="817">
      <c r="A817" s="11" t="n"/>
      <c r="B817" s="11" t="n"/>
      <c r="C817" s="11" t="n"/>
      <c r="D817" s="11" t="n"/>
      <c r="E817" s="12" t="n"/>
      <c r="F817" s="34" t="n"/>
      <c r="G817" s="34" t="n"/>
      <c r="H817" s="34" t="n"/>
      <c r="I817" s="34" t="n"/>
      <c r="J817" s="34" t="n"/>
      <c r="K817" s="34" t="n"/>
      <c r="L817" s="34" t="n"/>
      <c r="M817" s="36" t="n"/>
      <c r="N817" s="36" t="n"/>
      <c r="O817" s="41" t="n"/>
      <c r="P817" s="27">
        <f>IF($B817="","",IFERROR(TRIM(LEFT($B817,FIND(" - ",$B817)-1)),"Others"))</f>
        <v/>
      </c>
      <c r="Q817" s="39">
        <f>IF($A817="","",SUM($F817:$H817))</f>
        <v/>
      </c>
      <c r="R817" s="39">
        <f>IF($A817="","",SUM($I817:$K817))</f>
        <v/>
      </c>
      <c r="S817" s="39">
        <f>IF($A817="","",($L817+$R817)-$Q817)</f>
        <v/>
      </c>
      <c r="T817" s="31">
        <f>IF(OR($A817="",$Q817=0),"",$S817/$Q817)</f>
        <v/>
      </c>
      <c r="U817" s="27">
        <f>IF($A817="","",IF($L817&gt;0,"Live","Exited"))</f>
        <v/>
      </c>
      <c r="V817" s="40">
        <f>IF($A817="","",IF($A817='Client Report'!$C$4,COUNTIFS($A$6:$A817,'Client Report'!$C$4),""))</f>
        <v/>
      </c>
    </row>
    <row r="818">
      <c r="A818" s="11" t="n"/>
      <c r="B818" s="11" t="n"/>
      <c r="C818" s="11" t="n"/>
      <c r="D818" s="11" t="n"/>
      <c r="E818" s="12" t="n"/>
      <c r="F818" s="34" t="n"/>
      <c r="G818" s="34" t="n"/>
      <c r="H818" s="34" t="n"/>
      <c r="I818" s="34" t="n"/>
      <c r="J818" s="34" t="n"/>
      <c r="K818" s="34" t="n"/>
      <c r="L818" s="34" t="n"/>
      <c r="M818" s="36" t="n"/>
      <c r="N818" s="36" t="n"/>
      <c r="O818" s="41" t="n"/>
      <c r="P818" s="27">
        <f>IF($B818="","",IFERROR(TRIM(LEFT($B818,FIND(" - ",$B818)-1)),"Others"))</f>
        <v/>
      </c>
      <c r="Q818" s="39">
        <f>IF($A818="","",SUM($F818:$H818))</f>
        <v/>
      </c>
      <c r="R818" s="39">
        <f>IF($A818="","",SUM($I818:$K818))</f>
        <v/>
      </c>
      <c r="S818" s="39">
        <f>IF($A818="","",($L818+$R818)-$Q818)</f>
        <v/>
      </c>
      <c r="T818" s="31">
        <f>IF(OR($A818="",$Q818=0),"",$S818/$Q818)</f>
        <v/>
      </c>
      <c r="U818" s="27">
        <f>IF($A818="","",IF($L818&gt;0,"Live","Exited"))</f>
        <v/>
      </c>
      <c r="V818" s="40">
        <f>IF($A818="","",IF($A818='Client Report'!$C$4,COUNTIFS($A$6:$A818,'Client Report'!$C$4),""))</f>
        <v/>
      </c>
    </row>
    <row r="819">
      <c r="A819" s="11" t="n"/>
      <c r="B819" s="11" t="n"/>
      <c r="C819" s="11" t="n"/>
      <c r="D819" s="11" t="n"/>
      <c r="E819" s="12" t="n"/>
      <c r="F819" s="34" t="n"/>
      <c r="G819" s="34" t="n"/>
      <c r="H819" s="34" t="n"/>
      <c r="I819" s="34" t="n"/>
      <c r="J819" s="34" t="n"/>
      <c r="K819" s="34" t="n"/>
      <c r="L819" s="34" t="n"/>
      <c r="M819" s="36" t="n"/>
      <c r="N819" s="36" t="n"/>
      <c r="O819" s="41" t="n"/>
      <c r="P819" s="27">
        <f>IF($B819="","",IFERROR(TRIM(LEFT($B819,FIND(" - ",$B819)-1)),"Others"))</f>
        <v/>
      </c>
      <c r="Q819" s="39">
        <f>IF($A819="","",SUM($F819:$H819))</f>
        <v/>
      </c>
      <c r="R819" s="39">
        <f>IF($A819="","",SUM($I819:$K819))</f>
        <v/>
      </c>
      <c r="S819" s="39">
        <f>IF($A819="","",($L819+$R819)-$Q819)</f>
        <v/>
      </c>
      <c r="T819" s="31">
        <f>IF(OR($A819="",$Q819=0),"",$S819/$Q819)</f>
        <v/>
      </c>
      <c r="U819" s="27">
        <f>IF($A819="","",IF($L819&gt;0,"Live","Exited"))</f>
        <v/>
      </c>
      <c r="V819" s="40">
        <f>IF($A819="","",IF($A819='Client Report'!$C$4,COUNTIFS($A$6:$A819,'Client Report'!$C$4),""))</f>
        <v/>
      </c>
    </row>
    <row r="820">
      <c r="A820" s="11" t="n"/>
      <c r="B820" s="11" t="n"/>
      <c r="C820" s="11" t="n"/>
      <c r="D820" s="11" t="n"/>
      <c r="E820" s="12" t="n"/>
      <c r="F820" s="34" t="n"/>
      <c r="G820" s="34" t="n"/>
      <c r="H820" s="34" t="n"/>
      <c r="I820" s="34" t="n"/>
      <c r="J820" s="34" t="n"/>
      <c r="K820" s="34" t="n"/>
      <c r="L820" s="34" t="n"/>
      <c r="M820" s="36" t="n"/>
      <c r="N820" s="36" t="n"/>
      <c r="O820" s="41" t="n"/>
      <c r="P820" s="27">
        <f>IF($B820="","",IFERROR(TRIM(LEFT($B820,FIND(" - ",$B820)-1)),"Others"))</f>
        <v/>
      </c>
      <c r="Q820" s="39">
        <f>IF($A820="","",SUM($F820:$H820))</f>
        <v/>
      </c>
      <c r="R820" s="39">
        <f>IF($A820="","",SUM($I820:$K820))</f>
        <v/>
      </c>
      <c r="S820" s="39">
        <f>IF($A820="","",($L820+$R820)-$Q820)</f>
        <v/>
      </c>
      <c r="T820" s="31">
        <f>IF(OR($A820="",$Q820=0),"",$S820/$Q820)</f>
        <v/>
      </c>
      <c r="U820" s="27">
        <f>IF($A820="","",IF($L820&gt;0,"Live","Exited"))</f>
        <v/>
      </c>
      <c r="V820" s="40">
        <f>IF($A820="","",IF($A820='Client Report'!$C$4,COUNTIFS($A$6:$A820,'Client Report'!$C$4),""))</f>
        <v/>
      </c>
    </row>
    <row r="821">
      <c r="A821" s="11" t="n"/>
      <c r="B821" s="11" t="n"/>
      <c r="C821" s="11" t="n"/>
      <c r="D821" s="11" t="n"/>
      <c r="E821" s="12" t="n"/>
      <c r="F821" s="34" t="n"/>
      <c r="G821" s="34" t="n"/>
      <c r="H821" s="34" t="n"/>
      <c r="I821" s="34" t="n"/>
      <c r="J821" s="34" t="n"/>
      <c r="K821" s="34" t="n"/>
      <c r="L821" s="34" t="n"/>
      <c r="M821" s="36" t="n"/>
      <c r="N821" s="36" t="n"/>
      <c r="O821" s="41" t="n"/>
      <c r="P821" s="27">
        <f>IF($B821="","",IFERROR(TRIM(LEFT($B821,FIND(" - ",$B821)-1)),"Others"))</f>
        <v/>
      </c>
      <c r="Q821" s="39">
        <f>IF($A821="","",SUM($F821:$H821))</f>
        <v/>
      </c>
      <c r="R821" s="39">
        <f>IF($A821="","",SUM($I821:$K821))</f>
        <v/>
      </c>
      <c r="S821" s="39">
        <f>IF($A821="","",($L821+$R821)-$Q821)</f>
        <v/>
      </c>
      <c r="T821" s="31">
        <f>IF(OR($A821="",$Q821=0),"",$S821/$Q821)</f>
        <v/>
      </c>
      <c r="U821" s="27">
        <f>IF($A821="","",IF($L821&gt;0,"Live","Exited"))</f>
        <v/>
      </c>
      <c r="V821" s="40">
        <f>IF($A821="","",IF($A821='Client Report'!$C$4,COUNTIFS($A$6:$A821,'Client Report'!$C$4),""))</f>
        <v/>
      </c>
    </row>
    <row r="822">
      <c r="A822" s="11" t="n"/>
      <c r="B822" s="11" t="n"/>
      <c r="C822" s="11" t="n"/>
      <c r="D822" s="11" t="n"/>
      <c r="E822" s="12" t="n"/>
      <c r="F822" s="34" t="n"/>
      <c r="G822" s="34" t="n"/>
      <c r="H822" s="34" t="n"/>
      <c r="I822" s="34" t="n"/>
      <c r="J822" s="34" t="n"/>
      <c r="K822" s="34" t="n"/>
      <c r="L822" s="34" t="n"/>
      <c r="M822" s="36" t="n"/>
      <c r="N822" s="36" t="n"/>
      <c r="O822" s="41" t="n"/>
      <c r="P822" s="27">
        <f>IF($B822="","",IFERROR(TRIM(LEFT($B822,FIND(" - ",$B822)-1)),"Others"))</f>
        <v/>
      </c>
      <c r="Q822" s="39">
        <f>IF($A822="","",SUM($F822:$H822))</f>
        <v/>
      </c>
      <c r="R822" s="39">
        <f>IF($A822="","",SUM($I822:$K822))</f>
        <v/>
      </c>
      <c r="S822" s="39">
        <f>IF($A822="","",($L822+$R822)-$Q822)</f>
        <v/>
      </c>
      <c r="T822" s="31">
        <f>IF(OR($A822="",$Q822=0),"",$S822/$Q822)</f>
        <v/>
      </c>
      <c r="U822" s="27">
        <f>IF($A822="","",IF($L822&gt;0,"Live","Exited"))</f>
        <v/>
      </c>
      <c r="V822" s="40">
        <f>IF($A822="","",IF($A822='Client Report'!$C$4,COUNTIFS($A$6:$A822,'Client Report'!$C$4),""))</f>
        <v/>
      </c>
    </row>
    <row r="823">
      <c r="A823" s="11" t="n"/>
      <c r="B823" s="11" t="n"/>
      <c r="C823" s="11" t="n"/>
      <c r="D823" s="11" t="n"/>
      <c r="E823" s="12" t="n"/>
      <c r="F823" s="34" t="n"/>
      <c r="G823" s="34" t="n"/>
      <c r="H823" s="34" t="n"/>
      <c r="I823" s="34" t="n"/>
      <c r="J823" s="34" t="n"/>
      <c r="K823" s="34" t="n"/>
      <c r="L823" s="34" t="n"/>
      <c r="M823" s="36" t="n"/>
      <c r="N823" s="36" t="n"/>
      <c r="O823" s="41" t="n"/>
      <c r="P823" s="27">
        <f>IF($B823="","",IFERROR(TRIM(LEFT($B823,FIND(" - ",$B823)-1)),"Others"))</f>
        <v/>
      </c>
      <c r="Q823" s="39">
        <f>IF($A823="","",SUM($F823:$H823))</f>
        <v/>
      </c>
      <c r="R823" s="39">
        <f>IF($A823="","",SUM($I823:$K823))</f>
        <v/>
      </c>
      <c r="S823" s="39">
        <f>IF($A823="","",($L823+$R823)-$Q823)</f>
        <v/>
      </c>
      <c r="T823" s="31">
        <f>IF(OR($A823="",$Q823=0),"",$S823/$Q823)</f>
        <v/>
      </c>
      <c r="U823" s="27">
        <f>IF($A823="","",IF($L823&gt;0,"Live","Exited"))</f>
        <v/>
      </c>
      <c r="V823" s="40">
        <f>IF($A823="","",IF($A823='Client Report'!$C$4,COUNTIFS($A$6:$A823,'Client Report'!$C$4),""))</f>
        <v/>
      </c>
    </row>
    <row r="824">
      <c r="A824" s="11" t="n"/>
      <c r="B824" s="11" t="n"/>
      <c r="C824" s="11" t="n"/>
      <c r="D824" s="11" t="n"/>
      <c r="E824" s="12" t="n"/>
      <c r="F824" s="34" t="n"/>
      <c r="G824" s="34" t="n"/>
      <c r="H824" s="34" t="n"/>
      <c r="I824" s="34" t="n"/>
      <c r="J824" s="34" t="n"/>
      <c r="K824" s="34" t="n"/>
      <c r="L824" s="34" t="n"/>
      <c r="M824" s="36" t="n"/>
      <c r="N824" s="36" t="n"/>
      <c r="O824" s="41" t="n"/>
      <c r="P824" s="27">
        <f>IF($B824="","",IFERROR(TRIM(LEFT($B824,FIND(" - ",$B824)-1)),"Others"))</f>
        <v/>
      </c>
      <c r="Q824" s="39">
        <f>IF($A824="","",SUM($F824:$H824))</f>
        <v/>
      </c>
      <c r="R824" s="39">
        <f>IF($A824="","",SUM($I824:$K824))</f>
        <v/>
      </c>
      <c r="S824" s="39">
        <f>IF($A824="","",($L824+$R824)-$Q824)</f>
        <v/>
      </c>
      <c r="T824" s="31">
        <f>IF(OR($A824="",$Q824=0),"",$S824/$Q824)</f>
        <v/>
      </c>
      <c r="U824" s="27">
        <f>IF($A824="","",IF($L824&gt;0,"Live","Exited"))</f>
        <v/>
      </c>
      <c r="V824" s="40">
        <f>IF($A824="","",IF($A824='Client Report'!$C$4,COUNTIFS($A$6:$A824,'Client Report'!$C$4),""))</f>
        <v/>
      </c>
    </row>
    <row r="825">
      <c r="A825" s="11" t="n"/>
      <c r="B825" s="11" t="n"/>
      <c r="C825" s="11" t="n"/>
      <c r="D825" s="11" t="n"/>
      <c r="E825" s="12" t="n"/>
      <c r="F825" s="34" t="n"/>
      <c r="G825" s="34" t="n"/>
      <c r="H825" s="34" t="n"/>
      <c r="I825" s="34" t="n"/>
      <c r="J825" s="34" t="n"/>
      <c r="K825" s="34" t="n"/>
      <c r="L825" s="34" t="n"/>
      <c r="M825" s="36" t="n"/>
      <c r="N825" s="36" t="n"/>
      <c r="O825" s="41" t="n"/>
      <c r="P825" s="27">
        <f>IF($B825="","",IFERROR(TRIM(LEFT($B825,FIND(" - ",$B825)-1)),"Others"))</f>
        <v/>
      </c>
      <c r="Q825" s="39">
        <f>IF($A825="","",SUM($F825:$H825))</f>
        <v/>
      </c>
      <c r="R825" s="39">
        <f>IF($A825="","",SUM($I825:$K825))</f>
        <v/>
      </c>
      <c r="S825" s="39">
        <f>IF($A825="","",($L825+$R825)-$Q825)</f>
        <v/>
      </c>
      <c r="T825" s="31">
        <f>IF(OR($A825="",$Q825=0),"",$S825/$Q825)</f>
        <v/>
      </c>
      <c r="U825" s="27">
        <f>IF($A825="","",IF($L825&gt;0,"Live","Exited"))</f>
        <v/>
      </c>
      <c r="V825" s="40">
        <f>IF($A825="","",IF($A825='Client Report'!$C$4,COUNTIFS($A$6:$A825,'Client Report'!$C$4),""))</f>
        <v/>
      </c>
    </row>
    <row r="826">
      <c r="A826" s="11" t="n"/>
      <c r="B826" s="11" t="n"/>
      <c r="C826" s="11" t="n"/>
      <c r="D826" s="11" t="n"/>
      <c r="E826" s="12" t="n"/>
      <c r="F826" s="34" t="n"/>
      <c r="G826" s="34" t="n"/>
      <c r="H826" s="34" t="n"/>
      <c r="I826" s="34" t="n"/>
      <c r="J826" s="34" t="n"/>
      <c r="K826" s="34" t="n"/>
      <c r="L826" s="34" t="n"/>
      <c r="M826" s="36" t="n"/>
      <c r="N826" s="36" t="n"/>
      <c r="O826" s="41" t="n"/>
      <c r="P826" s="27">
        <f>IF($B826="","",IFERROR(TRIM(LEFT($B826,FIND(" - ",$B826)-1)),"Others"))</f>
        <v/>
      </c>
      <c r="Q826" s="39">
        <f>IF($A826="","",SUM($F826:$H826))</f>
        <v/>
      </c>
      <c r="R826" s="39">
        <f>IF($A826="","",SUM($I826:$K826))</f>
        <v/>
      </c>
      <c r="S826" s="39">
        <f>IF($A826="","",($L826+$R826)-$Q826)</f>
        <v/>
      </c>
      <c r="T826" s="31">
        <f>IF(OR($A826="",$Q826=0),"",$S826/$Q826)</f>
        <v/>
      </c>
      <c r="U826" s="27">
        <f>IF($A826="","",IF($L826&gt;0,"Live","Exited"))</f>
        <v/>
      </c>
      <c r="V826" s="40">
        <f>IF($A826="","",IF($A826='Client Report'!$C$4,COUNTIFS($A$6:$A826,'Client Report'!$C$4),""))</f>
        <v/>
      </c>
    </row>
    <row r="827">
      <c r="A827" s="11" t="n"/>
      <c r="B827" s="11" t="n"/>
      <c r="C827" s="11" t="n"/>
      <c r="D827" s="11" t="n"/>
      <c r="E827" s="12" t="n"/>
      <c r="F827" s="34" t="n"/>
      <c r="G827" s="34" t="n"/>
      <c r="H827" s="34" t="n"/>
      <c r="I827" s="34" t="n"/>
      <c r="J827" s="34" t="n"/>
      <c r="K827" s="34" t="n"/>
      <c r="L827" s="34" t="n"/>
      <c r="M827" s="36" t="n"/>
      <c r="N827" s="36" t="n"/>
      <c r="O827" s="41" t="n"/>
      <c r="P827" s="27">
        <f>IF($B827="","",IFERROR(TRIM(LEFT($B827,FIND(" - ",$B827)-1)),"Others"))</f>
        <v/>
      </c>
      <c r="Q827" s="39">
        <f>IF($A827="","",SUM($F827:$H827))</f>
        <v/>
      </c>
      <c r="R827" s="39">
        <f>IF($A827="","",SUM($I827:$K827))</f>
        <v/>
      </c>
      <c r="S827" s="39">
        <f>IF($A827="","",($L827+$R827)-$Q827)</f>
        <v/>
      </c>
      <c r="T827" s="31">
        <f>IF(OR($A827="",$Q827=0),"",$S827/$Q827)</f>
        <v/>
      </c>
      <c r="U827" s="27">
        <f>IF($A827="","",IF($L827&gt;0,"Live","Exited"))</f>
        <v/>
      </c>
      <c r="V827" s="40">
        <f>IF($A827="","",IF($A827='Client Report'!$C$4,COUNTIFS($A$6:$A827,'Client Report'!$C$4),""))</f>
        <v/>
      </c>
    </row>
    <row r="828">
      <c r="A828" s="11" t="n"/>
      <c r="B828" s="11" t="n"/>
      <c r="C828" s="11" t="n"/>
      <c r="D828" s="11" t="n"/>
      <c r="E828" s="12" t="n"/>
      <c r="F828" s="34" t="n"/>
      <c r="G828" s="34" t="n"/>
      <c r="H828" s="34" t="n"/>
      <c r="I828" s="34" t="n"/>
      <c r="J828" s="34" t="n"/>
      <c r="K828" s="34" t="n"/>
      <c r="L828" s="34" t="n"/>
      <c r="M828" s="36" t="n"/>
      <c r="N828" s="36" t="n"/>
      <c r="O828" s="41" t="n"/>
      <c r="P828" s="27">
        <f>IF($B828="","",IFERROR(TRIM(LEFT($B828,FIND(" - ",$B828)-1)),"Others"))</f>
        <v/>
      </c>
      <c r="Q828" s="39">
        <f>IF($A828="","",SUM($F828:$H828))</f>
        <v/>
      </c>
      <c r="R828" s="39">
        <f>IF($A828="","",SUM($I828:$K828))</f>
        <v/>
      </c>
      <c r="S828" s="39">
        <f>IF($A828="","",($L828+$R828)-$Q828)</f>
        <v/>
      </c>
      <c r="T828" s="31">
        <f>IF(OR($A828="",$Q828=0),"",$S828/$Q828)</f>
        <v/>
      </c>
      <c r="U828" s="27">
        <f>IF($A828="","",IF($L828&gt;0,"Live","Exited"))</f>
        <v/>
      </c>
      <c r="V828" s="40">
        <f>IF($A828="","",IF($A828='Client Report'!$C$4,COUNTIFS($A$6:$A828,'Client Report'!$C$4),""))</f>
        <v/>
      </c>
    </row>
    <row r="829">
      <c r="A829" s="11" t="n"/>
      <c r="B829" s="11" t="n"/>
      <c r="C829" s="11" t="n"/>
      <c r="D829" s="11" t="n"/>
      <c r="E829" s="12" t="n"/>
      <c r="F829" s="34" t="n"/>
      <c r="G829" s="34" t="n"/>
      <c r="H829" s="34" t="n"/>
      <c r="I829" s="34" t="n"/>
      <c r="J829" s="34" t="n"/>
      <c r="K829" s="34" t="n"/>
      <c r="L829" s="34" t="n"/>
      <c r="M829" s="36" t="n"/>
      <c r="N829" s="36" t="n"/>
      <c r="O829" s="41" t="n"/>
      <c r="P829" s="27">
        <f>IF($B829="","",IFERROR(TRIM(LEFT($B829,FIND(" - ",$B829)-1)),"Others"))</f>
        <v/>
      </c>
      <c r="Q829" s="39">
        <f>IF($A829="","",SUM($F829:$H829))</f>
        <v/>
      </c>
      <c r="R829" s="39">
        <f>IF($A829="","",SUM($I829:$K829))</f>
        <v/>
      </c>
      <c r="S829" s="39">
        <f>IF($A829="","",($L829+$R829)-$Q829)</f>
        <v/>
      </c>
      <c r="T829" s="31">
        <f>IF(OR($A829="",$Q829=0),"",$S829/$Q829)</f>
        <v/>
      </c>
      <c r="U829" s="27">
        <f>IF($A829="","",IF($L829&gt;0,"Live","Exited"))</f>
        <v/>
      </c>
      <c r="V829" s="40">
        <f>IF($A829="","",IF($A829='Client Report'!$C$4,COUNTIFS($A$6:$A829,'Client Report'!$C$4),""))</f>
        <v/>
      </c>
    </row>
    <row r="830">
      <c r="A830" s="11" t="n"/>
      <c r="B830" s="11" t="n"/>
      <c r="C830" s="11" t="n"/>
      <c r="D830" s="11" t="n"/>
      <c r="E830" s="12" t="n"/>
      <c r="F830" s="34" t="n"/>
      <c r="G830" s="34" t="n"/>
      <c r="H830" s="34" t="n"/>
      <c r="I830" s="34" t="n"/>
      <c r="J830" s="34" t="n"/>
      <c r="K830" s="34" t="n"/>
      <c r="L830" s="34" t="n"/>
      <c r="M830" s="36" t="n"/>
      <c r="N830" s="36" t="n"/>
      <c r="O830" s="41" t="n"/>
      <c r="P830" s="27">
        <f>IF($B830="","",IFERROR(TRIM(LEFT($B830,FIND(" - ",$B830)-1)),"Others"))</f>
        <v/>
      </c>
      <c r="Q830" s="39">
        <f>IF($A830="","",SUM($F830:$H830))</f>
        <v/>
      </c>
      <c r="R830" s="39">
        <f>IF($A830="","",SUM($I830:$K830))</f>
        <v/>
      </c>
      <c r="S830" s="39">
        <f>IF($A830="","",($L830+$R830)-$Q830)</f>
        <v/>
      </c>
      <c r="T830" s="31">
        <f>IF(OR($A830="",$Q830=0),"",$S830/$Q830)</f>
        <v/>
      </c>
      <c r="U830" s="27">
        <f>IF($A830="","",IF($L830&gt;0,"Live","Exited"))</f>
        <v/>
      </c>
      <c r="V830" s="40">
        <f>IF($A830="","",IF($A830='Client Report'!$C$4,COUNTIFS($A$6:$A830,'Client Report'!$C$4),""))</f>
        <v/>
      </c>
    </row>
    <row r="831">
      <c r="A831" s="11" t="n"/>
      <c r="B831" s="11" t="n"/>
      <c r="C831" s="11" t="n"/>
      <c r="D831" s="11" t="n"/>
      <c r="E831" s="12" t="n"/>
      <c r="F831" s="34" t="n"/>
      <c r="G831" s="34" t="n"/>
      <c r="H831" s="34" t="n"/>
      <c r="I831" s="34" t="n"/>
      <c r="J831" s="34" t="n"/>
      <c r="K831" s="34" t="n"/>
      <c r="L831" s="34" t="n"/>
      <c r="M831" s="36" t="n"/>
      <c r="N831" s="36" t="n"/>
      <c r="O831" s="41" t="n"/>
      <c r="P831" s="27">
        <f>IF($B831="","",IFERROR(TRIM(LEFT($B831,FIND(" - ",$B831)-1)),"Others"))</f>
        <v/>
      </c>
      <c r="Q831" s="39">
        <f>IF($A831="","",SUM($F831:$H831))</f>
        <v/>
      </c>
      <c r="R831" s="39">
        <f>IF($A831="","",SUM($I831:$K831))</f>
        <v/>
      </c>
      <c r="S831" s="39">
        <f>IF($A831="","",($L831+$R831)-$Q831)</f>
        <v/>
      </c>
      <c r="T831" s="31">
        <f>IF(OR($A831="",$Q831=0),"",$S831/$Q831)</f>
        <v/>
      </c>
      <c r="U831" s="27">
        <f>IF($A831="","",IF($L831&gt;0,"Live","Exited"))</f>
        <v/>
      </c>
      <c r="V831" s="40">
        <f>IF($A831="","",IF($A831='Client Report'!$C$4,COUNTIFS($A$6:$A831,'Client Report'!$C$4),""))</f>
        <v/>
      </c>
    </row>
    <row r="832">
      <c r="A832" s="11" t="n"/>
      <c r="B832" s="11" t="n"/>
      <c r="C832" s="11" t="n"/>
      <c r="D832" s="11" t="n"/>
      <c r="E832" s="12" t="n"/>
      <c r="F832" s="34" t="n"/>
      <c r="G832" s="34" t="n"/>
      <c r="H832" s="34" t="n"/>
      <c r="I832" s="34" t="n"/>
      <c r="J832" s="34" t="n"/>
      <c r="K832" s="34" t="n"/>
      <c r="L832" s="34" t="n"/>
      <c r="M832" s="36" t="n"/>
      <c r="N832" s="36" t="n"/>
      <c r="O832" s="41" t="n"/>
      <c r="P832" s="27">
        <f>IF($B832="","",IFERROR(TRIM(LEFT($B832,FIND(" - ",$B832)-1)),"Others"))</f>
        <v/>
      </c>
      <c r="Q832" s="39">
        <f>IF($A832="","",SUM($F832:$H832))</f>
        <v/>
      </c>
      <c r="R832" s="39">
        <f>IF($A832="","",SUM($I832:$K832))</f>
        <v/>
      </c>
      <c r="S832" s="39">
        <f>IF($A832="","",($L832+$R832)-$Q832)</f>
        <v/>
      </c>
      <c r="T832" s="31">
        <f>IF(OR($A832="",$Q832=0),"",$S832/$Q832)</f>
        <v/>
      </c>
      <c r="U832" s="27">
        <f>IF($A832="","",IF($L832&gt;0,"Live","Exited"))</f>
        <v/>
      </c>
      <c r="V832" s="40">
        <f>IF($A832="","",IF($A832='Client Report'!$C$4,COUNTIFS($A$6:$A832,'Client Report'!$C$4),""))</f>
        <v/>
      </c>
    </row>
    <row r="833">
      <c r="A833" s="11" t="n"/>
      <c r="B833" s="11" t="n"/>
      <c r="C833" s="11" t="n"/>
      <c r="D833" s="11" t="n"/>
      <c r="E833" s="12" t="n"/>
      <c r="F833" s="34" t="n"/>
      <c r="G833" s="34" t="n"/>
      <c r="H833" s="34" t="n"/>
      <c r="I833" s="34" t="n"/>
      <c r="J833" s="34" t="n"/>
      <c r="K833" s="34" t="n"/>
      <c r="L833" s="34" t="n"/>
      <c r="M833" s="36" t="n"/>
      <c r="N833" s="36" t="n"/>
      <c r="O833" s="41" t="n"/>
      <c r="P833" s="27">
        <f>IF($B833="","",IFERROR(TRIM(LEFT($B833,FIND(" - ",$B833)-1)),"Others"))</f>
        <v/>
      </c>
      <c r="Q833" s="39">
        <f>IF($A833="","",SUM($F833:$H833))</f>
        <v/>
      </c>
      <c r="R833" s="39">
        <f>IF($A833="","",SUM($I833:$K833))</f>
        <v/>
      </c>
      <c r="S833" s="39">
        <f>IF($A833="","",($L833+$R833)-$Q833)</f>
        <v/>
      </c>
      <c r="T833" s="31">
        <f>IF(OR($A833="",$Q833=0),"",$S833/$Q833)</f>
        <v/>
      </c>
      <c r="U833" s="27">
        <f>IF($A833="","",IF($L833&gt;0,"Live","Exited"))</f>
        <v/>
      </c>
      <c r="V833" s="40">
        <f>IF($A833="","",IF($A833='Client Report'!$C$4,COUNTIFS($A$6:$A833,'Client Report'!$C$4),""))</f>
        <v/>
      </c>
    </row>
    <row r="834">
      <c r="A834" s="11" t="n"/>
      <c r="B834" s="11" t="n"/>
      <c r="C834" s="11" t="n"/>
      <c r="D834" s="11" t="n"/>
      <c r="E834" s="12" t="n"/>
      <c r="F834" s="34" t="n"/>
      <c r="G834" s="34" t="n"/>
      <c r="H834" s="34" t="n"/>
      <c r="I834" s="34" t="n"/>
      <c r="J834" s="34" t="n"/>
      <c r="K834" s="34" t="n"/>
      <c r="L834" s="34" t="n"/>
      <c r="M834" s="36" t="n"/>
      <c r="N834" s="36" t="n"/>
      <c r="O834" s="41" t="n"/>
      <c r="P834" s="27">
        <f>IF($B834="","",IFERROR(TRIM(LEFT($B834,FIND(" - ",$B834)-1)),"Others"))</f>
        <v/>
      </c>
      <c r="Q834" s="39">
        <f>IF($A834="","",SUM($F834:$H834))</f>
        <v/>
      </c>
      <c r="R834" s="39">
        <f>IF($A834="","",SUM($I834:$K834))</f>
        <v/>
      </c>
      <c r="S834" s="39">
        <f>IF($A834="","",($L834+$R834)-$Q834)</f>
        <v/>
      </c>
      <c r="T834" s="31">
        <f>IF(OR($A834="",$Q834=0),"",$S834/$Q834)</f>
        <v/>
      </c>
      <c r="U834" s="27">
        <f>IF($A834="","",IF($L834&gt;0,"Live","Exited"))</f>
        <v/>
      </c>
      <c r="V834" s="40">
        <f>IF($A834="","",IF($A834='Client Report'!$C$4,COUNTIFS($A$6:$A834,'Client Report'!$C$4),""))</f>
        <v/>
      </c>
    </row>
    <row r="835">
      <c r="A835" s="11" t="n"/>
      <c r="B835" s="11" t="n"/>
      <c r="C835" s="11" t="n"/>
      <c r="D835" s="11" t="n"/>
      <c r="E835" s="12" t="n"/>
      <c r="F835" s="34" t="n"/>
      <c r="G835" s="34" t="n"/>
      <c r="H835" s="34" t="n"/>
      <c r="I835" s="34" t="n"/>
      <c r="J835" s="34" t="n"/>
      <c r="K835" s="34" t="n"/>
      <c r="L835" s="34" t="n"/>
      <c r="M835" s="36" t="n"/>
      <c r="N835" s="36" t="n"/>
      <c r="O835" s="41" t="n"/>
      <c r="P835" s="27">
        <f>IF($B835="","",IFERROR(TRIM(LEFT($B835,FIND(" - ",$B835)-1)),"Others"))</f>
        <v/>
      </c>
      <c r="Q835" s="39">
        <f>IF($A835="","",SUM($F835:$H835))</f>
        <v/>
      </c>
      <c r="R835" s="39">
        <f>IF($A835="","",SUM($I835:$K835))</f>
        <v/>
      </c>
      <c r="S835" s="39">
        <f>IF($A835="","",($L835+$R835)-$Q835)</f>
        <v/>
      </c>
      <c r="T835" s="31">
        <f>IF(OR($A835="",$Q835=0),"",$S835/$Q835)</f>
        <v/>
      </c>
      <c r="U835" s="27">
        <f>IF($A835="","",IF($L835&gt;0,"Live","Exited"))</f>
        <v/>
      </c>
      <c r="V835" s="40">
        <f>IF($A835="","",IF($A835='Client Report'!$C$4,COUNTIFS($A$6:$A835,'Client Report'!$C$4),""))</f>
        <v/>
      </c>
    </row>
    <row r="836">
      <c r="A836" s="11" t="n"/>
      <c r="B836" s="11" t="n"/>
      <c r="C836" s="11" t="n"/>
      <c r="D836" s="11" t="n"/>
      <c r="E836" s="12" t="n"/>
      <c r="F836" s="34" t="n"/>
      <c r="G836" s="34" t="n"/>
      <c r="H836" s="34" t="n"/>
      <c r="I836" s="34" t="n"/>
      <c r="J836" s="34" t="n"/>
      <c r="K836" s="34" t="n"/>
      <c r="L836" s="34" t="n"/>
      <c r="M836" s="36" t="n"/>
      <c r="N836" s="36" t="n"/>
      <c r="O836" s="41" t="n"/>
      <c r="P836" s="27">
        <f>IF($B836="","",IFERROR(TRIM(LEFT($B836,FIND(" - ",$B836)-1)),"Others"))</f>
        <v/>
      </c>
      <c r="Q836" s="39">
        <f>IF($A836="","",SUM($F836:$H836))</f>
        <v/>
      </c>
      <c r="R836" s="39">
        <f>IF($A836="","",SUM($I836:$K836))</f>
        <v/>
      </c>
      <c r="S836" s="39">
        <f>IF($A836="","",($L836+$R836)-$Q836)</f>
        <v/>
      </c>
      <c r="T836" s="31">
        <f>IF(OR($A836="",$Q836=0),"",$S836/$Q836)</f>
        <v/>
      </c>
      <c r="U836" s="27">
        <f>IF($A836="","",IF($L836&gt;0,"Live","Exited"))</f>
        <v/>
      </c>
      <c r="V836" s="40">
        <f>IF($A836="","",IF($A836='Client Report'!$C$4,COUNTIFS($A$6:$A836,'Client Report'!$C$4),""))</f>
        <v/>
      </c>
    </row>
    <row r="837">
      <c r="A837" s="11" t="n"/>
      <c r="B837" s="11" t="n"/>
      <c r="C837" s="11" t="n"/>
      <c r="D837" s="11" t="n"/>
      <c r="E837" s="12" t="n"/>
      <c r="F837" s="34" t="n"/>
      <c r="G837" s="34" t="n"/>
      <c r="H837" s="34" t="n"/>
      <c r="I837" s="34" t="n"/>
      <c r="J837" s="34" t="n"/>
      <c r="K837" s="34" t="n"/>
      <c r="L837" s="34" t="n"/>
      <c r="M837" s="36" t="n"/>
      <c r="N837" s="36" t="n"/>
      <c r="O837" s="41" t="n"/>
      <c r="P837" s="27">
        <f>IF($B837="","",IFERROR(TRIM(LEFT($B837,FIND(" - ",$B837)-1)),"Others"))</f>
        <v/>
      </c>
      <c r="Q837" s="39">
        <f>IF($A837="","",SUM($F837:$H837))</f>
        <v/>
      </c>
      <c r="R837" s="39">
        <f>IF($A837="","",SUM($I837:$K837))</f>
        <v/>
      </c>
      <c r="S837" s="39">
        <f>IF($A837="","",($L837+$R837)-$Q837)</f>
        <v/>
      </c>
      <c r="T837" s="31">
        <f>IF(OR($A837="",$Q837=0),"",$S837/$Q837)</f>
        <v/>
      </c>
      <c r="U837" s="27">
        <f>IF($A837="","",IF($L837&gt;0,"Live","Exited"))</f>
        <v/>
      </c>
      <c r="V837" s="40">
        <f>IF($A837="","",IF($A837='Client Report'!$C$4,COUNTIFS($A$6:$A837,'Client Report'!$C$4),""))</f>
        <v/>
      </c>
    </row>
    <row r="838">
      <c r="A838" s="11" t="n"/>
      <c r="B838" s="11" t="n"/>
      <c r="C838" s="11" t="n"/>
      <c r="D838" s="11" t="n"/>
      <c r="E838" s="12" t="n"/>
      <c r="F838" s="34" t="n"/>
      <c r="G838" s="34" t="n"/>
      <c r="H838" s="34" t="n"/>
      <c r="I838" s="34" t="n"/>
      <c r="J838" s="34" t="n"/>
      <c r="K838" s="34" t="n"/>
      <c r="L838" s="34" t="n"/>
      <c r="M838" s="36" t="n"/>
      <c r="N838" s="36" t="n"/>
      <c r="O838" s="41" t="n"/>
      <c r="P838" s="27">
        <f>IF($B838="","",IFERROR(TRIM(LEFT($B838,FIND(" - ",$B838)-1)),"Others"))</f>
        <v/>
      </c>
      <c r="Q838" s="39">
        <f>IF($A838="","",SUM($F838:$H838))</f>
        <v/>
      </c>
      <c r="R838" s="39">
        <f>IF($A838="","",SUM($I838:$K838))</f>
        <v/>
      </c>
      <c r="S838" s="39">
        <f>IF($A838="","",($L838+$R838)-$Q838)</f>
        <v/>
      </c>
      <c r="T838" s="31">
        <f>IF(OR($A838="",$Q838=0),"",$S838/$Q838)</f>
        <v/>
      </c>
      <c r="U838" s="27">
        <f>IF($A838="","",IF($L838&gt;0,"Live","Exited"))</f>
        <v/>
      </c>
      <c r="V838" s="40">
        <f>IF($A838="","",IF($A838='Client Report'!$C$4,COUNTIFS($A$6:$A838,'Client Report'!$C$4),""))</f>
        <v/>
      </c>
    </row>
    <row r="839">
      <c r="A839" s="11" t="n"/>
      <c r="B839" s="11" t="n"/>
      <c r="C839" s="11" t="n"/>
      <c r="D839" s="11" t="n"/>
      <c r="E839" s="12" t="n"/>
      <c r="F839" s="34" t="n"/>
      <c r="G839" s="34" t="n"/>
      <c r="H839" s="34" t="n"/>
      <c r="I839" s="34" t="n"/>
      <c r="J839" s="34" t="n"/>
      <c r="K839" s="34" t="n"/>
      <c r="L839" s="34" t="n"/>
      <c r="M839" s="36" t="n"/>
      <c r="N839" s="36" t="n"/>
      <c r="O839" s="41" t="n"/>
      <c r="P839" s="27">
        <f>IF($B839="","",IFERROR(TRIM(LEFT($B839,FIND(" - ",$B839)-1)),"Others"))</f>
        <v/>
      </c>
      <c r="Q839" s="39">
        <f>IF($A839="","",SUM($F839:$H839))</f>
        <v/>
      </c>
      <c r="R839" s="39">
        <f>IF($A839="","",SUM($I839:$K839))</f>
        <v/>
      </c>
      <c r="S839" s="39">
        <f>IF($A839="","",($L839+$R839)-$Q839)</f>
        <v/>
      </c>
      <c r="T839" s="31">
        <f>IF(OR($A839="",$Q839=0),"",$S839/$Q839)</f>
        <v/>
      </c>
      <c r="U839" s="27">
        <f>IF($A839="","",IF($L839&gt;0,"Live","Exited"))</f>
        <v/>
      </c>
      <c r="V839" s="40">
        <f>IF($A839="","",IF($A839='Client Report'!$C$4,COUNTIFS($A$6:$A839,'Client Report'!$C$4),""))</f>
        <v/>
      </c>
    </row>
    <row r="840">
      <c r="A840" s="11" t="n"/>
      <c r="B840" s="11" t="n"/>
      <c r="C840" s="11" t="n"/>
      <c r="D840" s="11" t="n"/>
      <c r="E840" s="12" t="n"/>
      <c r="F840" s="34" t="n"/>
      <c r="G840" s="34" t="n"/>
      <c r="H840" s="34" t="n"/>
      <c r="I840" s="34" t="n"/>
      <c r="J840" s="34" t="n"/>
      <c r="K840" s="34" t="n"/>
      <c r="L840" s="34" t="n"/>
      <c r="M840" s="36" t="n"/>
      <c r="N840" s="36" t="n"/>
      <c r="O840" s="41" t="n"/>
      <c r="P840" s="27">
        <f>IF($B840="","",IFERROR(TRIM(LEFT($B840,FIND(" - ",$B840)-1)),"Others"))</f>
        <v/>
      </c>
      <c r="Q840" s="39">
        <f>IF($A840="","",SUM($F840:$H840))</f>
        <v/>
      </c>
      <c r="R840" s="39">
        <f>IF($A840="","",SUM($I840:$K840))</f>
        <v/>
      </c>
      <c r="S840" s="39">
        <f>IF($A840="","",($L840+$R840)-$Q840)</f>
        <v/>
      </c>
      <c r="T840" s="31">
        <f>IF(OR($A840="",$Q840=0),"",$S840/$Q840)</f>
        <v/>
      </c>
      <c r="U840" s="27">
        <f>IF($A840="","",IF($L840&gt;0,"Live","Exited"))</f>
        <v/>
      </c>
      <c r="V840" s="40">
        <f>IF($A840="","",IF($A840='Client Report'!$C$4,COUNTIFS($A$6:$A840,'Client Report'!$C$4),""))</f>
        <v/>
      </c>
    </row>
    <row r="841">
      <c r="A841" s="11" t="n"/>
      <c r="B841" s="11" t="n"/>
      <c r="C841" s="11" t="n"/>
      <c r="D841" s="11" t="n"/>
      <c r="E841" s="12" t="n"/>
      <c r="F841" s="34" t="n"/>
      <c r="G841" s="34" t="n"/>
      <c r="H841" s="34" t="n"/>
      <c r="I841" s="34" t="n"/>
      <c r="J841" s="34" t="n"/>
      <c r="K841" s="34" t="n"/>
      <c r="L841" s="34" t="n"/>
      <c r="M841" s="36" t="n"/>
      <c r="N841" s="36" t="n"/>
      <c r="O841" s="41" t="n"/>
      <c r="P841" s="27">
        <f>IF($B841="","",IFERROR(TRIM(LEFT($B841,FIND(" - ",$B841)-1)),"Others"))</f>
        <v/>
      </c>
      <c r="Q841" s="39">
        <f>IF($A841="","",SUM($F841:$H841))</f>
        <v/>
      </c>
      <c r="R841" s="39">
        <f>IF($A841="","",SUM($I841:$K841))</f>
        <v/>
      </c>
      <c r="S841" s="39">
        <f>IF($A841="","",($L841+$R841)-$Q841)</f>
        <v/>
      </c>
      <c r="T841" s="31">
        <f>IF(OR($A841="",$Q841=0),"",$S841/$Q841)</f>
        <v/>
      </c>
      <c r="U841" s="27">
        <f>IF($A841="","",IF($L841&gt;0,"Live","Exited"))</f>
        <v/>
      </c>
      <c r="V841" s="40">
        <f>IF($A841="","",IF($A841='Client Report'!$C$4,COUNTIFS($A$6:$A841,'Client Report'!$C$4),""))</f>
        <v/>
      </c>
    </row>
    <row r="842">
      <c r="A842" s="11" t="n"/>
      <c r="B842" s="11" t="n"/>
      <c r="C842" s="11" t="n"/>
      <c r="D842" s="11" t="n"/>
      <c r="E842" s="12" t="n"/>
      <c r="F842" s="34" t="n"/>
      <c r="G842" s="34" t="n"/>
      <c r="H842" s="34" t="n"/>
      <c r="I842" s="34" t="n"/>
      <c r="J842" s="34" t="n"/>
      <c r="K842" s="34" t="n"/>
      <c r="L842" s="34" t="n"/>
      <c r="M842" s="36" t="n"/>
      <c r="N842" s="36" t="n"/>
      <c r="O842" s="41" t="n"/>
      <c r="P842" s="27">
        <f>IF($B842="","",IFERROR(TRIM(LEFT($B842,FIND(" - ",$B842)-1)),"Others"))</f>
        <v/>
      </c>
      <c r="Q842" s="39">
        <f>IF($A842="","",SUM($F842:$H842))</f>
        <v/>
      </c>
      <c r="R842" s="39">
        <f>IF($A842="","",SUM($I842:$K842))</f>
        <v/>
      </c>
      <c r="S842" s="39">
        <f>IF($A842="","",($L842+$R842)-$Q842)</f>
        <v/>
      </c>
      <c r="T842" s="31">
        <f>IF(OR($A842="",$Q842=0),"",$S842/$Q842)</f>
        <v/>
      </c>
      <c r="U842" s="27">
        <f>IF($A842="","",IF($L842&gt;0,"Live","Exited"))</f>
        <v/>
      </c>
      <c r="V842" s="40">
        <f>IF($A842="","",IF($A842='Client Report'!$C$4,COUNTIFS($A$6:$A842,'Client Report'!$C$4),""))</f>
        <v/>
      </c>
    </row>
    <row r="843">
      <c r="A843" s="11" t="n"/>
      <c r="B843" s="11" t="n"/>
      <c r="C843" s="11" t="n"/>
      <c r="D843" s="11" t="n"/>
      <c r="E843" s="12" t="n"/>
      <c r="F843" s="34" t="n"/>
      <c r="G843" s="34" t="n"/>
      <c r="H843" s="34" t="n"/>
      <c r="I843" s="34" t="n"/>
      <c r="J843" s="34" t="n"/>
      <c r="K843" s="34" t="n"/>
      <c r="L843" s="34" t="n"/>
      <c r="M843" s="36" t="n"/>
      <c r="N843" s="36" t="n"/>
      <c r="O843" s="41" t="n"/>
      <c r="P843" s="27">
        <f>IF($B843="","",IFERROR(TRIM(LEFT($B843,FIND(" - ",$B843)-1)),"Others"))</f>
        <v/>
      </c>
      <c r="Q843" s="39">
        <f>IF($A843="","",SUM($F843:$H843))</f>
        <v/>
      </c>
      <c r="R843" s="39">
        <f>IF($A843="","",SUM($I843:$K843))</f>
        <v/>
      </c>
      <c r="S843" s="39">
        <f>IF($A843="","",($L843+$R843)-$Q843)</f>
        <v/>
      </c>
      <c r="T843" s="31">
        <f>IF(OR($A843="",$Q843=0),"",$S843/$Q843)</f>
        <v/>
      </c>
      <c r="U843" s="27">
        <f>IF($A843="","",IF($L843&gt;0,"Live","Exited"))</f>
        <v/>
      </c>
      <c r="V843" s="40">
        <f>IF($A843="","",IF($A843='Client Report'!$C$4,COUNTIFS($A$6:$A843,'Client Report'!$C$4),""))</f>
        <v/>
      </c>
    </row>
    <row r="844">
      <c r="A844" s="11" t="n"/>
      <c r="B844" s="11" t="n"/>
      <c r="C844" s="11" t="n"/>
      <c r="D844" s="11" t="n"/>
      <c r="E844" s="12" t="n"/>
      <c r="F844" s="34" t="n"/>
      <c r="G844" s="34" t="n"/>
      <c r="H844" s="34" t="n"/>
      <c r="I844" s="34" t="n"/>
      <c r="J844" s="34" t="n"/>
      <c r="K844" s="34" t="n"/>
      <c r="L844" s="34" t="n"/>
      <c r="M844" s="36" t="n"/>
      <c r="N844" s="36" t="n"/>
      <c r="O844" s="41" t="n"/>
      <c r="P844" s="27">
        <f>IF($B844="","",IFERROR(TRIM(LEFT($B844,FIND(" - ",$B844)-1)),"Others"))</f>
        <v/>
      </c>
      <c r="Q844" s="39">
        <f>IF($A844="","",SUM($F844:$H844))</f>
        <v/>
      </c>
      <c r="R844" s="39">
        <f>IF($A844="","",SUM($I844:$K844))</f>
        <v/>
      </c>
      <c r="S844" s="39">
        <f>IF($A844="","",($L844+$R844)-$Q844)</f>
        <v/>
      </c>
      <c r="T844" s="31">
        <f>IF(OR($A844="",$Q844=0),"",$S844/$Q844)</f>
        <v/>
      </c>
      <c r="U844" s="27">
        <f>IF($A844="","",IF($L844&gt;0,"Live","Exited"))</f>
        <v/>
      </c>
      <c r="V844" s="40">
        <f>IF($A844="","",IF($A844='Client Report'!$C$4,COUNTIFS($A$6:$A844,'Client Report'!$C$4),""))</f>
        <v/>
      </c>
    </row>
    <row r="845">
      <c r="A845" s="11" t="n"/>
      <c r="B845" s="11" t="n"/>
      <c r="C845" s="11" t="n"/>
      <c r="D845" s="11" t="n"/>
      <c r="E845" s="12" t="n"/>
      <c r="F845" s="34" t="n"/>
      <c r="G845" s="34" t="n"/>
      <c r="H845" s="34" t="n"/>
      <c r="I845" s="34" t="n"/>
      <c r="J845" s="34" t="n"/>
      <c r="K845" s="34" t="n"/>
      <c r="L845" s="34" t="n"/>
      <c r="M845" s="36" t="n"/>
      <c r="N845" s="36" t="n"/>
      <c r="O845" s="41" t="n"/>
      <c r="P845" s="27">
        <f>IF($B845="","",IFERROR(TRIM(LEFT($B845,FIND(" - ",$B845)-1)),"Others"))</f>
        <v/>
      </c>
      <c r="Q845" s="39">
        <f>IF($A845="","",SUM($F845:$H845))</f>
        <v/>
      </c>
      <c r="R845" s="39">
        <f>IF($A845="","",SUM($I845:$K845))</f>
        <v/>
      </c>
      <c r="S845" s="39">
        <f>IF($A845="","",($L845+$R845)-$Q845)</f>
        <v/>
      </c>
      <c r="T845" s="31">
        <f>IF(OR($A845="",$Q845=0),"",$S845/$Q845)</f>
        <v/>
      </c>
      <c r="U845" s="27">
        <f>IF($A845="","",IF($L845&gt;0,"Live","Exited"))</f>
        <v/>
      </c>
      <c r="V845" s="40">
        <f>IF($A845="","",IF($A845='Client Report'!$C$4,COUNTIFS($A$6:$A845,'Client Report'!$C$4),""))</f>
        <v/>
      </c>
    </row>
    <row r="846">
      <c r="A846" s="11" t="n"/>
      <c r="B846" s="11" t="n"/>
      <c r="C846" s="11" t="n"/>
      <c r="D846" s="11" t="n"/>
      <c r="E846" s="12" t="n"/>
      <c r="F846" s="34" t="n"/>
      <c r="G846" s="34" t="n"/>
      <c r="H846" s="34" t="n"/>
      <c r="I846" s="34" t="n"/>
      <c r="J846" s="34" t="n"/>
      <c r="K846" s="34" t="n"/>
      <c r="L846" s="34" t="n"/>
      <c r="M846" s="36" t="n"/>
      <c r="N846" s="36" t="n"/>
      <c r="O846" s="41" t="n"/>
      <c r="P846" s="27">
        <f>IF($B846="","",IFERROR(TRIM(LEFT($B846,FIND(" - ",$B846)-1)),"Others"))</f>
        <v/>
      </c>
      <c r="Q846" s="39">
        <f>IF($A846="","",SUM($F846:$H846))</f>
        <v/>
      </c>
      <c r="R846" s="39">
        <f>IF($A846="","",SUM($I846:$K846))</f>
        <v/>
      </c>
      <c r="S846" s="39">
        <f>IF($A846="","",($L846+$R846)-$Q846)</f>
        <v/>
      </c>
      <c r="T846" s="31">
        <f>IF(OR($A846="",$Q846=0),"",$S846/$Q846)</f>
        <v/>
      </c>
      <c r="U846" s="27">
        <f>IF($A846="","",IF($L846&gt;0,"Live","Exited"))</f>
        <v/>
      </c>
      <c r="V846" s="40">
        <f>IF($A846="","",IF($A846='Client Report'!$C$4,COUNTIFS($A$6:$A846,'Client Report'!$C$4),""))</f>
        <v/>
      </c>
    </row>
    <row r="847">
      <c r="A847" s="11" t="n"/>
      <c r="B847" s="11" t="n"/>
      <c r="C847" s="11" t="n"/>
      <c r="D847" s="11" t="n"/>
      <c r="E847" s="12" t="n"/>
      <c r="F847" s="34" t="n"/>
      <c r="G847" s="34" t="n"/>
      <c r="H847" s="34" t="n"/>
      <c r="I847" s="34" t="n"/>
      <c r="J847" s="34" t="n"/>
      <c r="K847" s="34" t="n"/>
      <c r="L847" s="34" t="n"/>
      <c r="M847" s="36" t="n"/>
      <c r="N847" s="36" t="n"/>
      <c r="O847" s="41" t="n"/>
      <c r="P847" s="27">
        <f>IF($B847="","",IFERROR(TRIM(LEFT($B847,FIND(" - ",$B847)-1)),"Others"))</f>
        <v/>
      </c>
      <c r="Q847" s="39">
        <f>IF($A847="","",SUM($F847:$H847))</f>
        <v/>
      </c>
      <c r="R847" s="39">
        <f>IF($A847="","",SUM($I847:$K847))</f>
        <v/>
      </c>
      <c r="S847" s="39">
        <f>IF($A847="","",($L847+$R847)-$Q847)</f>
        <v/>
      </c>
      <c r="T847" s="31">
        <f>IF(OR($A847="",$Q847=0),"",$S847/$Q847)</f>
        <v/>
      </c>
      <c r="U847" s="27">
        <f>IF($A847="","",IF($L847&gt;0,"Live","Exited"))</f>
        <v/>
      </c>
      <c r="V847" s="40">
        <f>IF($A847="","",IF($A847='Client Report'!$C$4,COUNTIFS($A$6:$A847,'Client Report'!$C$4),""))</f>
        <v/>
      </c>
    </row>
    <row r="848">
      <c r="A848" s="11" t="n"/>
      <c r="B848" s="11" t="n"/>
      <c r="C848" s="11" t="n"/>
      <c r="D848" s="11" t="n"/>
      <c r="E848" s="12" t="n"/>
      <c r="F848" s="34" t="n"/>
      <c r="G848" s="34" t="n"/>
      <c r="H848" s="34" t="n"/>
      <c r="I848" s="34" t="n"/>
      <c r="J848" s="34" t="n"/>
      <c r="K848" s="34" t="n"/>
      <c r="L848" s="34" t="n"/>
      <c r="M848" s="36" t="n"/>
      <c r="N848" s="36" t="n"/>
      <c r="O848" s="41" t="n"/>
      <c r="P848" s="27">
        <f>IF($B848="","",IFERROR(TRIM(LEFT($B848,FIND(" - ",$B848)-1)),"Others"))</f>
        <v/>
      </c>
      <c r="Q848" s="39">
        <f>IF($A848="","",SUM($F848:$H848))</f>
        <v/>
      </c>
      <c r="R848" s="39">
        <f>IF($A848="","",SUM($I848:$K848))</f>
        <v/>
      </c>
      <c r="S848" s="39">
        <f>IF($A848="","",($L848+$R848)-$Q848)</f>
        <v/>
      </c>
      <c r="T848" s="31">
        <f>IF(OR($A848="",$Q848=0),"",$S848/$Q848)</f>
        <v/>
      </c>
      <c r="U848" s="27">
        <f>IF($A848="","",IF($L848&gt;0,"Live","Exited"))</f>
        <v/>
      </c>
      <c r="V848" s="40">
        <f>IF($A848="","",IF($A848='Client Report'!$C$4,COUNTIFS($A$6:$A848,'Client Report'!$C$4),""))</f>
        <v/>
      </c>
    </row>
    <row r="849">
      <c r="A849" s="11" t="n"/>
      <c r="B849" s="11" t="n"/>
      <c r="C849" s="11" t="n"/>
      <c r="D849" s="11" t="n"/>
      <c r="E849" s="12" t="n"/>
      <c r="F849" s="34" t="n"/>
      <c r="G849" s="34" t="n"/>
      <c r="H849" s="34" t="n"/>
      <c r="I849" s="34" t="n"/>
      <c r="J849" s="34" t="n"/>
      <c r="K849" s="34" t="n"/>
      <c r="L849" s="34" t="n"/>
      <c r="M849" s="36" t="n"/>
      <c r="N849" s="36" t="n"/>
      <c r="O849" s="41" t="n"/>
      <c r="P849" s="27">
        <f>IF($B849="","",IFERROR(TRIM(LEFT($B849,FIND(" - ",$B849)-1)),"Others"))</f>
        <v/>
      </c>
      <c r="Q849" s="39">
        <f>IF($A849="","",SUM($F849:$H849))</f>
        <v/>
      </c>
      <c r="R849" s="39">
        <f>IF($A849="","",SUM($I849:$K849))</f>
        <v/>
      </c>
      <c r="S849" s="39">
        <f>IF($A849="","",($L849+$R849)-$Q849)</f>
        <v/>
      </c>
      <c r="T849" s="31">
        <f>IF(OR($A849="",$Q849=0),"",$S849/$Q849)</f>
        <v/>
      </c>
      <c r="U849" s="27">
        <f>IF($A849="","",IF($L849&gt;0,"Live","Exited"))</f>
        <v/>
      </c>
      <c r="V849" s="40">
        <f>IF($A849="","",IF($A849='Client Report'!$C$4,COUNTIFS($A$6:$A849,'Client Report'!$C$4),""))</f>
        <v/>
      </c>
    </row>
    <row r="850">
      <c r="A850" s="11" t="n"/>
      <c r="B850" s="11" t="n"/>
      <c r="C850" s="11" t="n"/>
      <c r="D850" s="11" t="n"/>
      <c r="E850" s="12" t="n"/>
      <c r="F850" s="34" t="n"/>
      <c r="G850" s="34" t="n"/>
      <c r="H850" s="34" t="n"/>
      <c r="I850" s="34" t="n"/>
      <c r="J850" s="34" t="n"/>
      <c r="K850" s="34" t="n"/>
      <c r="L850" s="34" t="n"/>
      <c r="M850" s="36" t="n"/>
      <c r="N850" s="36" t="n"/>
      <c r="O850" s="41" t="n"/>
      <c r="P850" s="27">
        <f>IF($B850="","",IFERROR(TRIM(LEFT($B850,FIND(" - ",$B850)-1)),"Others"))</f>
        <v/>
      </c>
      <c r="Q850" s="39">
        <f>IF($A850="","",SUM($F850:$H850))</f>
        <v/>
      </c>
      <c r="R850" s="39">
        <f>IF($A850="","",SUM($I850:$K850))</f>
        <v/>
      </c>
      <c r="S850" s="39">
        <f>IF($A850="","",($L850+$R850)-$Q850)</f>
        <v/>
      </c>
      <c r="T850" s="31">
        <f>IF(OR($A850="",$Q850=0),"",$S850/$Q850)</f>
        <v/>
      </c>
      <c r="U850" s="27">
        <f>IF($A850="","",IF($L850&gt;0,"Live","Exited"))</f>
        <v/>
      </c>
      <c r="V850" s="40">
        <f>IF($A850="","",IF($A850='Client Report'!$C$4,COUNTIFS($A$6:$A850,'Client Report'!$C$4),""))</f>
        <v/>
      </c>
    </row>
    <row r="851">
      <c r="A851" s="11" t="n"/>
      <c r="B851" s="11" t="n"/>
      <c r="C851" s="11" t="n"/>
      <c r="D851" s="11" t="n"/>
      <c r="E851" s="12" t="n"/>
      <c r="F851" s="34" t="n"/>
      <c r="G851" s="34" t="n"/>
      <c r="H851" s="34" t="n"/>
      <c r="I851" s="34" t="n"/>
      <c r="J851" s="34" t="n"/>
      <c r="K851" s="34" t="n"/>
      <c r="L851" s="34" t="n"/>
      <c r="M851" s="36" t="n"/>
      <c r="N851" s="36" t="n"/>
      <c r="O851" s="41" t="n"/>
      <c r="P851" s="27">
        <f>IF($B851="","",IFERROR(TRIM(LEFT($B851,FIND(" - ",$B851)-1)),"Others"))</f>
        <v/>
      </c>
      <c r="Q851" s="39">
        <f>IF($A851="","",SUM($F851:$H851))</f>
        <v/>
      </c>
      <c r="R851" s="39">
        <f>IF($A851="","",SUM($I851:$K851))</f>
        <v/>
      </c>
      <c r="S851" s="39">
        <f>IF($A851="","",($L851+$R851)-$Q851)</f>
        <v/>
      </c>
      <c r="T851" s="31">
        <f>IF(OR($A851="",$Q851=0),"",$S851/$Q851)</f>
        <v/>
      </c>
      <c r="U851" s="27">
        <f>IF($A851="","",IF($L851&gt;0,"Live","Exited"))</f>
        <v/>
      </c>
      <c r="V851" s="40">
        <f>IF($A851="","",IF($A851='Client Report'!$C$4,COUNTIFS($A$6:$A851,'Client Report'!$C$4),""))</f>
        <v/>
      </c>
    </row>
    <row r="852">
      <c r="A852" s="11" t="n"/>
      <c r="B852" s="11" t="n"/>
      <c r="C852" s="11" t="n"/>
      <c r="D852" s="11" t="n"/>
      <c r="E852" s="12" t="n"/>
      <c r="F852" s="34" t="n"/>
      <c r="G852" s="34" t="n"/>
      <c r="H852" s="34" t="n"/>
      <c r="I852" s="34" t="n"/>
      <c r="J852" s="34" t="n"/>
      <c r="K852" s="34" t="n"/>
      <c r="L852" s="34" t="n"/>
      <c r="M852" s="36" t="n"/>
      <c r="N852" s="36" t="n"/>
      <c r="O852" s="41" t="n"/>
      <c r="P852" s="27">
        <f>IF($B852="","",IFERROR(TRIM(LEFT($B852,FIND(" - ",$B852)-1)),"Others"))</f>
        <v/>
      </c>
      <c r="Q852" s="39">
        <f>IF($A852="","",SUM($F852:$H852))</f>
        <v/>
      </c>
      <c r="R852" s="39">
        <f>IF($A852="","",SUM($I852:$K852))</f>
        <v/>
      </c>
      <c r="S852" s="39">
        <f>IF($A852="","",($L852+$R852)-$Q852)</f>
        <v/>
      </c>
      <c r="T852" s="31">
        <f>IF(OR($A852="",$Q852=0),"",$S852/$Q852)</f>
        <v/>
      </c>
      <c r="U852" s="27">
        <f>IF($A852="","",IF($L852&gt;0,"Live","Exited"))</f>
        <v/>
      </c>
      <c r="V852" s="40">
        <f>IF($A852="","",IF($A852='Client Report'!$C$4,COUNTIFS($A$6:$A852,'Client Report'!$C$4),""))</f>
        <v/>
      </c>
    </row>
    <row r="853">
      <c r="A853" s="11" t="n"/>
      <c r="B853" s="11" t="n"/>
      <c r="C853" s="11" t="n"/>
      <c r="D853" s="11" t="n"/>
      <c r="E853" s="12" t="n"/>
      <c r="F853" s="34" t="n"/>
      <c r="G853" s="34" t="n"/>
      <c r="H853" s="34" t="n"/>
      <c r="I853" s="34" t="n"/>
      <c r="J853" s="34" t="n"/>
      <c r="K853" s="34" t="n"/>
      <c r="L853" s="34" t="n"/>
      <c r="M853" s="36" t="n"/>
      <c r="N853" s="36" t="n"/>
      <c r="O853" s="41" t="n"/>
      <c r="P853" s="27">
        <f>IF($B853="","",IFERROR(TRIM(LEFT($B853,FIND(" - ",$B853)-1)),"Others"))</f>
        <v/>
      </c>
      <c r="Q853" s="39">
        <f>IF($A853="","",SUM($F853:$H853))</f>
        <v/>
      </c>
      <c r="R853" s="39">
        <f>IF($A853="","",SUM($I853:$K853))</f>
        <v/>
      </c>
      <c r="S853" s="39">
        <f>IF($A853="","",($L853+$R853)-$Q853)</f>
        <v/>
      </c>
      <c r="T853" s="31">
        <f>IF(OR($A853="",$Q853=0),"",$S853/$Q853)</f>
        <v/>
      </c>
      <c r="U853" s="27">
        <f>IF($A853="","",IF($L853&gt;0,"Live","Exited"))</f>
        <v/>
      </c>
      <c r="V853" s="40">
        <f>IF($A853="","",IF($A853='Client Report'!$C$4,COUNTIFS($A$6:$A853,'Client Report'!$C$4),""))</f>
        <v/>
      </c>
    </row>
    <row r="854">
      <c r="A854" s="11" t="n"/>
      <c r="B854" s="11" t="n"/>
      <c r="C854" s="11" t="n"/>
      <c r="D854" s="11" t="n"/>
      <c r="E854" s="12" t="n"/>
      <c r="F854" s="34" t="n"/>
      <c r="G854" s="34" t="n"/>
      <c r="H854" s="34" t="n"/>
      <c r="I854" s="34" t="n"/>
      <c r="J854" s="34" t="n"/>
      <c r="K854" s="34" t="n"/>
      <c r="L854" s="34" t="n"/>
      <c r="M854" s="36" t="n"/>
      <c r="N854" s="36" t="n"/>
      <c r="O854" s="41" t="n"/>
      <c r="P854" s="27">
        <f>IF($B854="","",IFERROR(TRIM(LEFT($B854,FIND(" - ",$B854)-1)),"Others"))</f>
        <v/>
      </c>
      <c r="Q854" s="39">
        <f>IF($A854="","",SUM($F854:$H854))</f>
        <v/>
      </c>
      <c r="R854" s="39">
        <f>IF($A854="","",SUM($I854:$K854))</f>
        <v/>
      </c>
      <c r="S854" s="39">
        <f>IF($A854="","",($L854+$R854)-$Q854)</f>
        <v/>
      </c>
      <c r="T854" s="31">
        <f>IF(OR($A854="",$Q854=0),"",$S854/$Q854)</f>
        <v/>
      </c>
      <c r="U854" s="27">
        <f>IF($A854="","",IF($L854&gt;0,"Live","Exited"))</f>
        <v/>
      </c>
      <c r="V854" s="40">
        <f>IF($A854="","",IF($A854='Client Report'!$C$4,COUNTIFS($A$6:$A854,'Client Report'!$C$4),""))</f>
        <v/>
      </c>
    </row>
    <row r="855">
      <c r="A855" s="11" t="n"/>
      <c r="B855" s="11" t="n"/>
      <c r="C855" s="11" t="n"/>
      <c r="D855" s="11" t="n"/>
      <c r="E855" s="12" t="n"/>
      <c r="F855" s="34" t="n"/>
      <c r="G855" s="34" t="n"/>
      <c r="H855" s="34" t="n"/>
      <c r="I855" s="34" t="n"/>
      <c r="J855" s="34" t="n"/>
      <c r="K855" s="34" t="n"/>
      <c r="L855" s="34" t="n"/>
      <c r="M855" s="36" t="n"/>
      <c r="N855" s="36" t="n"/>
      <c r="O855" s="41" t="n"/>
      <c r="P855" s="27">
        <f>IF($B855="","",IFERROR(TRIM(LEFT($B855,FIND(" - ",$B855)-1)),"Others"))</f>
        <v/>
      </c>
      <c r="Q855" s="39">
        <f>IF($A855="","",SUM($F855:$H855))</f>
        <v/>
      </c>
      <c r="R855" s="39">
        <f>IF($A855="","",SUM($I855:$K855))</f>
        <v/>
      </c>
      <c r="S855" s="39">
        <f>IF($A855="","",($L855+$R855)-$Q855)</f>
        <v/>
      </c>
      <c r="T855" s="31">
        <f>IF(OR($A855="",$Q855=0),"",$S855/$Q855)</f>
        <v/>
      </c>
      <c r="U855" s="27">
        <f>IF($A855="","",IF($L855&gt;0,"Live","Exited"))</f>
        <v/>
      </c>
      <c r="V855" s="40">
        <f>IF($A855="","",IF($A855='Client Report'!$C$4,COUNTIFS($A$6:$A855,'Client Report'!$C$4),""))</f>
        <v/>
      </c>
    </row>
    <row r="856">
      <c r="A856" s="11" t="n"/>
      <c r="B856" s="11" t="n"/>
      <c r="C856" s="11" t="n"/>
      <c r="D856" s="11" t="n"/>
      <c r="E856" s="12" t="n"/>
      <c r="F856" s="34" t="n"/>
      <c r="G856" s="34" t="n"/>
      <c r="H856" s="34" t="n"/>
      <c r="I856" s="34" t="n"/>
      <c r="J856" s="34" t="n"/>
      <c r="K856" s="34" t="n"/>
      <c r="L856" s="34" t="n"/>
      <c r="M856" s="36" t="n"/>
      <c r="N856" s="36" t="n"/>
      <c r="O856" s="41" t="n"/>
      <c r="P856" s="27">
        <f>IF($B856="","",IFERROR(TRIM(LEFT($B856,FIND(" - ",$B856)-1)),"Others"))</f>
        <v/>
      </c>
      <c r="Q856" s="39">
        <f>IF($A856="","",SUM($F856:$H856))</f>
        <v/>
      </c>
      <c r="R856" s="39">
        <f>IF($A856="","",SUM($I856:$K856))</f>
        <v/>
      </c>
      <c r="S856" s="39">
        <f>IF($A856="","",($L856+$R856)-$Q856)</f>
        <v/>
      </c>
      <c r="T856" s="31">
        <f>IF(OR($A856="",$Q856=0),"",$S856/$Q856)</f>
        <v/>
      </c>
      <c r="U856" s="27">
        <f>IF($A856="","",IF($L856&gt;0,"Live","Exited"))</f>
        <v/>
      </c>
      <c r="V856" s="40">
        <f>IF($A856="","",IF($A856='Client Report'!$C$4,COUNTIFS($A$6:$A856,'Client Report'!$C$4),""))</f>
        <v/>
      </c>
    </row>
    <row r="857">
      <c r="A857" s="11" t="n"/>
      <c r="B857" s="11" t="n"/>
      <c r="C857" s="11" t="n"/>
      <c r="D857" s="11" t="n"/>
      <c r="E857" s="12" t="n"/>
      <c r="F857" s="34" t="n"/>
      <c r="G857" s="34" t="n"/>
      <c r="H857" s="34" t="n"/>
      <c r="I857" s="34" t="n"/>
      <c r="J857" s="34" t="n"/>
      <c r="K857" s="34" t="n"/>
      <c r="L857" s="34" t="n"/>
      <c r="M857" s="36" t="n"/>
      <c r="N857" s="36" t="n"/>
      <c r="O857" s="41" t="n"/>
      <c r="P857" s="27">
        <f>IF($B857="","",IFERROR(TRIM(LEFT($B857,FIND(" - ",$B857)-1)),"Others"))</f>
        <v/>
      </c>
      <c r="Q857" s="39">
        <f>IF($A857="","",SUM($F857:$H857))</f>
        <v/>
      </c>
      <c r="R857" s="39">
        <f>IF($A857="","",SUM($I857:$K857))</f>
        <v/>
      </c>
      <c r="S857" s="39">
        <f>IF($A857="","",($L857+$R857)-$Q857)</f>
        <v/>
      </c>
      <c r="T857" s="31">
        <f>IF(OR($A857="",$Q857=0),"",$S857/$Q857)</f>
        <v/>
      </c>
      <c r="U857" s="27">
        <f>IF($A857="","",IF($L857&gt;0,"Live","Exited"))</f>
        <v/>
      </c>
      <c r="V857" s="40">
        <f>IF($A857="","",IF($A857='Client Report'!$C$4,COUNTIFS($A$6:$A857,'Client Report'!$C$4),""))</f>
        <v/>
      </c>
    </row>
    <row r="858">
      <c r="A858" s="11" t="n"/>
      <c r="B858" s="11" t="n"/>
      <c r="C858" s="11" t="n"/>
      <c r="D858" s="11" t="n"/>
      <c r="E858" s="12" t="n"/>
      <c r="F858" s="34" t="n"/>
      <c r="G858" s="34" t="n"/>
      <c r="H858" s="34" t="n"/>
      <c r="I858" s="34" t="n"/>
      <c r="J858" s="34" t="n"/>
      <c r="K858" s="34" t="n"/>
      <c r="L858" s="34" t="n"/>
      <c r="M858" s="36" t="n"/>
      <c r="N858" s="36" t="n"/>
      <c r="O858" s="41" t="n"/>
      <c r="P858" s="27">
        <f>IF($B858="","",IFERROR(TRIM(LEFT($B858,FIND(" - ",$B858)-1)),"Others"))</f>
        <v/>
      </c>
      <c r="Q858" s="39">
        <f>IF($A858="","",SUM($F858:$H858))</f>
        <v/>
      </c>
      <c r="R858" s="39">
        <f>IF($A858="","",SUM($I858:$K858))</f>
        <v/>
      </c>
      <c r="S858" s="39">
        <f>IF($A858="","",($L858+$R858)-$Q858)</f>
        <v/>
      </c>
      <c r="T858" s="31">
        <f>IF(OR($A858="",$Q858=0),"",$S858/$Q858)</f>
        <v/>
      </c>
      <c r="U858" s="27">
        <f>IF($A858="","",IF($L858&gt;0,"Live","Exited"))</f>
        <v/>
      </c>
      <c r="V858" s="40">
        <f>IF($A858="","",IF($A858='Client Report'!$C$4,COUNTIFS($A$6:$A858,'Client Report'!$C$4),""))</f>
        <v/>
      </c>
    </row>
    <row r="859">
      <c r="A859" s="11" t="n"/>
      <c r="B859" s="11" t="n"/>
      <c r="C859" s="11" t="n"/>
      <c r="D859" s="11" t="n"/>
      <c r="E859" s="12" t="n"/>
      <c r="F859" s="34" t="n"/>
      <c r="G859" s="34" t="n"/>
      <c r="H859" s="34" t="n"/>
      <c r="I859" s="34" t="n"/>
      <c r="J859" s="34" t="n"/>
      <c r="K859" s="34" t="n"/>
      <c r="L859" s="34" t="n"/>
      <c r="M859" s="36" t="n"/>
      <c r="N859" s="36" t="n"/>
      <c r="O859" s="41" t="n"/>
      <c r="P859" s="27">
        <f>IF($B859="","",IFERROR(TRIM(LEFT($B859,FIND(" - ",$B859)-1)),"Others"))</f>
        <v/>
      </c>
      <c r="Q859" s="39">
        <f>IF($A859="","",SUM($F859:$H859))</f>
        <v/>
      </c>
      <c r="R859" s="39">
        <f>IF($A859="","",SUM($I859:$K859))</f>
        <v/>
      </c>
      <c r="S859" s="39">
        <f>IF($A859="","",($L859+$R859)-$Q859)</f>
        <v/>
      </c>
      <c r="T859" s="31">
        <f>IF(OR($A859="",$Q859=0),"",$S859/$Q859)</f>
        <v/>
      </c>
      <c r="U859" s="27">
        <f>IF($A859="","",IF($L859&gt;0,"Live","Exited"))</f>
        <v/>
      </c>
      <c r="V859" s="40">
        <f>IF($A859="","",IF($A859='Client Report'!$C$4,COUNTIFS($A$6:$A859,'Client Report'!$C$4),""))</f>
        <v/>
      </c>
    </row>
    <row r="860">
      <c r="A860" s="11" t="n"/>
      <c r="B860" s="11" t="n"/>
      <c r="C860" s="11" t="n"/>
      <c r="D860" s="11" t="n"/>
      <c r="E860" s="12" t="n"/>
      <c r="F860" s="34" t="n"/>
      <c r="G860" s="34" t="n"/>
      <c r="H860" s="34" t="n"/>
      <c r="I860" s="34" t="n"/>
      <c r="J860" s="34" t="n"/>
      <c r="K860" s="34" t="n"/>
      <c r="L860" s="34" t="n"/>
      <c r="M860" s="36" t="n"/>
      <c r="N860" s="36" t="n"/>
      <c r="O860" s="41" t="n"/>
      <c r="P860" s="27">
        <f>IF($B860="","",IFERROR(TRIM(LEFT($B860,FIND(" - ",$B860)-1)),"Others"))</f>
        <v/>
      </c>
      <c r="Q860" s="39">
        <f>IF($A860="","",SUM($F860:$H860))</f>
        <v/>
      </c>
      <c r="R860" s="39">
        <f>IF($A860="","",SUM($I860:$K860))</f>
        <v/>
      </c>
      <c r="S860" s="39">
        <f>IF($A860="","",($L860+$R860)-$Q860)</f>
        <v/>
      </c>
      <c r="T860" s="31">
        <f>IF(OR($A860="",$Q860=0),"",$S860/$Q860)</f>
        <v/>
      </c>
      <c r="U860" s="27">
        <f>IF($A860="","",IF($L860&gt;0,"Live","Exited"))</f>
        <v/>
      </c>
      <c r="V860" s="40">
        <f>IF($A860="","",IF($A860='Client Report'!$C$4,COUNTIFS($A$6:$A860,'Client Report'!$C$4),""))</f>
        <v/>
      </c>
    </row>
    <row r="861">
      <c r="A861" s="11" t="n"/>
      <c r="B861" s="11" t="n"/>
      <c r="C861" s="11" t="n"/>
      <c r="D861" s="11" t="n"/>
      <c r="E861" s="12" t="n"/>
      <c r="F861" s="34" t="n"/>
      <c r="G861" s="34" t="n"/>
      <c r="H861" s="34" t="n"/>
      <c r="I861" s="34" t="n"/>
      <c r="J861" s="34" t="n"/>
      <c r="K861" s="34" t="n"/>
      <c r="L861" s="34" t="n"/>
      <c r="M861" s="36" t="n"/>
      <c r="N861" s="36" t="n"/>
      <c r="O861" s="41" t="n"/>
      <c r="P861" s="27">
        <f>IF($B861="","",IFERROR(TRIM(LEFT($B861,FIND(" - ",$B861)-1)),"Others"))</f>
        <v/>
      </c>
      <c r="Q861" s="39">
        <f>IF($A861="","",SUM($F861:$H861))</f>
        <v/>
      </c>
      <c r="R861" s="39">
        <f>IF($A861="","",SUM($I861:$K861))</f>
        <v/>
      </c>
      <c r="S861" s="39">
        <f>IF($A861="","",($L861+$R861)-$Q861)</f>
        <v/>
      </c>
      <c r="T861" s="31">
        <f>IF(OR($A861="",$Q861=0),"",$S861/$Q861)</f>
        <v/>
      </c>
      <c r="U861" s="27">
        <f>IF($A861="","",IF($L861&gt;0,"Live","Exited"))</f>
        <v/>
      </c>
      <c r="V861" s="40">
        <f>IF($A861="","",IF($A861='Client Report'!$C$4,COUNTIFS($A$6:$A861,'Client Report'!$C$4),""))</f>
        <v/>
      </c>
    </row>
    <row r="862">
      <c r="A862" s="11" t="n"/>
      <c r="B862" s="11" t="n"/>
      <c r="C862" s="11" t="n"/>
      <c r="D862" s="11" t="n"/>
      <c r="E862" s="12" t="n"/>
      <c r="F862" s="34" t="n"/>
      <c r="G862" s="34" t="n"/>
      <c r="H862" s="34" t="n"/>
      <c r="I862" s="34" t="n"/>
      <c r="J862" s="34" t="n"/>
      <c r="K862" s="34" t="n"/>
      <c r="L862" s="34" t="n"/>
      <c r="M862" s="36" t="n"/>
      <c r="N862" s="36" t="n"/>
      <c r="O862" s="41" t="n"/>
      <c r="P862" s="27">
        <f>IF($B862="","",IFERROR(TRIM(LEFT($B862,FIND(" - ",$B862)-1)),"Others"))</f>
        <v/>
      </c>
      <c r="Q862" s="39">
        <f>IF($A862="","",SUM($F862:$H862))</f>
        <v/>
      </c>
      <c r="R862" s="39">
        <f>IF($A862="","",SUM($I862:$K862))</f>
        <v/>
      </c>
      <c r="S862" s="39">
        <f>IF($A862="","",($L862+$R862)-$Q862)</f>
        <v/>
      </c>
      <c r="T862" s="31">
        <f>IF(OR($A862="",$Q862=0),"",$S862/$Q862)</f>
        <v/>
      </c>
      <c r="U862" s="27">
        <f>IF($A862="","",IF($L862&gt;0,"Live","Exited"))</f>
        <v/>
      </c>
      <c r="V862" s="40">
        <f>IF($A862="","",IF($A862='Client Report'!$C$4,COUNTIFS($A$6:$A862,'Client Report'!$C$4),""))</f>
        <v/>
      </c>
    </row>
    <row r="863">
      <c r="A863" s="11" t="n"/>
      <c r="B863" s="11" t="n"/>
      <c r="C863" s="11" t="n"/>
      <c r="D863" s="11" t="n"/>
      <c r="E863" s="12" t="n"/>
      <c r="F863" s="34" t="n"/>
      <c r="G863" s="34" t="n"/>
      <c r="H863" s="34" t="n"/>
      <c r="I863" s="34" t="n"/>
      <c r="J863" s="34" t="n"/>
      <c r="K863" s="34" t="n"/>
      <c r="L863" s="34" t="n"/>
      <c r="M863" s="36" t="n"/>
      <c r="N863" s="36" t="n"/>
      <c r="O863" s="41" t="n"/>
      <c r="P863" s="27">
        <f>IF($B863="","",IFERROR(TRIM(LEFT($B863,FIND(" - ",$B863)-1)),"Others"))</f>
        <v/>
      </c>
      <c r="Q863" s="39">
        <f>IF($A863="","",SUM($F863:$H863))</f>
        <v/>
      </c>
      <c r="R863" s="39">
        <f>IF($A863="","",SUM($I863:$K863))</f>
        <v/>
      </c>
      <c r="S863" s="39">
        <f>IF($A863="","",($L863+$R863)-$Q863)</f>
        <v/>
      </c>
      <c r="T863" s="31">
        <f>IF(OR($A863="",$Q863=0),"",$S863/$Q863)</f>
        <v/>
      </c>
      <c r="U863" s="27">
        <f>IF($A863="","",IF($L863&gt;0,"Live","Exited"))</f>
        <v/>
      </c>
      <c r="V863" s="40">
        <f>IF($A863="","",IF($A863='Client Report'!$C$4,COUNTIFS($A$6:$A863,'Client Report'!$C$4),""))</f>
        <v/>
      </c>
    </row>
    <row r="864">
      <c r="A864" s="11" t="n"/>
      <c r="B864" s="11" t="n"/>
      <c r="C864" s="11" t="n"/>
      <c r="D864" s="11" t="n"/>
      <c r="E864" s="12" t="n"/>
      <c r="F864" s="34" t="n"/>
      <c r="G864" s="34" t="n"/>
      <c r="H864" s="34" t="n"/>
      <c r="I864" s="34" t="n"/>
      <c r="J864" s="34" t="n"/>
      <c r="K864" s="34" t="n"/>
      <c r="L864" s="34" t="n"/>
      <c r="M864" s="36" t="n"/>
      <c r="N864" s="36" t="n"/>
      <c r="O864" s="41" t="n"/>
      <c r="P864" s="27">
        <f>IF($B864="","",IFERROR(TRIM(LEFT($B864,FIND(" - ",$B864)-1)),"Others"))</f>
        <v/>
      </c>
      <c r="Q864" s="39">
        <f>IF($A864="","",SUM($F864:$H864))</f>
        <v/>
      </c>
      <c r="R864" s="39">
        <f>IF($A864="","",SUM($I864:$K864))</f>
        <v/>
      </c>
      <c r="S864" s="39">
        <f>IF($A864="","",($L864+$R864)-$Q864)</f>
        <v/>
      </c>
      <c r="T864" s="31">
        <f>IF(OR($A864="",$Q864=0),"",$S864/$Q864)</f>
        <v/>
      </c>
      <c r="U864" s="27">
        <f>IF($A864="","",IF($L864&gt;0,"Live","Exited"))</f>
        <v/>
      </c>
      <c r="V864" s="40">
        <f>IF($A864="","",IF($A864='Client Report'!$C$4,COUNTIFS($A$6:$A864,'Client Report'!$C$4),""))</f>
        <v/>
      </c>
    </row>
    <row r="865">
      <c r="A865" s="11" t="n"/>
      <c r="B865" s="11" t="n"/>
      <c r="C865" s="11" t="n"/>
      <c r="D865" s="11" t="n"/>
      <c r="E865" s="12" t="n"/>
      <c r="F865" s="34" t="n"/>
      <c r="G865" s="34" t="n"/>
      <c r="H865" s="34" t="n"/>
      <c r="I865" s="34" t="n"/>
      <c r="J865" s="34" t="n"/>
      <c r="K865" s="34" t="n"/>
      <c r="L865" s="34" t="n"/>
      <c r="M865" s="36" t="n"/>
      <c r="N865" s="36" t="n"/>
      <c r="O865" s="41" t="n"/>
      <c r="P865" s="27">
        <f>IF($B865="","",IFERROR(TRIM(LEFT($B865,FIND(" - ",$B865)-1)),"Others"))</f>
        <v/>
      </c>
      <c r="Q865" s="39">
        <f>IF($A865="","",SUM($F865:$H865))</f>
        <v/>
      </c>
      <c r="R865" s="39">
        <f>IF($A865="","",SUM($I865:$K865))</f>
        <v/>
      </c>
      <c r="S865" s="39">
        <f>IF($A865="","",($L865+$R865)-$Q865)</f>
        <v/>
      </c>
      <c r="T865" s="31">
        <f>IF(OR($A865="",$Q865=0),"",$S865/$Q865)</f>
        <v/>
      </c>
      <c r="U865" s="27">
        <f>IF($A865="","",IF($L865&gt;0,"Live","Exited"))</f>
        <v/>
      </c>
      <c r="V865" s="40">
        <f>IF($A865="","",IF($A865='Client Report'!$C$4,COUNTIFS($A$6:$A865,'Client Report'!$C$4),""))</f>
        <v/>
      </c>
    </row>
    <row r="866">
      <c r="A866" s="11" t="n"/>
      <c r="B866" s="11" t="n"/>
      <c r="C866" s="11" t="n"/>
      <c r="D866" s="11" t="n"/>
      <c r="E866" s="12" t="n"/>
      <c r="F866" s="34" t="n"/>
      <c r="G866" s="34" t="n"/>
      <c r="H866" s="34" t="n"/>
      <c r="I866" s="34" t="n"/>
      <c r="J866" s="34" t="n"/>
      <c r="K866" s="34" t="n"/>
      <c r="L866" s="34" t="n"/>
      <c r="M866" s="36" t="n"/>
      <c r="N866" s="36" t="n"/>
      <c r="O866" s="41" t="n"/>
      <c r="P866" s="27">
        <f>IF($B866="","",IFERROR(TRIM(LEFT($B866,FIND(" - ",$B866)-1)),"Others"))</f>
        <v/>
      </c>
      <c r="Q866" s="39">
        <f>IF($A866="","",SUM($F866:$H866))</f>
        <v/>
      </c>
      <c r="R866" s="39">
        <f>IF($A866="","",SUM($I866:$K866))</f>
        <v/>
      </c>
      <c r="S866" s="39">
        <f>IF($A866="","",($L866+$R866)-$Q866)</f>
        <v/>
      </c>
      <c r="T866" s="31">
        <f>IF(OR($A866="",$Q866=0),"",$S866/$Q866)</f>
        <v/>
      </c>
      <c r="U866" s="27">
        <f>IF($A866="","",IF($L866&gt;0,"Live","Exited"))</f>
        <v/>
      </c>
      <c r="V866" s="40">
        <f>IF($A866="","",IF($A866='Client Report'!$C$4,COUNTIFS($A$6:$A866,'Client Report'!$C$4),""))</f>
        <v/>
      </c>
    </row>
    <row r="867">
      <c r="A867" s="11" t="n"/>
      <c r="B867" s="11" t="n"/>
      <c r="C867" s="11" t="n"/>
      <c r="D867" s="11" t="n"/>
      <c r="E867" s="12" t="n"/>
      <c r="F867" s="34" t="n"/>
      <c r="G867" s="34" t="n"/>
      <c r="H867" s="34" t="n"/>
      <c r="I867" s="34" t="n"/>
      <c r="J867" s="34" t="n"/>
      <c r="K867" s="34" t="n"/>
      <c r="L867" s="34" t="n"/>
      <c r="M867" s="36" t="n"/>
      <c r="N867" s="36" t="n"/>
      <c r="O867" s="41" t="n"/>
      <c r="P867" s="27">
        <f>IF($B867="","",IFERROR(TRIM(LEFT($B867,FIND(" - ",$B867)-1)),"Others"))</f>
        <v/>
      </c>
      <c r="Q867" s="39">
        <f>IF($A867="","",SUM($F867:$H867))</f>
        <v/>
      </c>
      <c r="R867" s="39">
        <f>IF($A867="","",SUM($I867:$K867))</f>
        <v/>
      </c>
      <c r="S867" s="39">
        <f>IF($A867="","",($L867+$R867)-$Q867)</f>
        <v/>
      </c>
      <c r="T867" s="31">
        <f>IF(OR($A867="",$Q867=0),"",$S867/$Q867)</f>
        <v/>
      </c>
      <c r="U867" s="27">
        <f>IF($A867="","",IF($L867&gt;0,"Live","Exited"))</f>
        <v/>
      </c>
      <c r="V867" s="40">
        <f>IF($A867="","",IF($A867='Client Report'!$C$4,COUNTIFS($A$6:$A867,'Client Report'!$C$4),""))</f>
        <v/>
      </c>
    </row>
    <row r="868">
      <c r="A868" s="11" t="n"/>
      <c r="B868" s="11" t="n"/>
      <c r="C868" s="11" t="n"/>
      <c r="D868" s="11" t="n"/>
      <c r="E868" s="12" t="n"/>
      <c r="F868" s="34" t="n"/>
      <c r="G868" s="34" t="n"/>
      <c r="H868" s="34" t="n"/>
      <c r="I868" s="34" t="n"/>
      <c r="J868" s="34" t="n"/>
      <c r="K868" s="34" t="n"/>
      <c r="L868" s="34" t="n"/>
      <c r="M868" s="36" t="n"/>
      <c r="N868" s="36" t="n"/>
      <c r="O868" s="41" t="n"/>
      <c r="P868" s="27">
        <f>IF($B868="","",IFERROR(TRIM(LEFT($B868,FIND(" - ",$B868)-1)),"Others"))</f>
        <v/>
      </c>
      <c r="Q868" s="39">
        <f>IF($A868="","",SUM($F868:$H868))</f>
        <v/>
      </c>
      <c r="R868" s="39">
        <f>IF($A868="","",SUM($I868:$K868))</f>
        <v/>
      </c>
      <c r="S868" s="39">
        <f>IF($A868="","",($L868+$R868)-$Q868)</f>
        <v/>
      </c>
      <c r="T868" s="31">
        <f>IF(OR($A868="",$Q868=0),"",$S868/$Q868)</f>
        <v/>
      </c>
      <c r="U868" s="27">
        <f>IF($A868="","",IF($L868&gt;0,"Live","Exited"))</f>
        <v/>
      </c>
      <c r="V868" s="40">
        <f>IF($A868="","",IF($A868='Client Report'!$C$4,COUNTIFS($A$6:$A868,'Client Report'!$C$4),""))</f>
        <v/>
      </c>
    </row>
    <row r="869">
      <c r="A869" s="11" t="n"/>
      <c r="B869" s="11" t="n"/>
      <c r="C869" s="11" t="n"/>
      <c r="D869" s="11" t="n"/>
      <c r="E869" s="12" t="n"/>
      <c r="F869" s="34" t="n"/>
      <c r="G869" s="34" t="n"/>
      <c r="H869" s="34" t="n"/>
      <c r="I869" s="34" t="n"/>
      <c r="J869" s="34" t="n"/>
      <c r="K869" s="34" t="n"/>
      <c r="L869" s="34" t="n"/>
      <c r="M869" s="36" t="n"/>
      <c r="N869" s="36" t="n"/>
      <c r="O869" s="41" t="n"/>
      <c r="P869" s="27">
        <f>IF($B869="","",IFERROR(TRIM(LEFT($B869,FIND(" - ",$B869)-1)),"Others"))</f>
        <v/>
      </c>
      <c r="Q869" s="39">
        <f>IF($A869="","",SUM($F869:$H869))</f>
        <v/>
      </c>
      <c r="R869" s="39">
        <f>IF($A869="","",SUM($I869:$K869))</f>
        <v/>
      </c>
      <c r="S869" s="39">
        <f>IF($A869="","",($L869+$R869)-$Q869)</f>
        <v/>
      </c>
      <c r="T869" s="31">
        <f>IF(OR($A869="",$Q869=0),"",$S869/$Q869)</f>
        <v/>
      </c>
      <c r="U869" s="27">
        <f>IF($A869="","",IF($L869&gt;0,"Live","Exited"))</f>
        <v/>
      </c>
      <c r="V869" s="40">
        <f>IF($A869="","",IF($A869='Client Report'!$C$4,COUNTIFS($A$6:$A869,'Client Report'!$C$4),""))</f>
        <v/>
      </c>
    </row>
    <row r="870">
      <c r="A870" s="11" t="n"/>
      <c r="B870" s="11" t="n"/>
      <c r="C870" s="11" t="n"/>
      <c r="D870" s="11" t="n"/>
      <c r="E870" s="12" t="n"/>
      <c r="F870" s="34" t="n"/>
      <c r="G870" s="34" t="n"/>
      <c r="H870" s="34" t="n"/>
      <c r="I870" s="34" t="n"/>
      <c r="J870" s="34" t="n"/>
      <c r="K870" s="34" t="n"/>
      <c r="L870" s="34" t="n"/>
      <c r="M870" s="36" t="n"/>
      <c r="N870" s="36" t="n"/>
      <c r="O870" s="41" t="n"/>
      <c r="P870" s="27">
        <f>IF($B870="","",IFERROR(TRIM(LEFT($B870,FIND(" - ",$B870)-1)),"Others"))</f>
        <v/>
      </c>
      <c r="Q870" s="39">
        <f>IF($A870="","",SUM($F870:$H870))</f>
        <v/>
      </c>
      <c r="R870" s="39">
        <f>IF($A870="","",SUM($I870:$K870))</f>
        <v/>
      </c>
      <c r="S870" s="39">
        <f>IF($A870="","",($L870+$R870)-$Q870)</f>
        <v/>
      </c>
      <c r="T870" s="31">
        <f>IF(OR($A870="",$Q870=0),"",$S870/$Q870)</f>
        <v/>
      </c>
      <c r="U870" s="27">
        <f>IF($A870="","",IF($L870&gt;0,"Live","Exited"))</f>
        <v/>
      </c>
      <c r="V870" s="40">
        <f>IF($A870="","",IF($A870='Client Report'!$C$4,COUNTIFS($A$6:$A870,'Client Report'!$C$4),""))</f>
        <v/>
      </c>
    </row>
    <row r="871">
      <c r="A871" s="11" t="n"/>
      <c r="B871" s="11" t="n"/>
      <c r="C871" s="11" t="n"/>
      <c r="D871" s="11" t="n"/>
      <c r="E871" s="12" t="n"/>
      <c r="F871" s="34" t="n"/>
      <c r="G871" s="34" t="n"/>
      <c r="H871" s="34" t="n"/>
      <c r="I871" s="34" t="n"/>
      <c r="J871" s="34" t="n"/>
      <c r="K871" s="34" t="n"/>
      <c r="L871" s="34" t="n"/>
      <c r="M871" s="36" t="n"/>
      <c r="N871" s="36" t="n"/>
      <c r="O871" s="41" t="n"/>
      <c r="P871" s="27">
        <f>IF($B871="","",IFERROR(TRIM(LEFT($B871,FIND(" - ",$B871)-1)),"Others"))</f>
        <v/>
      </c>
      <c r="Q871" s="39">
        <f>IF($A871="","",SUM($F871:$H871))</f>
        <v/>
      </c>
      <c r="R871" s="39">
        <f>IF($A871="","",SUM($I871:$K871))</f>
        <v/>
      </c>
      <c r="S871" s="39">
        <f>IF($A871="","",($L871+$R871)-$Q871)</f>
        <v/>
      </c>
      <c r="T871" s="31">
        <f>IF(OR($A871="",$Q871=0),"",$S871/$Q871)</f>
        <v/>
      </c>
      <c r="U871" s="27">
        <f>IF($A871="","",IF($L871&gt;0,"Live","Exited"))</f>
        <v/>
      </c>
      <c r="V871" s="40">
        <f>IF($A871="","",IF($A871='Client Report'!$C$4,COUNTIFS($A$6:$A871,'Client Report'!$C$4),""))</f>
        <v/>
      </c>
    </row>
    <row r="872">
      <c r="A872" s="11" t="n"/>
      <c r="B872" s="11" t="n"/>
      <c r="C872" s="11" t="n"/>
      <c r="D872" s="11" t="n"/>
      <c r="E872" s="12" t="n"/>
      <c r="F872" s="34" t="n"/>
      <c r="G872" s="34" t="n"/>
      <c r="H872" s="34" t="n"/>
      <c r="I872" s="34" t="n"/>
      <c r="J872" s="34" t="n"/>
      <c r="K872" s="34" t="n"/>
      <c r="L872" s="34" t="n"/>
      <c r="M872" s="36" t="n"/>
      <c r="N872" s="36" t="n"/>
      <c r="O872" s="41" t="n"/>
      <c r="P872" s="27">
        <f>IF($B872="","",IFERROR(TRIM(LEFT($B872,FIND(" - ",$B872)-1)),"Others"))</f>
        <v/>
      </c>
      <c r="Q872" s="39">
        <f>IF($A872="","",SUM($F872:$H872))</f>
        <v/>
      </c>
      <c r="R872" s="39">
        <f>IF($A872="","",SUM($I872:$K872))</f>
        <v/>
      </c>
      <c r="S872" s="39">
        <f>IF($A872="","",($L872+$R872)-$Q872)</f>
        <v/>
      </c>
      <c r="T872" s="31">
        <f>IF(OR($A872="",$Q872=0),"",$S872/$Q872)</f>
        <v/>
      </c>
      <c r="U872" s="27">
        <f>IF($A872="","",IF($L872&gt;0,"Live","Exited"))</f>
        <v/>
      </c>
      <c r="V872" s="40">
        <f>IF($A872="","",IF($A872='Client Report'!$C$4,COUNTIFS($A$6:$A872,'Client Report'!$C$4),""))</f>
        <v/>
      </c>
    </row>
    <row r="873">
      <c r="A873" s="11" t="n"/>
      <c r="B873" s="11" t="n"/>
      <c r="C873" s="11" t="n"/>
      <c r="D873" s="11" t="n"/>
      <c r="E873" s="12" t="n"/>
      <c r="F873" s="34" t="n"/>
      <c r="G873" s="34" t="n"/>
      <c r="H873" s="34" t="n"/>
      <c r="I873" s="34" t="n"/>
      <c r="J873" s="34" t="n"/>
      <c r="K873" s="34" t="n"/>
      <c r="L873" s="34" t="n"/>
      <c r="M873" s="36" t="n"/>
      <c r="N873" s="36" t="n"/>
      <c r="O873" s="41" t="n"/>
      <c r="P873" s="27">
        <f>IF($B873="","",IFERROR(TRIM(LEFT($B873,FIND(" - ",$B873)-1)),"Others"))</f>
        <v/>
      </c>
      <c r="Q873" s="39">
        <f>IF($A873="","",SUM($F873:$H873))</f>
        <v/>
      </c>
      <c r="R873" s="39">
        <f>IF($A873="","",SUM($I873:$K873))</f>
        <v/>
      </c>
      <c r="S873" s="39">
        <f>IF($A873="","",($L873+$R873)-$Q873)</f>
        <v/>
      </c>
      <c r="T873" s="31">
        <f>IF(OR($A873="",$Q873=0),"",$S873/$Q873)</f>
        <v/>
      </c>
      <c r="U873" s="27">
        <f>IF($A873="","",IF($L873&gt;0,"Live","Exited"))</f>
        <v/>
      </c>
      <c r="V873" s="40">
        <f>IF($A873="","",IF($A873='Client Report'!$C$4,COUNTIFS($A$6:$A873,'Client Report'!$C$4),""))</f>
        <v/>
      </c>
    </row>
    <row r="874">
      <c r="A874" s="11" t="n"/>
      <c r="B874" s="11" t="n"/>
      <c r="C874" s="11" t="n"/>
      <c r="D874" s="11" t="n"/>
      <c r="E874" s="12" t="n"/>
      <c r="F874" s="34" t="n"/>
      <c r="G874" s="34" t="n"/>
      <c r="H874" s="34" t="n"/>
      <c r="I874" s="34" t="n"/>
      <c r="J874" s="34" t="n"/>
      <c r="K874" s="34" t="n"/>
      <c r="L874" s="34" t="n"/>
      <c r="M874" s="36" t="n"/>
      <c r="N874" s="36" t="n"/>
      <c r="O874" s="41" t="n"/>
      <c r="P874" s="27">
        <f>IF($B874="","",IFERROR(TRIM(LEFT($B874,FIND(" - ",$B874)-1)),"Others"))</f>
        <v/>
      </c>
      <c r="Q874" s="39">
        <f>IF($A874="","",SUM($F874:$H874))</f>
        <v/>
      </c>
      <c r="R874" s="39">
        <f>IF($A874="","",SUM($I874:$K874))</f>
        <v/>
      </c>
      <c r="S874" s="39">
        <f>IF($A874="","",($L874+$R874)-$Q874)</f>
        <v/>
      </c>
      <c r="T874" s="31">
        <f>IF(OR($A874="",$Q874=0),"",$S874/$Q874)</f>
        <v/>
      </c>
      <c r="U874" s="27">
        <f>IF($A874="","",IF($L874&gt;0,"Live","Exited"))</f>
        <v/>
      </c>
      <c r="V874" s="40">
        <f>IF($A874="","",IF($A874='Client Report'!$C$4,COUNTIFS($A$6:$A874,'Client Report'!$C$4),""))</f>
        <v/>
      </c>
    </row>
    <row r="875">
      <c r="A875" s="11" t="n"/>
      <c r="B875" s="11" t="n"/>
      <c r="C875" s="11" t="n"/>
      <c r="D875" s="11" t="n"/>
      <c r="E875" s="12" t="n"/>
      <c r="F875" s="34" t="n"/>
      <c r="G875" s="34" t="n"/>
      <c r="H875" s="34" t="n"/>
      <c r="I875" s="34" t="n"/>
      <c r="J875" s="34" t="n"/>
      <c r="K875" s="34" t="n"/>
      <c r="L875" s="34" t="n"/>
      <c r="M875" s="36" t="n"/>
      <c r="N875" s="36" t="n"/>
      <c r="O875" s="41" t="n"/>
      <c r="P875" s="27">
        <f>IF($B875="","",IFERROR(TRIM(LEFT($B875,FIND(" - ",$B875)-1)),"Others"))</f>
        <v/>
      </c>
      <c r="Q875" s="39">
        <f>IF($A875="","",SUM($F875:$H875))</f>
        <v/>
      </c>
      <c r="R875" s="39">
        <f>IF($A875="","",SUM($I875:$K875))</f>
        <v/>
      </c>
      <c r="S875" s="39">
        <f>IF($A875="","",($L875+$R875)-$Q875)</f>
        <v/>
      </c>
      <c r="T875" s="31">
        <f>IF(OR($A875="",$Q875=0),"",$S875/$Q875)</f>
        <v/>
      </c>
      <c r="U875" s="27">
        <f>IF($A875="","",IF($L875&gt;0,"Live","Exited"))</f>
        <v/>
      </c>
      <c r="V875" s="40">
        <f>IF($A875="","",IF($A875='Client Report'!$C$4,COUNTIFS($A$6:$A875,'Client Report'!$C$4),""))</f>
        <v/>
      </c>
    </row>
    <row r="876">
      <c r="A876" s="11" t="n"/>
      <c r="B876" s="11" t="n"/>
      <c r="C876" s="11" t="n"/>
      <c r="D876" s="11" t="n"/>
      <c r="E876" s="12" t="n"/>
      <c r="F876" s="34" t="n"/>
      <c r="G876" s="34" t="n"/>
      <c r="H876" s="34" t="n"/>
      <c r="I876" s="34" t="n"/>
      <c r="J876" s="34" t="n"/>
      <c r="K876" s="34" t="n"/>
      <c r="L876" s="34" t="n"/>
      <c r="M876" s="36" t="n"/>
      <c r="N876" s="36" t="n"/>
      <c r="O876" s="41" t="n"/>
      <c r="P876" s="27">
        <f>IF($B876="","",IFERROR(TRIM(LEFT($B876,FIND(" - ",$B876)-1)),"Others"))</f>
        <v/>
      </c>
      <c r="Q876" s="39">
        <f>IF($A876="","",SUM($F876:$H876))</f>
        <v/>
      </c>
      <c r="R876" s="39">
        <f>IF($A876="","",SUM($I876:$K876))</f>
        <v/>
      </c>
      <c r="S876" s="39">
        <f>IF($A876="","",($L876+$R876)-$Q876)</f>
        <v/>
      </c>
      <c r="T876" s="31">
        <f>IF(OR($A876="",$Q876=0),"",$S876/$Q876)</f>
        <v/>
      </c>
      <c r="U876" s="27">
        <f>IF($A876="","",IF($L876&gt;0,"Live","Exited"))</f>
        <v/>
      </c>
      <c r="V876" s="40">
        <f>IF($A876="","",IF($A876='Client Report'!$C$4,COUNTIFS($A$6:$A876,'Client Report'!$C$4),""))</f>
        <v/>
      </c>
    </row>
    <row r="877">
      <c r="A877" s="11" t="n"/>
      <c r="B877" s="11" t="n"/>
      <c r="C877" s="11" t="n"/>
      <c r="D877" s="11" t="n"/>
      <c r="E877" s="12" t="n"/>
      <c r="F877" s="34" t="n"/>
      <c r="G877" s="34" t="n"/>
      <c r="H877" s="34" t="n"/>
      <c r="I877" s="34" t="n"/>
      <c r="J877" s="34" t="n"/>
      <c r="K877" s="34" t="n"/>
      <c r="L877" s="34" t="n"/>
      <c r="M877" s="36" t="n"/>
      <c r="N877" s="36" t="n"/>
      <c r="O877" s="41" t="n"/>
      <c r="P877" s="27">
        <f>IF($B877="","",IFERROR(TRIM(LEFT($B877,FIND(" - ",$B877)-1)),"Others"))</f>
        <v/>
      </c>
      <c r="Q877" s="39">
        <f>IF($A877="","",SUM($F877:$H877))</f>
        <v/>
      </c>
      <c r="R877" s="39">
        <f>IF($A877="","",SUM($I877:$K877))</f>
        <v/>
      </c>
      <c r="S877" s="39">
        <f>IF($A877="","",($L877+$R877)-$Q877)</f>
        <v/>
      </c>
      <c r="T877" s="31">
        <f>IF(OR($A877="",$Q877=0),"",$S877/$Q877)</f>
        <v/>
      </c>
      <c r="U877" s="27">
        <f>IF($A877="","",IF($L877&gt;0,"Live","Exited"))</f>
        <v/>
      </c>
      <c r="V877" s="40">
        <f>IF($A877="","",IF($A877='Client Report'!$C$4,COUNTIFS($A$6:$A877,'Client Report'!$C$4),""))</f>
        <v/>
      </c>
    </row>
    <row r="878">
      <c r="A878" s="11" t="n"/>
      <c r="B878" s="11" t="n"/>
      <c r="C878" s="11" t="n"/>
      <c r="D878" s="11" t="n"/>
      <c r="E878" s="12" t="n"/>
      <c r="F878" s="34" t="n"/>
      <c r="G878" s="34" t="n"/>
      <c r="H878" s="34" t="n"/>
      <c r="I878" s="34" t="n"/>
      <c r="J878" s="34" t="n"/>
      <c r="K878" s="34" t="n"/>
      <c r="L878" s="34" t="n"/>
      <c r="M878" s="36" t="n"/>
      <c r="N878" s="36" t="n"/>
      <c r="O878" s="41" t="n"/>
      <c r="P878" s="27">
        <f>IF($B878="","",IFERROR(TRIM(LEFT($B878,FIND(" - ",$B878)-1)),"Others"))</f>
        <v/>
      </c>
      <c r="Q878" s="39">
        <f>IF($A878="","",SUM($F878:$H878))</f>
        <v/>
      </c>
      <c r="R878" s="39">
        <f>IF($A878="","",SUM($I878:$K878))</f>
        <v/>
      </c>
      <c r="S878" s="39">
        <f>IF($A878="","",($L878+$R878)-$Q878)</f>
        <v/>
      </c>
      <c r="T878" s="31">
        <f>IF(OR($A878="",$Q878=0),"",$S878/$Q878)</f>
        <v/>
      </c>
      <c r="U878" s="27">
        <f>IF($A878="","",IF($L878&gt;0,"Live","Exited"))</f>
        <v/>
      </c>
      <c r="V878" s="40">
        <f>IF($A878="","",IF($A878='Client Report'!$C$4,COUNTIFS($A$6:$A878,'Client Report'!$C$4),""))</f>
        <v/>
      </c>
    </row>
    <row r="879">
      <c r="A879" s="11" t="n"/>
      <c r="B879" s="11" t="n"/>
      <c r="C879" s="11" t="n"/>
      <c r="D879" s="11" t="n"/>
      <c r="E879" s="12" t="n"/>
      <c r="F879" s="34" t="n"/>
      <c r="G879" s="34" t="n"/>
      <c r="H879" s="34" t="n"/>
      <c r="I879" s="34" t="n"/>
      <c r="J879" s="34" t="n"/>
      <c r="K879" s="34" t="n"/>
      <c r="L879" s="34" t="n"/>
      <c r="M879" s="36" t="n"/>
      <c r="N879" s="36" t="n"/>
      <c r="O879" s="41" t="n"/>
      <c r="P879" s="27">
        <f>IF($B879="","",IFERROR(TRIM(LEFT($B879,FIND(" - ",$B879)-1)),"Others"))</f>
        <v/>
      </c>
      <c r="Q879" s="39">
        <f>IF($A879="","",SUM($F879:$H879))</f>
        <v/>
      </c>
      <c r="R879" s="39">
        <f>IF($A879="","",SUM($I879:$K879))</f>
        <v/>
      </c>
      <c r="S879" s="39">
        <f>IF($A879="","",($L879+$R879)-$Q879)</f>
        <v/>
      </c>
      <c r="T879" s="31">
        <f>IF(OR($A879="",$Q879=0),"",$S879/$Q879)</f>
        <v/>
      </c>
      <c r="U879" s="27">
        <f>IF($A879="","",IF($L879&gt;0,"Live","Exited"))</f>
        <v/>
      </c>
      <c r="V879" s="40">
        <f>IF($A879="","",IF($A879='Client Report'!$C$4,COUNTIFS($A$6:$A879,'Client Report'!$C$4),""))</f>
        <v/>
      </c>
    </row>
    <row r="880">
      <c r="A880" s="11" t="n"/>
      <c r="B880" s="11" t="n"/>
      <c r="C880" s="11" t="n"/>
      <c r="D880" s="11" t="n"/>
      <c r="E880" s="12" t="n"/>
      <c r="F880" s="34" t="n"/>
      <c r="G880" s="34" t="n"/>
      <c r="H880" s="34" t="n"/>
      <c r="I880" s="34" t="n"/>
      <c r="J880" s="34" t="n"/>
      <c r="K880" s="34" t="n"/>
      <c r="L880" s="34" t="n"/>
      <c r="M880" s="36" t="n"/>
      <c r="N880" s="36" t="n"/>
      <c r="O880" s="41" t="n"/>
      <c r="P880" s="27">
        <f>IF($B880="","",IFERROR(TRIM(LEFT($B880,FIND(" - ",$B880)-1)),"Others"))</f>
        <v/>
      </c>
      <c r="Q880" s="39">
        <f>IF($A880="","",SUM($F880:$H880))</f>
        <v/>
      </c>
      <c r="R880" s="39">
        <f>IF($A880="","",SUM($I880:$K880))</f>
        <v/>
      </c>
      <c r="S880" s="39">
        <f>IF($A880="","",($L880+$R880)-$Q880)</f>
        <v/>
      </c>
      <c r="T880" s="31">
        <f>IF(OR($A880="",$Q880=0),"",$S880/$Q880)</f>
        <v/>
      </c>
      <c r="U880" s="27">
        <f>IF($A880="","",IF($L880&gt;0,"Live","Exited"))</f>
        <v/>
      </c>
      <c r="V880" s="40">
        <f>IF($A880="","",IF($A880='Client Report'!$C$4,COUNTIFS($A$6:$A880,'Client Report'!$C$4),""))</f>
        <v/>
      </c>
    </row>
    <row r="881">
      <c r="A881" s="11" t="n"/>
      <c r="B881" s="11" t="n"/>
      <c r="C881" s="11" t="n"/>
      <c r="D881" s="11" t="n"/>
      <c r="E881" s="12" t="n"/>
      <c r="F881" s="34" t="n"/>
      <c r="G881" s="34" t="n"/>
      <c r="H881" s="34" t="n"/>
      <c r="I881" s="34" t="n"/>
      <c r="J881" s="34" t="n"/>
      <c r="K881" s="34" t="n"/>
      <c r="L881" s="34" t="n"/>
      <c r="M881" s="36" t="n"/>
      <c r="N881" s="36" t="n"/>
      <c r="O881" s="41" t="n"/>
      <c r="P881" s="27">
        <f>IF($B881="","",IFERROR(TRIM(LEFT($B881,FIND(" - ",$B881)-1)),"Others"))</f>
        <v/>
      </c>
      <c r="Q881" s="39">
        <f>IF($A881="","",SUM($F881:$H881))</f>
        <v/>
      </c>
      <c r="R881" s="39">
        <f>IF($A881="","",SUM($I881:$K881))</f>
        <v/>
      </c>
      <c r="S881" s="39">
        <f>IF($A881="","",($L881+$R881)-$Q881)</f>
        <v/>
      </c>
      <c r="T881" s="31">
        <f>IF(OR($A881="",$Q881=0),"",$S881/$Q881)</f>
        <v/>
      </c>
      <c r="U881" s="27">
        <f>IF($A881="","",IF($L881&gt;0,"Live","Exited"))</f>
        <v/>
      </c>
      <c r="V881" s="40">
        <f>IF($A881="","",IF($A881='Client Report'!$C$4,COUNTIFS($A$6:$A881,'Client Report'!$C$4),""))</f>
        <v/>
      </c>
    </row>
    <row r="882">
      <c r="A882" s="11" t="n"/>
      <c r="B882" s="11" t="n"/>
      <c r="C882" s="11" t="n"/>
      <c r="D882" s="11" t="n"/>
      <c r="E882" s="12" t="n"/>
      <c r="F882" s="34" t="n"/>
      <c r="G882" s="34" t="n"/>
      <c r="H882" s="34" t="n"/>
      <c r="I882" s="34" t="n"/>
      <c r="J882" s="34" t="n"/>
      <c r="K882" s="34" t="n"/>
      <c r="L882" s="34" t="n"/>
      <c r="M882" s="36" t="n"/>
      <c r="N882" s="36" t="n"/>
      <c r="O882" s="41" t="n"/>
      <c r="P882" s="27">
        <f>IF($B882="","",IFERROR(TRIM(LEFT($B882,FIND(" - ",$B882)-1)),"Others"))</f>
        <v/>
      </c>
      <c r="Q882" s="39">
        <f>IF($A882="","",SUM($F882:$H882))</f>
        <v/>
      </c>
      <c r="R882" s="39">
        <f>IF($A882="","",SUM($I882:$K882))</f>
        <v/>
      </c>
      <c r="S882" s="39">
        <f>IF($A882="","",($L882+$R882)-$Q882)</f>
        <v/>
      </c>
      <c r="T882" s="31">
        <f>IF(OR($A882="",$Q882=0),"",$S882/$Q882)</f>
        <v/>
      </c>
      <c r="U882" s="27">
        <f>IF($A882="","",IF($L882&gt;0,"Live","Exited"))</f>
        <v/>
      </c>
      <c r="V882" s="40">
        <f>IF($A882="","",IF($A882='Client Report'!$C$4,COUNTIFS($A$6:$A882,'Client Report'!$C$4),""))</f>
        <v/>
      </c>
    </row>
    <row r="883">
      <c r="A883" s="11" t="n"/>
      <c r="B883" s="11" t="n"/>
      <c r="C883" s="11" t="n"/>
      <c r="D883" s="11" t="n"/>
      <c r="E883" s="12" t="n"/>
      <c r="F883" s="34" t="n"/>
      <c r="G883" s="34" t="n"/>
      <c r="H883" s="34" t="n"/>
      <c r="I883" s="34" t="n"/>
      <c r="J883" s="34" t="n"/>
      <c r="K883" s="34" t="n"/>
      <c r="L883" s="34" t="n"/>
      <c r="M883" s="36" t="n"/>
      <c r="N883" s="36" t="n"/>
      <c r="O883" s="41" t="n"/>
      <c r="P883" s="27">
        <f>IF($B883="","",IFERROR(TRIM(LEFT($B883,FIND(" - ",$B883)-1)),"Others"))</f>
        <v/>
      </c>
      <c r="Q883" s="39">
        <f>IF($A883="","",SUM($F883:$H883))</f>
        <v/>
      </c>
      <c r="R883" s="39">
        <f>IF($A883="","",SUM($I883:$K883))</f>
        <v/>
      </c>
      <c r="S883" s="39">
        <f>IF($A883="","",($L883+$R883)-$Q883)</f>
        <v/>
      </c>
      <c r="T883" s="31">
        <f>IF(OR($A883="",$Q883=0),"",$S883/$Q883)</f>
        <v/>
      </c>
      <c r="U883" s="27">
        <f>IF($A883="","",IF($L883&gt;0,"Live","Exited"))</f>
        <v/>
      </c>
      <c r="V883" s="40">
        <f>IF($A883="","",IF($A883='Client Report'!$C$4,COUNTIFS($A$6:$A883,'Client Report'!$C$4),""))</f>
        <v/>
      </c>
    </row>
    <row r="884">
      <c r="A884" s="11" t="n"/>
      <c r="B884" s="11" t="n"/>
      <c r="C884" s="11" t="n"/>
      <c r="D884" s="11" t="n"/>
      <c r="E884" s="12" t="n"/>
      <c r="F884" s="34" t="n"/>
      <c r="G884" s="34" t="n"/>
      <c r="H884" s="34" t="n"/>
      <c r="I884" s="34" t="n"/>
      <c r="J884" s="34" t="n"/>
      <c r="K884" s="34" t="n"/>
      <c r="L884" s="34" t="n"/>
      <c r="M884" s="36" t="n"/>
      <c r="N884" s="36" t="n"/>
      <c r="O884" s="41" t="n"/>
      <c r="P884" s="27">
        <f>IF($B884="","",IFERROR(TRIM(LEFT($B884,FIND(" - ",$B884)-1)),"Others"))</f>
        <v/>
      </c>
      <c r="Q884" s="39">
        <f>IF($A884="","",SUM($F884:$H884))</f>
        <v/>
      </c>
      <c r="R884" s="39">
        <f>IF($A884="","",SUM($I884:$K884))</f>
        <v/>
      </c>
      <c r="S884" s="39">
        <f>IF($A884="","",($L884+$R884)-$Q884)</f>
        <v/>
      </c>
      <c r="T884" s="31">
        <f>IF(OR($A884="",$Q884=0),"",$S884/$Q884)</f>
        <v/>
      </c>
      <c r="U884" s="27">
        <f>IF($A884="","",IF($L884&gt;0,"Live","Exited"))</f>
        <v/>
      </c>
      <c r="V884" s="40">
        <f>IF($A884="","",IF($A884='Client Report'!$C$4,COUNTIFS($A$6:$A884,'Client Report'!$C$4),""))</f>
        <v/>
      </c>
    </row>
    <row r="885">
      <c r="A885" s="11" t="n"/>
      <c r="B885" s="11" t="n"/>
      <c r="C885" s="11" t="n"/>
      <c r="D885" s="11" t="n"/>
      <c r="E885" s="12" t="n"/>
      <c r="F885" s="34" t="n"/>
      <c r="G885" s="34" t="n"/>
      <c r="H885" s="34" t="n"/>
      <c r="I885" s="34" t="n"/>
      <c r="J885" s="34" t="n"/>
      <c r="K885" s="34" t="n"/>
      <c r="L885" s="34" t="n"/>
      <c r="M885" s="36" t="n"/>
      <c r="N885" s="36" t="n"/>
      <c r="O885" s="41" t="n"/>
      <c r="P885" s="27">
        <f>IF($B885="","",IFERROR(TRIM(LEFT($B885,FIND(" - ",$B885)-1)),"Others"))</f>
        <v/>
      </c>
      <c r="Q885" s="39">
        <f>IF($A885="","",SUM($F885:$H885))</f>
        <v/>
      </c>
      <c r="R885" s="39">
        <f>IF($A885="","",SUM($I885:$K885))</f>
        <v/>
      </c>
      <c r="S885" s="39">
        <f>IF($A885="","",($L885+$R885)-$Q885)</f>
        <v/>
      </c>
      <c r="T885" s="31">
        <f>IF(OR($A885="",$Q885=0),"",$S885/$Q885)</f>
        <v/>
      </c>
      <c r="U885" s="27">
        <f>IF($A885="","",IF($L885&gt;0,"Live","Exited"))</f>
        <v/>
      </c>
      <c r="V885" s="40">
        <f>IF($A885="","",IF($A885='Client Report'!$C$4,COUNTIFS($A$6:$A885,'Client Report'!$C$4),""))</f>
        <v/>
      </c>
    </row>
    <row r="886">
      <c r="A886" s="11" t="n"/>
      <c r="B886" s="11" t="n"/>
      <c r="C886" s="11" t="n"/>
      <c r="D886" s="11" t="n"/>
      <c r="E886" s="12" t="n"/>
      <c r="F886" s="34" t="n"/>
      <c r="G886" s="34" t="n"/>
      <c r="H886" s="34" t="n"/>
      <c r="I886" s="34" t="n"/>
      <c r="J886" s="34" t="n"/>
      <c r="K886" s="34" t="n"/>
      <c r="L886" s="34" t="n"/>
      <c r="M886" s="36" t="n"/>
      <c r="N886" s="36" t="n"/>
      <c r="O886" s="41" t="n"/>
      <c r="P886" s="27">
        <f>IF($B886="","",IFERROR(TRIM(LEFT($B886,FIND(" - ",$B886)-1)),"Others"))</f>
        <v/>
      </c>
      <c r="Q886" s="39">
        <f>IF($A886="","",SUM($F886:$H886))</f>
        <v/>
      </c>
      <c r="R886" s="39">
        <f>IF($A886="","",SUM($I886:$K886))</f>
        <v/>
      </c>
      <c r="S886" s="39">
        <f>IF($A886="","",($L886+$R886)-$Q886)</f>
        <v/>
      </c>
      <c r="T886" s="31">
        <f>IF(OR($A886="",$Q886=0),"",$S886/$Q886)</f>
        <v/>
      </c>
      <c r="U886" s="27">
        <f>IF($A886="","",IF($L886&gt;0,"Live","Exited"))</f>
        <v/>
      </c>
      <c r="V886" s="40">
        <f>IF($A886="","",IF($A886='Client Report'!$C$4,COUNTIFS($A$6:$A886,'Client Report'!$C$4),""))</f>
        <v/>
      </c>
    </row>
    <row r="887">
      <c r="A887" s="11" t="n"/>
      <c r="B887" s="11" t="n"/>
      <c r="C887" s="11" t="n"/>
      <c r="D887" s="11" t="n"/>
      <c r="E887" s="12" t="n"/>
      <c r="F887" s="34" t="n"/>
      <c r="G887" s="34" t="n"/>
      <c r="H887" s="34" t="n"/>
      <c r="I887" s="34" t="n"/>
      <c r="J887" s="34" t="n"/>
      <c r="K887" s="34" t="n"/>
      <c r="L887" s="34" t="n"/>
      <c r="M887" s="36" t="n"/>
      <c r="N887" s="36" t="n"/>
      <c r="O887" s="41" t="n"/>
      <c r="P887" s="27">
        <f>IF($B887="","",IFERROR(TRIM(LEFT($B887,FIND(" - ",$B887)-1)),"Others"))</f>
        <v/>
      </c>
      <c r="Q887" s="39">
        <f>IF($A887="","",SUM($F887:$H887))</f>
        <v/>
      </c>
      <c r="R887" s="39">
        <f>IF($A887="","",SUM($I887:$K887))</f>
        <v/>
      </c>
      <c r="S887" s="39">
        <f>IF($A887="","",($L887+$R887)-$Q887)</f>
        <v/>
      </c>
      <c r="T887" s="31">
        <f>IF(OR($A887="",$Q887=0),"",$S887/$Q887)</f>
        <v/>
      </c>
      <c r="U887" s="27">
        <f>IF($A887="","",IF($L887&gt;0,"Live","Exited"))</f>
        <v/>
      </c>
      <c r="V887" s="40">
        <f>IF($A887="","",IF($A887='Client Report'!$C$4,COUNTIFS($A$6:$A887,'Client Report'!$C$4),""))</f>
        <v/>
      </c>
    </row>
    <row r="888">
      <c r="A888" s="11" t="n"/>
      <c r="B888" s="11" t="n"/>
      <c r="C888" s="11" t="n"/>
      <c r="D888" s="11" t="n"/>
      <c r="E888" s="12" t="n"/>
      <c r="F888" s="34" t="n"/>
      <c r="G888" s="34" t="n"/>
      <c r="H888" s="34" t="n"/>
      <c r="I888" s="34" t="n"/>
      <c r="J888" s="34" t="n"/>
      <c r="K888" s="34" t="n"/>
      <c r="L888" s="34" t="n"/>
      <c r="M888" s="36" t="n"/>
      <c r="N888" s="36" t="n"/>
      <c r="O888" s="41" t="n"/>
      <c r="P888" s="27">
        <f>IF($B888="","",IFERROR(TRIM(LEFT($B888,FIND(" - ",$B888)-1)),"Others"))</f>
        <v/>
      </c>
      <c r="Q888" s="39">
        <f>IF($A888="","",SUM($F888:$H888))</f>
        <v/>
      </c>
      <c r="R888" s="39">
        <f>IF($A888="","",SUM($I888:$K888))</f>
        <v/>
      </c>
      <c r="S888" s="39">
        <f>IF($A888="","",($L888+$R888)-$Q888)</f>
        <v/>
      </c>
      <c r="T888" s="31">
        <f>IF(OR($A888="",$Q888=0),"",$S888/$Q888)</f>
        <v/>
      </c>
      <c r="U888" s="27">
        <f>IF($A888="","",IF($L888&gt;0,"Live","Exited"))</f>
        <v/>
      </c>
      <c r="V888" s="40">
        <f>IF($A888="","",IF($A888='Client Report'!$C$4,COUNTIFS($A$6:$A888,'Client Report'!$C$4),""))</f>
        <v/>
      </c>
    </row>
    <row r="889">
      <c r="A889" s="11" t="n"/>
      <c r="B889" s="11" t="n"/>
      <c r="C889" s="11" t="n"/>
      <c r="D889" s="11" t="n"/>
      <c r="E889" s="12" t="n"/>
      <c r="F889" s="34" t="n"/>
      <c r="G889" s="34" t="n"/>
      <c r="H889" s="34" t="n"/>
      <c r="I889" s="34" t="n"/>
      <c r="J889" s="34" t="n"/>
      <c r="K889" s="34" t="n"/>
      <c r="L889" s="34" t="n"/>
      <c r="M889" s="36" t="n"/>
      <c r="N889" s="36" t="n"/>
      <c r="O889" s="41" t="n"/>
      <c r="P889" s="27">
        <f>IF($B889="","",IFERROR(TRIM(LEFT($B889,FIND(" - ",$B889)-1)),"Others"))</f>
        <v/>
      </c>
      <c r="Q889" s="39">
        <f>IF($A889="","",SUM($F889:$H889))</f>
        <v/>
      </c>
      <c r="R889" s="39">
        <f>IF($A889="","",SUM($I889:$K889))</f>
        <v/>
      </c>
      <c r="S889" s="39">
        <f>IF($A889="","",($L889+$R889)-$Q889)</f>
        <v/>
      </c>
      <c r="T889" s="31">
        <f>IF(OR($A889="",$Q889=0),"",$S889/$Q889)</f>
        <v/>
      </c>
      <c r="U889" s="27">
        <f>IF($A889="","",IF($L889&gt;0,"Live","Exited"))</f>
        <v/>
      </c>
      <c r="V889" s="40">
        <f>IF($A889="","",IF($A889='Client Report'!$C$4,COUNTIFS($A$6:$A889,'Client Report'!$C$4),""))</f>
        <v/>
      </c>
    </row>
    <row r="890">
      <c r="A890" s="11" t="n"/>
      <c r="B890" s="11" t="n"/>
      <c r="C890" s="11" t="n"/>
      <c r="D890" s="11" t="n"/>
      <c r="E890" s="12" t="n"/>
      <c r="F890" s="34" t="n"/>
      <c r="G890" s="34" t="n"/>
      <c r="H890" s="34" t="n"/>
      <c r="I890" s="34" t="n"/>
      <c r="J890" s="34" t="n"/>
      <c r="K890" s="34" t="n"/>
      <c r="L890" s="34" t="n"/>
      <c r="M890" s="36" t="n"/>
      <c r="N890" s="36" t="n"/>
      <c r="O890" s="41" t="n"/>
      <c r="P890" s="27">
        <f>IF($B890="","",IFERROR(TRIM(LEFT($B890,FIND(" - ",$B890)-1)),"Others"))</f>
        <v/>
      </c>
      <c r="Q890" s="39">
        <f>IF($A890="","",SUM($F890:$H890))</f>
        <v/>
      </c>
      <c r="R890" s="39">
        <f>IF($A890="","",SUM($I890:$K890))</f>
        <v/>
      </c>
      <c r="S890" s="39">
        <f>IF($A890="","",($L890+$R890)-$Q890)</f>
        <v/>
      </c>
      <c r="T890" s="31">
        <f>IF(OR($A890="",$Q890=0),"",$S890/$Q890)</f>
        <v/>
      </c>
      <c r="U890" s="27">
        <f>IF($A890="","",IF($L890&gt;0,"Live","Exited"))</f>
        <v/>
      </c>
      <c r="V890" s="40">
        <f>IF($A890="","",IF($A890='Client Report'!$C$4,COUNTIFS($A$6:$A890,'Client Report'!$C$4),""))</f>
        <v/>
      </c>
    </row>
    <row r="891">
      <c r="A891" s="11" t="n"/>
      <c r="B891" s="11" t="n"/>
      <c r="C891" s="11" t="n"/>
      <c r="D891" s="11" t="n"/>
      <c r="E891" s="12" t="n"/>
      <c r="F891" s="34" t="n"/>
      <c r="G891" s="34" t="n"/>
      <c r="H891" s="34" t="n"/>
      <c r="I891" s="34" t="n"/>
      <c r="J891" s="34" t="n"/>
      <c r="K891" s="34" t="n"/>
      <c r="L891" s="34" t="n"/>
      <c r="M891" s="36" t="n"/>
      <c r="N891" s="36" t="n"/>
      <c r="O891" s="41" t="n"/>
      <c r="P891" s="27">
        <f>IF($B891="","",IFERROR(TRIM(LEFT($B891,FIND(" - ",$B891)-1)),"Others"))</f>
        <v/>
      </c>
      <c r="Q891" s="39">
        <f>IF($A891="","",SUM($F891:$H891))</f>
        <v/>
      </c>
      <c r="R891" s="39">
        <f>IF($A891="","",SUM($I891:$K891))</f>
        <v/>
      </c>
      <c r="S891" s="39">
        <f>IF($A891="","",($L891+$R891)-$Q891)</f>
        <v/>
      </c>
      <c r="T891" s="31">
        <f>IF(OR($A891="",$Q891=0),"",$S891/$Q891)</f>
        <v/>
      </c>
      <c r="U891" s="27">
        <f>IF($A891="","",IF($L891&gt;0,"Live","Exited"))</f>
        <v/>
      </c>
      <c r="V891" s="40">
        <f>IF($A891="","",IF($A891='Client Report'!$C$4,COUNTIFS($A$6:$A891,'Client Report'!$C$4),""))</f>
        <v/>
      </c>
    </row>
    <row r="892">
      <c r="A892" s="11" t="n"/>
      <c r="B892" s="11" t="n"/>
      <c r="C892" s="11" t="n"/>
      <c r="D892" s="11" t="n"/>
      <c r="E892" s="12" t="n"/>
      <c r="F892" s="34" t="n"/>
      <c r="G892" s="34" t="n"/>
      <c r="H892" s="34" t="n"/>
      <c r="I892" s="34" t="n"/>
      <c r="J892" s="34" t="n"/>
      <c r="K892" s="34" t="n"/>
      <c r="L892" s="34" t="n"/>
      <c r="M892" s="36" t="n"/>
      <c r="N892" s="36" t="n"/>
      <c r="O892" s="41" t="n"/>
      <c r="P892" s="27">
        <f>IF($B892="","",IFERROR(TRIM(LEFT($B892,FIND(" - ",$B892)-1)),"Others"))</f>
        <v/>
      </c>
      <c r="Q892" s="39">
        <f>IF($A892="","",SUM($F892:$H892))</f>
        <v/>
      </c>
      <c r="R892" s="39">
        <f>IF($A892="","",SUM($I892:$K892))</f>
        <v/>
      </c>
      <c r="S892" s="39">
        <f>IF($A892="","",($L892+$R892)-$Q892)</f>
        <v/>
      </c>
      <c r="T892" s="31">
        <f>IF(OR($A892="",$Q892=0),"",$S892/$Q892)</f>
        <v/>
      </c>
      <c r="U892" s="27">
        <f>IF($A892="","",IF($L892&gt;0,"Live","Exited"))</f>
        <v/>
      </c>
      <c r="V892" s="40">
        <f>IF($A892="","",IF($A892='Client Report'!$C$4,COUNTIFS($A$6:$A892,'Client Report'!$C$4),""))</f>
        <v/>
      </c>
    </row>
    <row r="893">
      <c r="A893" s="11" t="n"/>
      <c r="B893" s="11" t="n"/>
      <c r="C893" s="11" t="n"/>
      <c r="D893" s="11" t="n"/>
      <c r="E893" s="12" t="n"/>
      <c r="F893" s="34" t="n"/>
      <c r="G893" s="34" t="n"/>
      <c r="H893" s="34" t="n"/>
      <c r="I893" s="34" t="n"/>
      <c r="J893" s="34" t="n"/>
      <c r="K893" s="34" t="n"/>
      <c r="L893" s="34" t="n"/>
      <c r="M893" s="36" t="n"/>
      <c r="N893" s="36" t="n"/>
      <c r="O893" s="41" t="n"/>
      <c r="P893" s="27">
        <f>IF($B893="","",IFERROR(TRIM(LEFT($B893,FIND(" - ",$B893)-1)),"Others"))</f>
        <v/>
      </c>
      <c r="Q893" s="39">
        <f>IF($A893="","",SUM($F893:$H893))</f>
        <v/>
      </c>
      <c r="R893" s="39">
        <f>IF($A893="","",SUM($I893:$K893))</f>
        <v/>
      </c>
      <c r="S893" s="39">
        <f>IF($A893="","",($L893+$R893)-$Q893)</f>
        <v/>
      </c>
      <c r="T893" s="31">
        <f>IF(OR($A893="",$Q893=0),"",$S893/$Q893)</f>
        <v/>
      </c>
      <c r="U893" s="27">
        <f>IF($A893="","",IF($L893&gt;0,"Live","Exited"))</f>
        <v/>
      </c>
      <c r="V893" s="40">
        <f>IF($A893="","",IF($A893='Client Report'!$C$4,COUNTIFS($A$6:$A893,'Client Report'!$C$4),""))</f>
        <v/>
      </c>
    </row>
    <row r="894">
      <c r="A894" s="11" t="n"/>
      <c r="B894" s="11" t="n"/>
      <c r="C894" s="11" t="n"/>
      <c r="D894" s="11" t="n"/>
      <c r="E894" s="12" t="n"/>
      <c r="F894" s="34" t="n"/>
      <c r="G894" s="34" t="n"/>
      <c r="H894" s="34" t="n"/>
      <c r="I894" s="34" t="n"/>
      <c r="J894" s="34" t="n"/>
      <c r="K894" s="34" t="n"/>
      <c r="L894" s="34" t="n"/>
      <c r="M894" s="36" t="n"/>
      <c r="N894" s="36" t="n"/>
      <c r="O894" s="41" t="n"/>
      <c r="P894" s="27">
        <f>IF($B894="","",IFERROR(TRIM(LEFT($B894,FIND(" - ",$B894)-1)),"Others"))</f>
        <v/>
      </c>
      <c r="Q894" s="39">
        <f>IF($A894="","",SUM($F894:$H894))</f>
        <v/>
      </c>
      <c r="R894" s="39">
        <f>IF($A894="","",SUM($I894:$K894))</f>
        <v/>
      </c>
      <c r="S894" s="39">
        <f>IF($A894="","",($L894+$R894)-$Q894)</f>
        <v/>
      </c>
      <c r="T894" s="31">
        <f>IF(OR($A894="",$Q894=0),"",$S894/$Q894)</f>
        <v/>
      </c>
      <c r="U894" s="27">
        <f>IF($A894="","",IF($L894&gt;0,"Live","Exited"))</f>
        <v/>
      </c>
      <c r="V894" s="40">
        <f>IF($A894="","",IF($A894='Client Report'!$C$4,COUNTIFS($A$6:$A894,'Client Report'!$C$4),""))</f>
        <v/>
      </c>
    </row>
    <row r="895">
      <c r="A895" s="11" t="n"/>
      <c r="B895" s="11" t="n"/>
      <c r="C895" s="11" t="n"/>
      <c r="D895" s="11" t="n"/>
      <c r="E895" s="12" t="n"/>
      <c r="F895" s="34" t="n"/>
      <c r="G895" s="34" t="n"/>
      <c r="H895" s="34" t="n"/>
      <c r="I895" s="34" t="n"/>
      <c r="J895" s="34" t="n"/>
      <c r="K895" s="34" t="n"/>
      <c r="L895" s="34" t="n"/>
      <c r="M895" s="36" t="n"/>
      <c r="N895" s="36" t="n"/>
      <c r="O895" s="41" t="n"/>
      <c r="P895" s="27">
        <f>IF($B895="","",IFERROR(TRIM(LEFT($B895,FIND(" - ",$B895)-1)),"Others"))</f>
        <v/>
      </c>
      <c r="Q895" s="39">
        <f>IF($A895="","",SUM($F895:$H895))</f>
        <v/>
      </c>
      <c r="R895" s="39">
        <f>IF($A895="","",SUM($I895:$K895))</f>
        <v/>
      </c>
      <c r="S895" s="39">
        <f>IF($A895="","",($L895+$R895)-$Q895)</f>
        <v/>
      </c>
      <c r="T895" s="31">
        <f>IF(OR($A895="",$Q895=0),"",$S895/$Q895)</f>
        <v/>
      </c>
      <c r="U895" s="27">
        <f>IF($A895="","",IF($L895&gt;0,"Live","Exited"))</f>
        <v/>
      </c>
      <c r="V895" s="40">
        <f>IF($A895="","",IF($A895='Client Report'!$C$4,COUNTIFS($A$6:$A895,'Client Report'!$C$4),""))</f>
        <v/>
      </c>
    </row>
    <row r="896">
      <c r="A896" s="11" t="n"/>
      <c r="B896" s="11" t="n"/>
      <c r="C896" s="11" t="n"/>
      <c r="D896" s="11" t="n"/>
      <c r="E896" s="12" t="n"/>
      <c r="F896" s="34" t="n"/>
      <c r="G896" s="34" t="n"/>
      <c r="H896" s="34" t="n"/>
      <c r="I896" s="34" t="n"/>
      <c r="J896" s="34" t="n"/>
      <c r="K896" s="34" t="n"/>
      <c r="L896" s="34" t="n"/>
      <c r="M896" s="36" t="n"/>
      <c r="N896" s="36" t="n"/>
      <c r="O896" s="41" t="n"/>
      <c r="P896" s="27">
        <f>IF($B896="","",IFERROR(TRIM(LEFT($B896,FIND(" - ",$B896)-1)),"Others"))</f>
        <v/>
      </c>
      <c r="Q896" s="39">
        <f>IF($A896="","",SUM($F896:$H896))</f>
        <v/>
      </c>
      <c r="R896" s="39">
        <f>IF($A896="","",SUM($I896:$K896))</f>
        <v/>
      </c>
      <c r="S896" s="39">
        <f>IF($A896="","",($L896+$R896)-$Q896)</f>
        <v/>
      </c>
      <c r="T896" s="31">
        <f>IF(OR($A896="",$Q896=0),"",$S896/$Q896)</f>
        <v/>
      </c>
      <c r="U896" s="27">
        <f>IF($A896="","",IF($L896&gt;0,"Live","Exited"))</f>
        <v/>
      </c>
      <c r="V896" s="40">
        <f>IF($A896="","",IF($A896='Client Report'!$C$4,COUNTIFS($A$6:$A896,'Client Report'!$C$4),""))</f>
        <v/>
      </c>
    </row>
    <row r="897">
      <c r="A897" s="11" t="n"/>
      <c r="B897" s="11" t="n"/>
      <c r="C897" s="11" t="n"/>
      <c r="D897" s="11" t="n"/>
      <c r="E897" s="12" t="n"/>
      <c r="F897" s="34" t="n"/>
      <c r="G897" s="34" t="n"/>
      <c r="H897" s="34" t="n"/>
      <c r="I897" s="34" t="n"/>
      <c r="J897" s="34" t="n"/>
      <c r="K897" s="34" t="n"/>
      <c r="L897" s="34" t="n"/>
      <c r="M897" s="36" t="n"/>
      <c r="N897" s="36" t="n"/>
      <c r="O897" s="41" t="n"/>
      <c r="P897" s="27">
        <f>IF($B897="","",IFERROR(TRIM(LEFT($B897,FIND(" - ",$B897)-1)),"Others"))</f>
        <v/>
      </c>
      <c r="Q897" s="39">
        <f>IF($A897="","",SUM($F897:$H897))</f>
        <v/>
      </c>
      <c r="R897" s="39">
        <f>IF($A897="","",SUM($I897:$K897))</f>
        <v/>
      </c>
      <c r="S897" s="39">
        <f>IF($A897="","",($L897+$R897)-$Q897)</f>
        <v/>
      </c>
      <c r="T897" s="31">
        <f>IF(OR($A897="",$Q897=0),"",$S897/$Q897)</f>
        <v/>
      </c>
      <c r="U897" s="27">
        <f>IF($A897="","",IF($L897&gt;0,"Live","Exited"))</f>
        <v/>
      </c>
      <c r="V897" s="40">
        <f>IF($A897="","",IF($A897='Client Report'!$C$4,COUNTIFS($A$6:$A897,'Client Report'!$C$4),""))</f>
        <v/>
      </c>
    </row>
    <row r="898">
      <c r="A898" s="11" t="n"/>
      <c r="B898" s="11" t="n"/>
      <c r="C898" s="11" t="n"/>
      <c r="D898" s="11" t="n"/>
      <c r="E898" s="12" t="n"/>
      <c r="F898" s="34" t="n"/>
      <c r="G898" s="34" t="n"/>
      <c r="H898" s="34" t="n"/>
      <c r="I898" s="34" t="n"/>
      <c r="J898" s="34" t="n"/>
      <c r="K898" s="34" t="n"/>
      <c r="L898" s="34" t="n"/>
      <c r="M898" s="36" t="n"/>
      <c r="N898" s="36" t="n"/>
      <c r="O898" s="41" t="n"/>
      <c r="P898" s="27">
        <f>IF($B898="","",IFERROR(TRIM(LEFT($B898,FIND(" - ",$B898)-1)),"Others"))</f>
        <v/>
      </c>
      <c r="Q898" s="39">
        <f>IF($A898="","",SUM($F898:$H898))</f>
        <v/>
      </c>
      <c r="R898" s="39">
        <f>IF($A898="","",SUM($I898:$K898))</f>
        <v/>
      </c>
      <c r="S898" s="39">
        <f>IF($A898="","",($L898+$R898)-$Q898)</f>
        <v/>
      </c>
      <c r="T898" s="31">
        <f>IF(OR($A898="",$Q898=0),"",$S898/$Q898)</f>
        <v/>
      </c>
      <c r="U898" s="27">
        <f>IF($A898="","",IF($L898&gt;0,"Live","Exited"))</f>
        <v/>
      </c>
      <c r="V898" s="40">
        <f>IF($A898="","",IF($A898='Client Report'!$C$4,COUNTIFS($A$6:$A898,'Client Report'!$C$4),""))</f>
        <v/>
      </c>
    </row>
    <row r="899">
      <c r="A899" s="11" t="n"/>
      <c r="B899" s="11" t="n"/>
      <c r="C899" s="11" t="n"/>
      <c r="D899" s="11" t="n"/>
      <c r="E899" s="12" t="n"/>
      <c r="F899" s="34" t="n"/>
      <c r="G899" s="34" t="n"/>
      <c r="H899" s="34" t="n"/>
      <c r="I899" s="34" t="n"/>
      <c r="J899" s="34" t="n"/>
      <c r="K899" s="34" t="n"/>
      <c r="L899" s="34" t="n"/>
      <c r="M899" s="36" t="n"/>
      <c r="N899" s="36" t="n"/>
      <c r="O899" s="41" t="n"/>
      <c r="P899" s="27">
        <f>IF($B899="","",IFERROR(TRIM(LEFT($B899,FIND(" - ",$B899)-1)),"Others"))</f>
        <v/>
      </c>
      <c r="Q899" s="39">
        <f>IF($A899="","",SUM($F899:$H899))</f>
        <v/>
      </c>
      <c r="R899" s="39">
        <f>IF($A899="","",SUM($I899:$K899))</f>
        <v/>
      </c>
      <c r="S899" s="39">
        <f>IF($A899="","",($L899+$R899)-$Q899)</f>
        <v/>
      </c>
      <c r="T899" s="31">
        <f>IF(OR($A899="",$Q899=0),"",$S899/$Q899)</f>
        <v/>
      </c>
      <c r="U899" s="27">
        <f>IF($A899="","",IF($L899&gt;0,"Live","Exited"))</f>
        <v/>
      </c>
      <c r="V899" s="40">
        <f>IF($A899="","",IF($A899='Client Report'!$C$4,COUNTIFS($A$6:$A899,'Client Report'!$C$4),""))</f>
        <v/>
      </c>
    </row>
    <row r="900">
      <c r="A900" s="11" t="n"/>
      <c r="B900" s="11" t="n"/>
      <c r="C900" s="11" t="n"/>
      <c r="D900" s="11" t="n"/>
      <c r="E900" s="12" t="n"/>
      <c r="F900" s="34" t="n"/>
      <c r="G900" s="34" t="n"/>
      <c r="H900" s="34" t="n"/>
      <c r="I900" s="34" t="n"/>
      <c r="J900" s="34" t="n"/>
      <c r="K900" s="34" t="n"/>
      <c r="L900" s="34" t="n"/>
      <c r="M900" s="36" t="n"/>
      <c r="N900" s="36" t="n"/>
      <c r="O900" s="41" t="n"/>
      <c r="P900" s="27">
        <f>IF($B900="","",IFERROR(TRIM(LEFT($B900,FIND(" - ",$B900)-1)),"Others"))</f>
        <v/>
      </c>
      <c r="Q900" s="39">
        <f>IF($A900="","",SUM($F900:$H900))</f>
        <v/>
      </c>
      <c r="R900" s="39">
        <f>IF($A900="","",SUM($I900:$K900))</f>
        <v/>
      </c>
      <c r="S900" s="39">
        <f>IF($A900="","",($L900+$R900)-$Q900)</f>
        <v/>
      </c>
      <c r="T900" s="31">
        <f>IF(OR($A900="",$Q900=0),"",$S900/$Q900)</f>
        <v/>
      </c>
      <c r="U900" s="27">
        <f>IF($A900="","",IF($L900&gt;0,"Live","Exited"))</f>
        <v/>
      </c>
      <c r="V900" s="40">
        <f>IF($A900="","",IF($A900='Client Report'!$C$4,COUNTIFS($A$6:$A900,'Client Report'!$C$4),""))</f>
        <v/>
      </c>
    </row>
    <row r="901">
      <c r="A901" s="11" t="n"/>
      <c r="B901" s="11" t="n"/>
      <c r="C901" s="11" t="n"/>
      <c r="D901" s="11" t="n"/>
      <c r="E901" s="12" t="n"/>
      <c r="F901" s="34" t="n"/>
      <c r="G901" s="34" t="n"/>
      <c r="H901" s="34" t="n"/>
      <c r="I901" s="34" t="n"/>
      <c r="J901" s="34" t="n"/>
      <c r="K901" s="34" t="n"/>
      <c r="L901" s="34" t="n"/>
      <c r="M901" s="36" t="n"/>
      <c r="N901" s="36" t="n"/>
      <c r="O901" s="41" t="n"/>
      <c r="P901" s="27">
        <f>IF($B901="","",IFERROR(TRIM(LEFT($B901,FIND(" - ",$B901)-1)),"Others"))</f>
        <v/>
      </c>
      <c r="Q901" s="39">
        <f>IF($A901="","",SUM($F901:$H901))</f>
        <v/>
      </c>
      <c r="R901" s="39">
        <f>IF($A901="","",SUM($I901:$K901))</f>
        <v/>
      </c>
      <c r="S901" s="39">
        <f>IF($A901="","",($L901+$R901)-$Q901)</f>
        <v/>
      </c>
      <c r="T901" s="31">
        <f>IF(OR($A901="",$Q901=0),"",$S901/$Q901)</f>
        <v/>
      </c>
      <c r="U901" s="27">
        <f>IF($A901="","",IF($L901&gt;0,"Live","Exited"))</f>
        <v/>
      </c>
      <c r="V901" s="40">
        <f>IF($A901="","",IF($A901='Client Report'!$C$4,COUNTIFS($A$6:$A901,'Client Report'!$C$4),""))</f>
        <v/>
      </c>
    </row>
    <row r="902">
      <c r="A902" s="11" t="n"/>
      <c r="B902" s="11" t="n"/>
      <c r="C902" s="11" t="n"/>
      <c r="D902" s="11" t="n"/>
      <c r="E902" s="12" t="n"/>
      <c r="F902" s="34" t="n"/>
      <c r="G902" s="34" t="n"/>
      <c r="H902" s="34" t="n"/>
      <c r="I902" s="34" t="n"/>
      <c r="J902" s="34" t="n"/>
      <c r="K902" s="34" t="n"/>
      <c r="L902" s="34" t="n"/>
      <c r="M902" s="36" t="n"/>
      <c r="N902" s="36" t="n"/>
      <c r="O902" s="41" t="n"/>
      <c r="P902" s="27">
        <f>IF($B902="","",IFERROR(TRIM(LEFT($B902,FIND(" - ",$B902)-1)),"Others"))</f>
        <v/>
      </c>
      <c r="Q902" s="39">
        <f>IF($A902="","",SUM($F902:$H902))</f>
        <v/>
      </c>
      <c r="R902" s="39">
        <f>IF($A902="","",SUM($I902:$K902))</f>
        <v/>
      </c>
      <c r="S902" s="39">
        <f>IF($A902="","",($L902+$R902)-$Q902)</f>
        <v/>
      </c>
      <c r="T902" s="31">
        <f>IF(OR($A902="",$Q902=0),"",$S902/$Q902)</f>
        <v/>
      </c>
      <c r="U902" s="27">
        <f>IF($A902="","",IF($L902&gt;0,"Live","Exited"))</f>
        <v/>
      </c>
      <c r="V902" s="40">
        <f>IF($A902="","",IF($A902='Client Report'!$C$4,COUNTIFS($A$6:$A902,'Client Report'!$C$4),""))</f>
        <v/>
      </c>
    </row>
    <row r="903">
      <c r="A903" s="11" t="n"/>
      <c r="B903" s="11" t="n"/>
      <c r="C903" s="11" t="n"/>
      <c r="D903" s="11" t="n"/>
      <c r="E903" s="12" t="n"/>
      <c r="F903" s="34" t="n"/>
      <c r="G903" s="34" t="n"/>
      <c r="H903" s="34" t="n"/>
      <c r="I903" s="34" t="n"/>
      <c r="J903" s="34" t="n"/>
      <c r="K903" s="34" t="n"/>
      <c r="L903" s="34" t="n"/>
      <c r="M903" s="36" t="n"/>
      <c r="N903" s="36" t="n"/>
      <c r="O903" s="41" t="n"/>
      <c r="P903" s="27">
        <f>IF($B903="","",IFERROR(TRIM(LEFT($B903,FIND(" - ",$B903)-1)),"Others"))</f>
        <v/>
      </c>
      <c r="Q903" s="39">
        <f>IF($A903="","",SUM($F903:$H903))</f>
        <v/>
      </c>
      <c r="R903" s="39">
        <f>IF($A903="","",SUM($I903:$K903))</f>
        <v/>
      </c>
      <c r="S903" s="39">
        <f>IF($A903="","",($L903+$R903)-$Q903)</f>
        <v/>
      </c>
      <c r="T903" s="31">
        <f>IF(OR($A903="",$Q903=0),"",$S903/$Q903)</f>
        <v/>
      </c>
      <c r="U903" s="27">
        <f>IF($A903="","",IF($L903&gt;0,"Live","Exited"))</f>
        <v/>
      </c>
      <c r="V903" s="40">
        <f>IF($A903="","",IF($A903='Client Report'!$C$4,COUNTIFS($A$6:$A903,'Client Report'!$C$4),""))</f>
        <v/>
      </c>
    </row>
    <row r="904">
      <c r="A904" s="11" t="n"/>
      <c r="B904" s="11" t="n"/>
      <c r="C904" s="11" t="n"/>
      <c r="D904" s="11" t="n"/>
      <c r="E904" s="12" t="n"/>
      <c r="F904" s="34" t="n"/>
      <c r="G904" s="34" t="n"/>
      <c r="H904" s="34" t="n"/>
      <c r="I904" s="34" t="n"/>
      <c r="J904" s="34" t="n"/>
      <c r="K904" s="34" t="n"/>
      <c r="L904" s="34" t="n"/>
      <c r="M904" s="36" t="n"/>
      <c r="N904" s="36" t="n"/>
      <c r="O904" s="41" t="n"/>
      <c r="P904" s="27">
        <f>IF($B904="","",IFERROR(TRIM(LEFT($B904,FIND(" - ",$B904)-1)),"Others"))</f>
        <v/>
      </c>
      <c r="Q904" s="39">
        <f>IF($A904="","",SUM($F904:$H904))</f>
        <v/>
      </c>
      <c r="R904" s="39">
        <f>IF($A904="","",SUM($I904:$K904))</f>
        <v/>
      </c>
      <c r="S904" s="39">
        <f>IF($A904="","",($L904+$R904)-$Q904)</f>
        <v/>
      </c>
      <c r="T904" s="31">
        <f>IF(OR($A904="",$Q904=0),"",$S904/$Q904)</f>
        <v/>
      </c>
      <c r="U904" s="27">
        <f>IF($A904="","",IF($L904&gt;0,"Live","Exited"))</f>
        <v/>
      </c>
      <c r="V904" s="40">
        <f>IF($A904="","",IF($A904='Client Report'!$C$4,COUNTIFS($A$6:$A904,'Client Report'!$C$4),""))</f>
        <v/>
      </c>
    </row>
    <row r="905">
      <c r="A905" s="11" t="n"/>
      <c r="B905" s="11" t="n"/>
      <c r="C905" s="11" t="n"/>
      <c r="D905" s="11" t="n"/>
      <c r="E905" s="12" t="n"/>
      <c r="F905" s="34" t="n"/>
      <c r="G905" s="34" t="n"/>
      <c r="H905" s="34" t="n"/>
      <c r="I905" s="34" t="n"/>
      <c r="J905" s="34" t="n"/>
      <c r="K905" s="34" t="n"/>
      <c r="L905" s="34" t="n"/>
      <c r="M905" s="36" t="n"/>
      <c r="N905" s="36" t="n"/>
      <c r="O905" s="41" t="n"/>
      <c r="P905" s="27">
        <f>IF($B905="","",IFERROR(TRIM(LEFT($B905,FIND(" - ",$B905)-1)),"Others"))</f>
        <v/>
      </c>
      <c r="Q905" s="39">
        <f>IF($A905="","",SUM($F905:$H905))</f>
        <v/>
      </c>
      <c r="R905" s="39">
        <f>IF($A905="","",SUM($I905:$K905))</f>
        <v/>
      </c>
      <c r="S905" s="39">
        <f>IF($A905="","",($L905+$R905)-$Q905)</f>
        <v/>
      </c>
      <c r="T905" s="31">
        <f>IF(OR($A905="",$Q905=0),"",$S905/$Q905)</f>
        <v/>
      </c>
      <c r="U905" s="27">
        <f>IF($A905="","",IF($L905&gt;0,"Live","Exited"))</f>
        <v/>
      </c>
      <c r="V905" s="40">
        <f>IF($A905="","",IF($A905='Client Report'!$C$4,COUNTIFS($A$6:$A905,'Client Report'!$C$4),""))</f>
        <v/>
      </c>
    </row>
    <row r="906">
      <c r="A906" s="11" t="n"/>
      <c r="B906" s="11" t="n"/>
      <c r="C906" s="11" t="n"/>
      <c r="D906" s="11" t="n"/>
      <c r="E906" s="12" t="n"/>
      <c r="F906" s="34" t="n"/>
      <c r="G906" s="34" t="n"/>
      <c r="H906" s="34" t="n"/>
      <c r="I906" s="34" t="n"/>
      <c r="J906" s="34" t="n"/>
      <c r="K906" s="34" t="n"/>
      <c r="L906" s="34" t="n"/>
      <c r="M906" s="36" t="n"/>
      <c r="N906" s="36" t="n"/>
      <c r="O906" s="41" t="n"/>
      <c r="P906" s="27">
        <f>IF($B906="","",IFERROR(TRIM(LEFT($B906,FIND(" - ",$B906)-1)),"Others"))</f>
        <v/>
      </c>
      <c r="Q906" s="39">
        <f>IF($A906="","",SUM($F906:$H906))</f>
        <v/>
      </c>
      <c r="R906" s="39">
        <f>IF($A906="","",SUM($I906:$K906))</f>
        <v/>
      </c>
      <c r="S906" s="39">
        <f>IF($A906="","",($L906+$R906)-$Q906)</f>
        <v/>
      </c>
      <c r="T906" s="31">
        <f>IF(OR($A906="",$Q906=0),"",$S906/$Q906)</f>
        <v/>
      </c>
      <c r="U906" s="27">
        <f>IF($A906="","",IF($L906&gt;0,"Live","Exited"))</f>
        <v/>
      </c>
      <c r="V906" s="40">
        <f>IF($A906="","",IF($A906='Client Report'!$C$4,COUNTIFS($A$6:$A906,'Client Report'!$C$4),""))</f>
        <v/>
      </c>
    </row>
    <row r="907">
      <c r="A907" s="11" t="n"/>
      <c r="B907" s="11" t="n"/>
      <c r="C907" s="11" t="n"/>
      <c r="D907" s="11" t="n"/>
      <c r="E907" s="12" t="n"/>
      <c r="F907" s="34" t="n"/>
      <c r="G907" s="34" t="n"/>
      <c r="H907" s="34" t="n"/>
      <c r="I907" s="34" t="n"/>
      <c r="J907" s="34" t="n"/>
      <c r="K907" s="34" t="n"/>
      <c r="L907" s="34" t="n"/>
      <c r="M907" s="36" t="n"/>
      <c r="N907" s="36" t="n"/>
      <c r="O907" s="41" t="n"/>
      <c r="P907" s="27">
        <f>IF($B907="","",IFERROR(TRIM(LEFT($B907,FIND(" - ",$B907)-1)),"Others"))</f>
        <v/>
      </c>
      <c r="Q907" s="39">
        <f>IF($A907="","",SUM($F907:$H907))</f>
        <v/>
      </c>
      <c r="R907" s="39">
        <f>IF($A907="","",SUM($I907:$K907))</f>
        <v/>
      </c>
      <c r="S907" s="39">
        <f>IF($A907="","",($L907+$R907)-$Q907)</f>
        <v/>
      </c>
      <c r="T907" s="31">
        <f>IF(OR($A907="",$Q907=0),"",$S907/$Q907)</f>
        <v/>
      </c>
      <c r="U907" s="27">
        <f>IF($A907="","",IF($L907&gt;0,"Live","Exited"))</f>
        <v/>
      </c>
      <c r="V907" s="40">
        <f>IF($A907="","",IF($A907='Client Report'!$C$4,COUNTIFS($A$6:$A907,'Client Report'!$C$4),""))</f>
        <v/>
      </c>
    </row>
    <row r="908">
      <c r="A908" s="11" t="n"/>
      <c r="B908" s="11" t="n"/>
      <c r="C908" s="11" t="n"/>
      <c r="D908" s="11" t="n"/>
      <c r="E908" s="12" t="n"/>
      <c r="F908" s="34" t="n"/>
      <c r="G908" s="34" t="n"/>
      <c r="H908" s="34" t="n"/>
      <c r="I908" s="34" t="n"/>
      <c r="J908" s="34" t="n"/>
      <c r="K908" s="34" t="n"/>
      <c r="L908" s="34" t="n"/>
      <c r="M908" s="36" t="n"/>
      <c r="N908" s="36" t="n"/>
      <c r="O908" s="41" t="n"/>
      <c r="P908" s="27">
        <f>IF($B908="","",IFERROR(TRIM(LEFT($B908,FIND(" - ",$B908)-1)),"Others"))</f>
        <v/>
      </c>
      <c r="Q908" s="39">
        <f>IF($A908="","",SUM($F908:$H908))</f>
        <v/>
      </c>
      <c r="R908" s="39">
        <f>IF($A908="","",SUM($I908:$K908))</f>
        <v/>
      </c>
      <c r="S908" s="39">
        <f>IF($A908="","",($L908+$R908)-$Q908)</f>
        <v/>
      </c>
      <c r="T908" s="31">
        <f>IF(OR($A908="",$Q908=0),"",$S908/$Q908)</f>
        <v/>
      </c>
      <c r="U908" s="27">
        <f>IF($A908="","",IF($L908&gt;0,"Live","Exited"))</f>
        <v/>
      </c>
      <c r="V908" s="40">
        <f>IF($A908="","",IF($A908='Client Report'!$C$4,COUNTIFS($A$6:$A908,'Client Report'!$C$4),""))</f>
        <v/>
      </c>
    </row>
    <row r="909">
      <c r="A909" s="11" t="n"/>
      <c r="B909" s="11" t="n"/>
      <c r="C909" s="11" t="n"/>
      <c r="D909" s="11" t="n"/>
      <c r="E909" s="12" t="n"/>
      <c r="F909" s="34" t="n"/>
      <c r="G909" s="34" t="n"/>
      <c r="H909" s="34" t="n"/>
      <c r="I909" s="34" t="n"/>
      <c r="J909" s="34" t="n"/>
      <c r="K909" s="34" t="n"/>
      <c r="L909" s="34" t="n"/>
      <c r="M909" s="36" t="n"/>
      <c r="N909" s="36" t="n"/>
      <c r="O909" s="41" t="n"/>
      <c r="P909" s="27">
        <f>IF($B909="","",IFERROR(TRIM(LEFT($B909,FIND(" - ",$B909)-1)),"Others"))</f>
        <v/>
      </c>
      <c r="Q909" s="39">
        <f>IF($A909="","",SUM($F909:$H909))</f>
        <v/>
      </c>
      <c r="R909" s="39">
        <f>IF($A909="","",SUM($I909:$K909))</f>
        <v/>
      </c>
      <c r="S909" s="39">
        <f>IF($A909="","",($L909+$R909)-$Q909)</f>
        <v/>
      </c>
      <c r="T909" s="31">
        <f>IF(OR($A909="",$Q909=0),"",$S909/$Q909)</f>
        <v/>
      </c>
      <c r="U909" s="27">
        <f>IF($A909="","",IF($L909&gt;0,"Live","Exited"))</f>
        <v/>
      </c>
      <c r="V909" s="40">
        <f>IF($A909="","",IF($A909='Client Report'!$C$4,COUNTIFS($A$6:$A909,'Client Report'!$C$4),""))</f>
        <v/>
      </c>
    </row>
    <row r="910">
      <c r="A910" s="11" t="n"/>
      <c r="B910" s="11" t="n"/>
      <c r="C910" s="11" t="n"/>
      <c r="D910" s="11" t="n"/>
      <c r="E910" s="12" t="n"/>
      <c r="F910" s="34" t="n"/>
      <c r="G910" s="34" t="n"/>
      <c r="H910" s="34" t="n"/>
      <c r="I910" s="34" t="n"/>
      <c r="J910" s="34" t="n"/>
      <c r="K910" s="34" t="n"/>
      <c r="L910" s="34" t="n"/>
      <c r="M910" s="36" t="n"/>
      <c r="N910" s="36" t="n"/>
      <c r="O910" s="41" t="n"/>
      <c r="P910" s="27">
        <f>IF($B910="","",IFERROR(TRIM(LEFT($B910,FIND(" - ",$B910)-1)),"Others"))</f>
        <v/>
      </c>
      <c r="Q910" s="39">
        <f>IF($A910="","",SUM($F910:$H910))</f>
        <v/>
      </c>
      <c r="R910" s="39">
        <f>IF($A910="","",SUM($I910:$K910))</f>
        <v/>
      </c>
      <c r="S910" s="39">
        <f>IF($A910="","",($L910+$R910)-$Q910)</f>
        <v/>
      </c>
      <c r="T910" s="31">
        <f>IF(OR($A910="",$Q910=0),"",$S910/$Q910)</f>
        <v/>
      </c>
      <c r="U910" s="27">
        <f>IF($A910="","",IF($L910&gt;0,"Live","Exited"))</f>
        <v/>
      </c>
      <c r="V910" s="40">
        <f>IF($A910="","",IF($A910='Client Report'!$C$4,COUNTIFS($A$6:$A910,'Client Report'!$C$4),""))</f>
        <v/>
      </c>
    </row>
    <row r="911">
      <c r="A911" s="11" t="n"/>
      <c r="B911" s="11" t="n"/>
      <c r="C911" s="11" t="n"/>
      <c r="D911" s="11" t="n"/>
      <c r="E911" s="12" t="n"/>
      <c r="F911" s="34" t="n"/>
      <c r="G911" s="34" t="n"/>
      <c r="H911" s="34" t="n"/>
      <c r="I911" s="34" t="n"/>
      <c r="J911" s="34" t="n"/>
      <c r="K911" s="34" t="n"/>
      <c r="L911" s="34" t="n"/>
      <c r="M911" s="36" t="n"/>
      <c r="N911" s="36" t="n"/>
      <c r="O911" s="41" t="n"/>
      <c r="P911" s="27">
        <f>IF($B911="","",IFERROR(TRIM(LEFT($B911,FIND(" - ",$B911)-1)),"Others"))</f>
        <v/>
      </c>
      <c r="Q911" s="39">
        <f>IF($A911="","",SUM($F911:$H911))</f>
        <v/>
      </c>
      <c r="R911" s="39">
        <f>IF($A911="","",SUM($I911:$K911))</f>
        <v/>
      </c>
      <c r="S911" s="39">
        <f>IF($A911="","",($L911+$R911)-$Q911)</f>
        <v/>
      </c>
      <c r="T911" s="31">
        <f>IF(OR($A911="",$Q911=0),"",$S911/$Q911)</f>
        <v/>
      </c>
      <c r="U911" s="27">
        <f>IF($A911="","",IF($L911&gt;0,"Live","Exited"))</f>
        <v/>
      </c>
      <c r="V911" s="40">
        <f>IF($A911="","",IF($A911='Client Report'!$C$4,COUNTIFS($A$6:$A911,'Client Report'!$C$4),""))</f>
        <v/>
      </c>
    </row>
    <row r="912">
      <c r="A912" s="11" t="n"/>
      <c r="B912" s="11" t="n"/>
      <c r="C912" s="11" t="n"/>
      <c r="D912" s="11" t="n"/>
      <c r="E912" s="12" t="n"/>
      <c r="F912" s="34" t="n"/>
      <c r="G912" s="34" t="n"/>
      <c r="H912" s="34" t="n"/>
      <c r="I912" s="34" t="n"/>
      <c r="J912" s="34" t="n"/>
      <c r="K912" s="34" t="n"/>
      <c r="L912" s="34" t="n"/>
      <c r="M912" s="36" t="n"/>
      <c r="N912" s="36" t="n"/>
      <c r="O912" s="41" t="n"/>
      <c r="P912" s="27">
        <f>IF($B912="","",IFERROR(TRIM(LEFT($B912,FIND(" - ",$B912)-1)),"Others"))</f>
        <v/>
      </c>
      <c r="Q912" s="39">
        <f>IF($A912="","",SUM($F912:$H912))</f>
        <v/>
      </c>
      <c r="R912" s="39">
        <f>IF($A912="","",SUM($I912:$K912))</f>
        <v/>
      </c>
      <c r="S912" s="39">
        <f>IF($A912="","",($L912+$R912)-$Q912)</f>
        <v/>
      </c>
      <c r="T912" s="31">
        <f>IF(OR($A912="",$Q912=0),"",$S912/$Q912)</f>
        <v/>
      </c>
      <c r="U912" s="27">
        <f>IF($A912="","",IF($L912&gt;0,"Live","Exited"))</f>
        <v/>
      </c>
      <c r="V912" s="40">
        <f>IF($A912="","",IF($A912='Client Report'!$C$4,COUNTIFS($A$6:$A912,'Client Report'!$C$4),""))</f>
        <v/>
      </c>
    </row>
    <row r="913">
      <c r="A913" s="11" t="n"/>
      <c r="B913" s="11" t="n"/>
      <c r="C913" s="11" t="n"/>
      <c r="D913" s="11" t="n"/>
      <c r="E913" s="12" t="n"/>
      <c r="F913" s="34" t="n"/>
      <c r="G913" s="34" t="n"/>
      <c r="H913" s="34" t="n"/>
      <c r="I913" s="34" t="n"/>
      <c r="J913" s="34" t="n"/>
      <c r="K913" s="34" t="n"/>
      <c r="L913" s="34" t="n"/>
      <c r="M913" s="36" t="n"/>
      <c r="N913" s="36" t="n"/>
      <c r="O913" s="41" t="n"/>
      <c r="P913" s="27">
        <f>IF($B913="","",IFERROR(TRIM(LEFT($B913,FIND(" - ",$B913)-1)),"Others"))</f>
        <v/>
      </c>
      <c r="Q913" s="39">
        <f>IF($A913="","",SUM($F913:$H913))</f>
        <v/>
      </c>
      <c r="R913" s="39">
        <f>IF($A913="","",SUM($I913:$K913))</f>
        <v/>
      </c>
      <c r="S913" s="39">
        <f>IF($A913="","",($L913+$R913)-$Q913)</f>
        <v/>
      </c>
      <c r="T913" s="31">
        <f>IF(OR($A913="",$Q913=0),"",$S913/$Q913)</f>
        <v/>
      </c>
      <c r="U913" s="27">
        <f>IF($A913="","",IF($L913&gt;0,"Live","Exited"))</f>
        <v/>
      </c>
      <c r="V913" s="40">
        <f>IF($A913="","",IF($A913='Client Report'!$C$4,COUNTIFS($A$6:$A913,'Client Report'!$C$4),""))</f>
        <v/>
      </c>
    </row>
    <row r="914">
      <c r="A914" s="11" t="n"/>
      <c r="B914" s="11" t="n"/>
      <c r="C914" s="11" t="n"/>
      <c r="D914" s="11" t="n"/>
      <c r="E914" s="12" t="n"/>
      <c r="F914" s="34" t="n"/>
      <c r="G914" s="34" t="n"/>
      <c r="H914" s="34" t="n"/>
      <c r="I914" s="34" t="n"/>
      <c r="J914" s="34" t="n"/>
      <c r="K914" s="34" t="n"/>
      <c r="L914" s="34" t="n"/>
      <c r="M914" s="36" t="n"/>
      <c r="N914" s="36" t="n"/>
      <c r="O914" s="41" t="n"/>
      <c r="P914" s="27">
        <f>IF($B914="","",IFERROR(TRIM(LEFT($B914,FIND(" - ",$B914)-1)),"Others"))</f>
        <v/>
      </c>
      <c r="Q914" s="39">
        <f>IF($A914="","",SUM($F914:$H914))</f>
        <v/>
      </c>
      <c r="R914" s="39">
        <f>IF($A914="","",SUM($I914:$K914))</f>
        <v/>
      </c>
      <c r="S914" s="39">
        <f>IF($A914="","",($L914+$R914)-$Q914)</f>
        <v/>
      </c>
      <c r="T914" s="31">
        <f>IF(OR($A914="",$Q914=0),"",$S914/$Q914)</f>
        <v/>
      </c>
      <c r="U914" s="27">
        <f>IF($A914="","",IF($L914&gt;0,"Live","Exited"))</f>
        <v/>
      </c>
      <c r="V914" s="40">
        <f>IF($A914="","",IF($A914='Client Report'!$C$4,COUNTIFS($A$6:$A914,'Client Report'!$C$4),""))</f>
        <v/>
      </c>
    </row>
    <row r="915">
      <c r="A915" s="11" t="n"/>
      <c r="B915" s="11" t="n"/>
      <c r="C915" s="11" t="n"/>
      <c r="D915" s="11" t="n"/>
      <c r="E915" s="12" t="n"/>
      <c r="F915" s="34" t="n"/>
      <c r="G915" s="34" t="n"/>
      <c r="H915" s="34" t="n"/>
      <c r="I915" s="34" t="n"/>
      <c r="J915" s="34" t="n"/>
      <c r="K915" s="34" t="n"/>
      <c r="L915" s="34" t="n"/>
      <c r="M915" s="36" t="n"/>
      <c r="N915" s="36" t="n"/>
      <c r="O915" s="41" t="n"/>
      <c r="P915" s="27">
        <f>IF($B915="","",IFERROR(TRIM(LEFT($B915,FIND(" - ",$B915)-1)),"Others"))</f>
        <v/>
      </c>
      <c r="Q915" s="39">
        <f>IF($A915="","",SUM($F915:$H915))</f>
        <v/>
      </c>
      <c r="R915" s="39">
        <f>IF($A915="","",SUM($I915:$K915))</f>
        <v/>
      </c>
      <c r="S915" s="39">
        <f>IF($A915="","",($L915+$R915)-$Q915)</f>
        <v/>
      </c>
      <c r="T915" s="31">
        <f>IF(OR($A915="",$Q915=0),"",$S915/$Q915)</f>
        <v/>
      </c>
      <c r="U915" s="27">
        <f>IF($A915="","",IF($L915&gt;0,"Live","Exited"))</f>
        <v/>
      </c>
      <c r="V915" s="40">
        <f>IF($A915="","",IF($A915='Client Report'!$C$4,COUNTIFS($A$6:$A915,'Client Report'!$C$4),""))</f>
        <v/>
      </c>
    </row>
    <row r="916">
      <c r="A916" s="11" t="n"/>
      <c r="B916" s="11" t="n"/>
      <c r="C916" s="11" t="n"/>
      <c r="D916" s="11" t="n"/>
      <c r="E916" s="12" t="n"/>
      <c r="F916" s="34" t="n"/>
      <c r="G916" s="34" t="n"/>
      <c r="H916" s="34" t="n"/>
      <c r="I916" s="34" t="n"/>
      <c r="J916" s="34" t="n"/>
      <c r="K916" s="34" t="n"/>
      <c r="L916" s="34" t="n"/>
      <c r="M916" s="36" t="n"/>
      <c r="N916" s="36" t="n"/>
      <c r="O916" s="41" t="n"/>
      <c r="P916" s="27">
        <f>IF($B916="","",IFERROR(TRIM(LEFT($B916,FIND(" - ",$B916)-1)),"Others"))</f>
        <v/>
      </c>
      <c r="Q916" s="39">
        <f>IF($A916="","",SUM($F916:$H916))</f>
        <v/>
      </c>
      <c r="R916" s="39">
        <f>IF($A916="","",SUM($I916:$K916))</f>
        <v/>
      </c>
      <c r="S916" s="39">
        <f>IF($A916="","",($L916+$R916)-$Q916)</f>
        <v/>
      </c>
      <c r="T916" s="31">
        <f>IF(OR($A916="",$Q916=0),"",$S916/$Q916)</f>
        <v/>
      </c>
      <c r="U916" s="27">
        <f>IF($A916="","",IF($L916&gt;0,"Live","Exited"))</f>
        <v/>
      </c>
      <c r="V916" s="40">
        <f>IF($A916="","",IF($A916='Client Report'!$C$4,COUNTIFS($A$6:$A916,'Client Report'!$C$4),""))</f>
        <v/>
      </c>
    </row>
    <row r="917">
      <c r="A917" s="11" t="n"/>
      <c r="B917" s="11" t="n"/>
      <c r="C917" s="11" t="n"/>
      <c r="D917" s="11" t="n"/>
      <c r="E917" s="12" t="n"/>
      <c r="F917" s="34" t="n"/>
      <c r="G917" s="34" t="n"/>
      <c r="H917" s="34" t="n"/>
      <c r="I917" s="34" t="n"/>
      <c r="J917" s="34" t="n"/>
      <c r="K917" s="34" t="n"/>
      <c r="L917" s="34" t="n"/>
      <c r="M917" s="36" t="n"/>
      <c r="N917" s="36" t="n"/>
      <c r="O917" s="41" t="n"/>
      <c r="P917" s="27">
        <f>IF($B917="","",IFERROR(TRIM(LEFT($B917,FIND(" - ",$B917)-1)),"Others"))</f>
        <v/>
      </c>
      <c r="Q917" s="39">
        <f>IF($A917="","",SUM($F917:$H917))</f>
        <v/>
      </c>
      <c r="R917" s="39">
        <f>IF($A917="","",SUM($I917:$K917))</f>
        <v/>
      </c>
      <c r="S917" s="39">
        <f>IF($A917="","",($L917+$R917)-$Q917)</f>
        <v/>
      </c>
      <c r="T917" s="31">
        <f>IF(OR($A917="",$Q917=0),"",$S917/$Q917)</f>
        <v/>
      </c>
      <c r="U917" s="27">
        <f>IF($A917="","",IF($L917&gt;0,"Live","Exited"))</f>
        <v/>
      </c>
      <c r="V917" s="40">
        <f>IF($A917="","",IF($A917='Client Report'!$C$4,COUNTIFS($A$6:$A917,'Client Report'!$C$4),""))</f>
        <v/>
      </c>
    </row>
    <row r="918">
      <c r="A918" s="11" t="n"/>
      <c r="B918" s="11" t="n"/>
      <c r="C918" s="11" t="n"/>
      <c r="D918" s="11" t="n"/>
      <c r="E918" s="12" t="n"/>
      <c r="F918" s="34" t="n"/>
      <c r="G918" s="34" t="n"/>
      <c r="H918" s="34" t="n"/>
      <c r="I918" s="34" t="n"/>
      <c r="J918" s="34" t="n"/>
      <c r="K918" s="34" t="n"/>
      <c r="L918" s="34" t="n"/>
      <c r="M918" s="36" t="n"/>
      <c r="N918" s="36" t="n"/>
      <c r="O918" s="41" t="n"/>
      <c r="P918" s="27">
        <f>IF($B918="","",IFERROR(TRIM(LEFT($B918,FIND(" - ",$B918)-1)),"Others"))</f>
        <v/>
      </c>
      <c r="Q918" s="39">
        <f>IF($A918="","",SUM($F918:$H918))</f>
        <v/>
      </c>
      <c r="R918" s="39">
        <f>IF($A918="","",SUM($I918:$K918))</f>
        <v/>
      </c>
      <c r="S918" s="39">
        <f>IF($A918="","",($L918+$R918)-$Q918)</f>
        <v/>
      </c>
      <c r="T918" s="31">
        <f>IF(OR($A918="",$Q918=0),"",$S918/$Q918)</f>
        <v/>
      </c>
      <c r="U918" s="27">
        <f>IF($A918="","",IF($L918&gt;0,"Live","Exited"))</f>
        <v/>
      </c>
      <c r="V918" s="40">
        <f>IF($A918="","",IF($A918='Client Report'!$C$4,COUNTIFS($A$6:$A918,'Client Report'!$C$4),""))</f>
        <v/>
      </c>
    </row>
    <row r="919">
      <c r="A919" s="11" t="n"/>
      <c r="B919" s="11" t="n"/>
      <c r="C919" s="11" t="n"/>
      <c r="D919" s="11" t="n"/>
      <c r="E919" s="12" t="n"/>
      <c r="F919" s="34" t="n"/>
      <c r="G919" s="34" t="n"/>
      <c r="H919" s="34" t="n"/>
      <c r="I919" s="34" t="n"/>
      <c r="J919" s="34" t="n"/>
      <c r="K919" s="34" t="n"/>
      <c r="L919" s="34" t="n"/>
      <c r="M919" s="36" t="n"/>
      <c r="N919" s="36" t="n"/>
      <c r="O919" s="41" t="n"/>
      <c r="P919" s="27">
        <f>IF($B919="","",IFERROR(TRIM(LEFT($B919,FIND(" - ",$B919)-1)),"Others"))</f>
        <v/>
      </c>
      <c r="Q919" s="39">
        <f>IF($A919="","",SUM($F919:$H919))</f>
        <v/>
      </c>
      <c r="R919" s="39">
        <f>IF($A919="","",SUM($I919:$K919))</f>
        <v/>
      </c>
      <c r="S919" s="39">
        <f>IF($A919="","",($L919+$R919)-$Q919)</f>
        <v/>
      </c>
      <c r="T919" s="31">
        <f>IF(OR($A919="",$Q919=0),"",$S919/$Q919)</f>
        <v/>
      </c>
      <c r="U919" s="27">
        <f>IF($A919="","",IF($L919&gt;0,"Live","Exited"))</f>
        <v/>
      </c>
      <c r="V919" s="40">
        <f>IF($A919="","",IF($A919='Client Report'!$C$4,COUNTIFS($A$6:$A919,'Client Report'!$C$4),""))</f>
        <v/>
      </c>
    </row>
    <row r="920">
      <c r="A920" s="11" t="n"/>
      <c r="B920" s="11" t="n"/>
      <c r="C920" s="11" t="n"/>
      <c r="D920" s="11" t="n"/>
      <c r="E920" s="12" t="n"/>
      <c r="F920" s="34" t="n"/>
      <c r="G920" s="34" t="n"/>
      <c r="H920" s="34" t="n"/>
      <c r="I920" s="34" t="n"/>
      <c r="J920" s="34" t="n"/>
      <c r="K920" s="34" t="n"/>
      <c r="L920" s="34" t="n"/>
      <c r="M920" s="36" t="n"/>
      <c r="N920" s="36" t="n"/>
      <c r="O920" s="41" t="n"/>
      <c r="P920" s="27">
        <f>IF($B920="","",IFERROR(TRIM(LEFT($B920,FIND(" - ",$B920)-1)),"Others"))</f>
        <v/>
      </c>
      <c r="Q920" s="39">
        <f>IF($A920="","",SUM($F920:$H920))</f>
        <v/>
      </c>
      <c r="R920" s="39">
        <f>IF($A920="","",SUM($I920:$K920))</f>
        <v/>
      </c>
      <c r="S920" s="39">
        <f>IF($A920="","",($L920+$R920)-$Q920)</f>
        <v/>
      </c>
      <c r="T920" s="31">
        <f>IF(OR($A920="",$Q920=0),"",$S920/$Q920)</f>
        <v/>
      </c>
      <c r="U920" s="27">
        <f>IF($A920="","",IF($L920&gt;0,"Live","Exited"))</f>
        <v/>
      </c>
      <c r="V920" s="40">
        <f>IF($A920="","",IF($A920='Client Report'!$C$4,COUNTIFS($A$6:$A920,'Client Report'!$C$4),""))</f>
        <v/>
      </c>
    </row>
    <row r="921">
      <c r="A921" s="11" t="n"/>
      <c r="B921" s="11" t="n"/>
      <c r="C921" s="11" t="n"/>
      <c r="D921" s="11" t="n"/>
      <c r="E921" s="12" t="n"/>
      <c r="F921" s="34" t="n"/>
      <c r="G921" s="34" t="n"/>
      <c r="H921" s="34" t="n"/>
      <c r="I921" s="34" t="n"/>
      <c r="J921" s="34" t="n"/>
      <c r="K921" s="34" t="n"/>
      <c r="L921" s="34" t="n"/>
      <c r="M921" s="36" t="n"/>
      <c r="N921" s="36" t="n"/>
      <c r="O921" s="41" t="n"/>
      <c r="P921" s="27">
        <f>IF($B921="","",IFERROR(TRIM(LEFT($B921,FIND(" - ",$B921)-1)),"Others"))</f>
        <v/>
      </c>
      <c r="Q921" s="39">
        <f>IF($A921="","",SUM($F921:$H921))</f>
        <v/>
      </c>
      <c r="R921" s="39">
        <f>IF($A921="","",SUM($I921:$K921))</f>
        <v/>
      </c>
      <c r="S921" s="39">
        <f>IF($A921="","",($L921+$R921)-$Q921)</f>
        <v/>
      </c>
      <c r="T921" s="31">
        <f>IF(OR($A921="",$Q921=0),"",$S921/$Q921)</f>
        <v/>
      </c>
      <c r="U921" s="27">
        <f>IF($A921="","",IF($L921&gt;0,"Live","Exited"))</f>
        <v/>
      </c>
      <c r="V921" s="40">
        <f>IF($A921="","",IF($A921='Client Report'!$C$4,COUNTIFS($A$6:$A921,'Client Report'!$C$4),""))</f>
        <v/>
      </c>
    </row>
    <row r="922">
      <c r="A922" s="11" t="n"/>
      <c r="B922" s="11" t="n"/>
      <c r="C922" s="11" t="n"/>
      <c r="D922" s="11" t="n"/>
      <c r="E922" s="12" t="n"/>
      <c r="F922" s="34" t="n"/>
      <c r="G922" s="34" t="n"/>
      <c r="H922" s="34" t="n"/>
      <c r="I922" s="34" t="n"/>
      <c r="J922" s="34" t="n"/>
      <c r="K922" s="34" t="n"/>
      <c r="L922" s="34" t="n"/>
      <c r="M922" s="36" t="n"/>
      <c r="N922" s="36" t="n"/>
      <c r="O922" s="41" t="n"/>
      <c r="P922" s="27">
        <f>IF($B922="","",IFERROR(TRIM(LEFT($B922,FIND(" - ",$B922)-1)),"Others"))</f>
        <v/>
      </c>
      <c r="Q922" s="39">
        <f>IF($A922="","",SUM($F922:$H922))</f>
        <v/>
      </c>
      <c r="R922" s="39">
        <f>IF($A922="","",SUM($I922:$K922))</f>
        <v/>
      </c>
      <c r="S922" s="39">
        <f>IF($A922="","",($L922+$R922)-$Q922)</f>
        <v/>
      </c>
      <c r="T922" s="31">
        <f>IF(OR($A922="",$Q922=0),"",$S922/$Q922)</f>
        <v/>
      </c>
      <c r="U922" s="27">
        <f>IF($A922="","",IF($L922&gt;0,"Live","Exited"))</f>
        <v/>
      </c>
      <c r="V922" s="40">
        <f>IF($A922="","",IF($A922='Client Report'!$C$4,COUNTIFS($A$6:$A922,'Client Report'!$C$4),""))</f>
        <v/>
      </c>
    </row>
    <row r="923">
      <c r="A923" s="11" t="n"/>
      <c r="B923" s="11" t="n"/>
      <c r="C923" s="11" t="n"/>
      <c r="D923" s="11" t="n"/>
      <c r="E923" s="12" t="n"/>
      <c r="F923" s="34" t="n"/>
      <c r="G923" s="34" t="n"/>
      <c r="H923" s="34" t="n"/>
      <c r="I923" s="34" t="n"/>
      <c r="J923" s="34" t="n"/>
      <c r="K923" s="34" t="n"/>
      <c r="L923" s="34" t="n"/>
      <c r="M923" s="36" t="n"/>
      <c r="N923" s="36" t="n"/>
      <c r="O923" s="41" t="n"/>
      <c r="P923" s="27">
        <f>IF($B923="","",IFERROR(TRIM(LEFT($B923,FIND(" - ",$B923)-1)),"Others"))</f>
        <v/>
      </c>
      <c r="Q923" s="39">
        <f>IF($A923="","",SUM($F923:$H923))</f>
        <v/>
      </c>
      <c r="R923" s="39">
        <f>IF($A923="","",SUM($I923:$K923))</f>
        <v/>
      </c>
      <c r="S923" s="39">
        <f>IF($A923="","",($L923+$R923)-$Q923)</f>
        <v/>
      </c>
      <c r="T923" s="31">
        <f>IF(OR($A923="",$Q923=0),"",$S923/$Q923)</f>
        <v/>
      </c>
      <c r="U923" s="27">
        <f>IF($A923="","",IF($L923&gt;0,"Live","Exited"))</f>
        <v/>
      </c>
      <c r="V923" s="40">
        <f>IF($A923="","",IF($A923='Client Report'!$C$4,COUNTIFS($A$6:$A923,'Client Report'!$C$4),""))</f>
        <v/>
      </c>
    </row>
    <row r="924">
      <c r="A924" s="11" t="n"/>
      <c r="B924" s="11" t="n"/>
      <c r="C924" s="11" t="n"/>
      <c r="D924" s="11" t="n"/>
      <c r="E924" s="12" t="n"/>
      <c r="F924" s="34" t="n"/>
      <c r="G924" s="34" t="n"/>
      <c r="H924" s="34" t="n"/>
      <c r="I924" s="34" t="n"/>
      <c r="J924" s="34" t="n"/>
      <c r="K924" s="34" t="n"/>
      <c r="L924" s="34" t="n"/>
      <c r="M924" s="36" t="n"/>
      <c r="N924" s="36" t="n"/>
      <c r="O924" s="41" t="n"/>
      <c r="P924" s="27">
        <f>IF($B924="","",IFERROR(TRIM(LEFT($B924,FIND(" - ",$B924)-1)),"Others"))</f>
        <v/>
      </c>
      <c r="Q924" s="39">
        <f>IF($A924="","",SUM($F924:$H924))</f>
        <v/>
      </c>
      <c r="R924" s="39">
        <f>IF($A924="","",SUM($I924:$K924))</f>
        <v/>
      </c>
      <c r="S924" s="39">
        <f>IF($A924="","",($L924+$R924)-$Q924)</f>
        <v/>
      </c>
      <c r="T924" s="31">
        <f>IF(OR($A924="",$Q924=0),"",$S924/$Q924)</f>
        <v/>
      </c>
      <c r="U924" s="27">
        <f>IF($A924="","",IF($L924&gt;0,"Live","Exited"))</f>
        <v/>
      </c>
      <c r="V924" s="40">
        <f>IF($A924="","",IF($A924='Client Report'!$C$4,COUNTIFS($A$6:$A924,'Client Report'!$C$4),""))</f>
        <v/>
      </c>
    </row>
    <row r="925">
      <c r="A925" s="11" t="n"/>
      <c r="B925" s="11" t="n"/>
      <c r="C925" s="11" t="n"/>
      <c r="D925" s="11" t="n"/>
      <c r="E925" s="12" t="n"/>
      <c r="F925" s="34" t="n"/>
      <c r="G925" s="34" t="n"/>
      <c r="H925" s="34" t="n"/>
      <c r="I925" s="34" t="n"/>
      <c r="J925" s="34" t="n"/>
      <c r="K925" s="34" t="n"/>
      <c r="L925" s="34" t="n"/>
      <c r="M925" s="36" t="n"/>
      <c r="N925" s="36" t="n"/>
      <c r="O925" s="41" t="n"/>
      <c r="P925" s="27">
        <f>IF($B925="","",IFERROR(TRIM(LEFT($B925,FIND(" - ",$B925)-1)),"Others"))</f>
        <v/>
      </c>
      <c r="Q925" s="39">
        <f>IF($A925="","",SUM($F925:$H925))</f>
        <v/>
      </c>
      <c r="R925" s="39">
        <f>IF($A925="","",SUM($I925:$K925))</f>
        <v/>
      </c>
      <c r="S925" s="39">
        <f>IF($A925="","",($L925+$R925)-$Q925)</f>
        <v/>
      </c>
      <c r="T925" s="31">
        <f>IF(OR($A925="",$Q925=0),"",$S925/$Q925)</f>
        <v/>
      </c>
      <c r="U925" s="27">
        <f>IF($A925="","",IF($L925&gt;0,"Live","Exited"))</f>
        <v/>
      </c>
      <c r="V925" s="40">
        <f>IF($A925="","",IF($A925='Client Report'!$C$4,COUNTIFS($A$6:$A925,'Client Report'!$C$4),""))</f>
        <v/>
      </c>
    </row>
    <row r="926">
      <c r="A926" s="11" t="n"/>
      <c r="B926" s="11" t="n"/>
      <c r="C926" s="11" t="n"/>
      <c r="D926" s="11" t="n"/>
      <c r="E926" s="12" t="n"/>
      <c r="F926" s="34" t="n"/>
      <c r="G926" s="34" t="n"/>
      <c r="H926" s="34" t="n"/>
      <c r="I926" s="34" t="n"/>
      <c r="J926" s="34" t="n"/>
      <c r="K926" s="34" t="n"/>
      <c r="L926" s="34" t="n"/>
      <c r="M926" s="36" t="n"/>
      <c r="N926" s="36" t="n"/>
      <c r="O926" s="41" t="n"/>
      <c r="P926" s="27">
        <f>IF($B926="","",IFERROR(TRIM(LEFT($B926,FIND(" - ",$B926)-1)),"Others"))</f>
        <v/>
      </c>
      <c r="Q926" s="39">
        <f>IF($A926="","",SUM($F926:$H926))</f>
        <v/>
      </c>
      <c r="R926" s="39">
        <f>IF($A926="","",SUM($I926:$K926))</f>
        <v/>
      </c>
      <c r="S926" s="39">
        <f>IF($A926="","",($L926+$R926)-$Q926)</f>
        <v/>
      </c>
      <c r="T926" s="31">
        <f>IF(OR($A926="",$Q926=0),"",$S926/$Q926)</f>
        <v/>
      </c>
      <c r="U926" s="27">
        <f>IF($A926="","",IF($L926&gt;0,"Live","Exited"))</f>
        <v/>
      </c>
      <c r="V926" s="40">
        <f>IF($A926="","",IF($A926='Client Report'!$C$4,COUNTIFS($A$6:$A926,'Client Report'!$C$4),""))</f>
        <v/>
      </c>
    </row>
    <row r="927">
      <c r="A927" s="11" t="n"/>
      <c r="B927" s="11" t="n"/>
      <c r="C927" s="11" t="n"/>
      <c r="D927" s="11" t="n"/>
      <c r="E927" s="12" t="n"/>
      <c r="F927" s="34" t="n"/>
      <c r="G927" s="34" t="n"/>
      <c r="H927" s="34" t="n"/>
      <c r="I927" s="34" t="n"/>
      <c r="J927" s="34" t="n"/>
      <c r="K927" s="34" t="n"/>
      <c r="L927" s="34" t="n"/>
      <c r="M927" s="36" t="n"/>
      <c r="N927" s="36" t="n"/>
      <c r="O927" s="41" t="n"/>
      <c r="P927" s="27">
        <f>IF($B927="","",IFERROR(TRIM(LEFT($B927,FIND(" - ",$B927)-1)),"Others"))</f>
        <v/>
      </c>
      <c r="Q927" s="39">
        <f>IF($A927="","",SUM($F927:$H927))</f>
        <v/>
      </c>
      <c r="R927" s="39">
        <f>IF($A927="","",SUM($I927:$K927))</f>
        <v/>
      </c>
      <c r="S927" s="39">
        <f>IF($A927="","",($L927+$R927)-$Q927)</f>
        <v/>
      </c>
      <c r="T927" s="31">
        <f>IF(OR($A927="",$Q927=0),"",$S927/$Q927)</f>
        <v/>
      </c>
      <c r="U927" s="27">
        <f>IF($A927="","",IF($L927&gt;0,"Live","Exited"))</f>
        <v/>
      </c>
      <c r="V927" s="40">
        <f>IF($A927="","",IF($A927='Client Report'!$C$4,COUNTIFS($A$6:$A927,'Client Report'!$C$4),""))</f>
        <v/>
      </c>
    </row>
    <row r="928">
      <c r="A928" s="11" t="n"/>
      <c r="B928" s="11" t="n"/>
      <c r="C928" s="11" t="n"/>
      <c r="D928" s="11" t="n"/>
      <c r="E928" s="12" t="n"/>
      <c r="F928" s="34" t="n"/>
      <c r="G928" s="34" t="n"/>
      <c r="H928" s="34" t="n"/>
      <c r="I928" s="34" t="n"/>
      <c r="J928" s="34" t="n"/>
      <c r="K928" s="34" t="n"/>
      <c r="L928" s="34" t="n"/>
      <c r="M928" s="36" t="n"/>
      <c r="N928" s="36" t="n"/>
      <c r="O928" s="41" t="n"/>
      <c r="P928" s="27">
        <f>IF($B928="","",IFERROR(TRIM(LEFT($B928,FIND(" - ",$B928)-1)),"Others"))</f>
        <v/>
      </c>
      <c r="Q928" s="39">
        <f>IF($A928="","",SUM($F928:$H928))</f>
        <v/>
      </c>
      <c r="R928" s="39">
        <f>IF($A928="","",SUM($I928:$K928))</f>
        <v/>
      </c>
      <c r="S928" s="39">
        <f>IF($A928="","",($L928+$R928)-$Q928)</f>
        <v/>
      </c>
      <c r="T928" s="31">
        <f>IF(OR($A928="",$Q928=0),"",$S928/$Q928)</f>
        <v/>
      </c>
      <c r="U928" s="27">
        <f>IF($A928="","",IF($L928&gt;0,"Live","Exited"))</f>
        <v/>
      </c>
      <c r="V928" s="40">
        <f>IF($A928="","",IF($A928='Client Report'!$C$4,COUNTIFS($A$6:$A928,'Client Report'!$C$4),""))</f>
        <v/>
      </c>
    </row>
    <row r="929">
      <c r="A929" s="11" t="n"/>
      <c r="B929" s="11" t="n"/>
      <c r="C929" s="11" t="n"/>
      <c r="D929" s="11" t="n"/>
      <c r="E929" s="12" t="n"/>
      <c r="F929" s="34" t="n"/>
      <c r="G929" s="34" t="n"/>
      <c r="H929" s="34" t="n"/>
      <c r="I929" s="34" t="n"/>
      <c r="J929" s="34" t="n"/>
      <c r="K929" s="34" t="n"/>
      <c r="L929" s="34" t="n"/>
      <c r="M929" s="36" t="n"/>
      <c r="N929" s="36" t="n"/>
      <c r="O929" s="41" t="n"/>
      <c r="P929" s="27">
        <f>IF($B929="","",IFERROR(TRIM(LEFT($B929,FIND(" - ",$B929)-1)),"Others"))</f>
        <v/>
      </c>
      <c r="Q929" s="39">
        <f>IF($A929="","",SUM($F929:$H929))</f>
        <v/>
      </c>
      <c r="R929" s="39">
        <f>IF($A929="","",SUM($I929:$K929))</f>
        <v/>
      </c>
      <c r="S929" s="39">
        <f>IF($A929="","",($L929+$R929)-$Q929)</f>
        <v/>
      </c>
      <c r="T929" s="31">
        <f>IF(OR($A929="",$Q929=0),"",$S929/$Q929)</f>
        <v/>
      </c>
      <c r="U929" s="27">
        <f>IF($A929="","",IF($L929&gt;0,"Live","Exited"))</f>
        <v/>
      </c>
      <c r="V929" s="40">
        <f>IF($A929="","",IF($A929='Client Report'!$C$4,COUNTIFS($A$6:$A929,'Client Report'!$C$4),""))</f>
        <v/>
      </c>
    </row>
    <row r="930">
      <c r="A930" s="11" t="n"/>
      <c r="B930" s="11" t="n"/>
      <c r="C930" s="11" t="n"/>
      <c r="D930" s="11" t="n"/>
      <c r="E930" s="12" t="n"/>
      <c r="F930" s="34" t="n"/>
      <c r="G930" s="34" t="n"/>
      <c r="H930" s="34" t="n"/>
      <c r="I930" s="34" t="n"/>
      <c r="J930" s="34" t="n"/>
      <c r="K930" s="34" t="n"/>
      <c r="L930" s="34" t="n"/>
      <c r="M930" s="36" t="n"/>
      <c r="N930" s="36" t="n"/>
      <c r="O930" s="41" t="n"/>
      <c r="P930" s="27">
        <f>IF($B930="","",IFERROR(TRIM(LEFT($B930,FIND(" - ",$B930)-1)),"Others"))</f>
        <v/>
      </c>
      <c r="Q930" s="39">
        <f>IF($A930="","",SUM($F930:$H930))</f>
        <v/>
      </c>
      <c r="R930" s="39">
        <f>IF($A930="","",SUM($I930:$K930))</f>
        <v/>
      </c>
      <c r="S930" s="39">
        <f>IF($A930="","",($L930+$R930)-$Q930)</f>
        <v/>
      </c>
      <c r="T930" s="31">
        <f>IF(OR($A930="",$Q930=0),"",$S930/$Q930)</f>
        <v/>
      </c>
      <c r="U930" s="27">
        <f>IF($A930="","",IF($L930&gt;0,"Live","Exited"))</f>
        <v/>
      </c>
      <c r="V930" s="40">
        <f>IF($A930="","",IF($A930='Client Report'!$C$4,COUNTIFS($A$6:$A930,'Client Report'!$C$4),""))</f>
        <v/>
      </c>
    </row>
    <row r="931">
      <c r="A931" s="11" t="n"/>
      <c r="B931" s="11" t="n"/>
      <c r="C931" s="11" t="n"/>
      <c r="D931" s="11" t="n"/>
      <c r="E931" s="12" t="n"/>
      <c r="F931" s="34" t="n"/>
      <c r="G931" s="34" t="n"/>
      <c r="H931" s="34" t="n"/>
      <c r="I931" s="34" t="n"/>
      <c r="J931" s="34" t="n"/>
      <c r="K931" s="34" t="n"/>
      <c r="L931" s="34" t="n"/>
      <c r="M931" s="36" t="n"/>
      <c r="N931" s="36" t="n"/>
      <c r="O931" s="41" t="n"/>
      <c r="P931" s="27">
        <f>IF($B931="","",IFERROR(TRIM(LEFT($B931,FIND(" - ",$B931)-1)),"Others"))</f>
        <v/>
      </c>
      <c r="Q931" s="39">
        <f>IF($A931="","",SUM($F931:$H931))</f>
        <v/>
      </c>
      <c r="R931" s="39">
        <f>IF($A931="","",SUM($I931:$K931))</f>
        <v/>
      </c>
      <c r="S931" s="39">
        <f>IF($A931="","",($L931+$R931)-$Q931)</f>
        <v/>
      </c>
      <c r="T931" s="31">
        <f>IF(OR($A931="",$Q931=0),"",$S931/$Q931)</f>
        <v/>
      </c>
      <c r="U931" s="27">
        <f>IF($A931="","",IF($L931&gt;0,"Live","Exited"))</f>
        <v/>
      </c>
      <c r="V931" s="40">
        <f>IF($A931="","",IF($A931='Client Report'!$C$4,COUNTIFS($A$6:$A931,'Client Report'!$C$4),""))</f>
        <v/>
      </c>
    </row>
    <row r="932">
      <c r="A932" s="11" t="n"/>
      <c r="B932" s="11" t="n"/>
      <c r="C932" s="11" t="n"/>
      <c r="D932" s="11" t="n"/>
      <c r="E932" s="12" t="n"/>
      <c r="F932" s="34" t="n"/>
      <c r="G932" s="34" t="n"/>
      <c r="H932" s="34" t="n"/>
      <c r="I932" s="34" t="n"/>
      <c r="J932" s="34" t="n"/>
      <c r="K932" s="34" t="n"/>
      <c r="L932" s="34" t="n"/>
      <c r="M932" s="36" t="n"/>
      <c r="N932" s="36" t="n"/>
      <c r="O932" s="41" t="n"/>
      <c r="P932" s="27">
        <f>IF($B932="","",IFERROR(TRIM(LEFT($B932,FIND(" - ",$B932)-1)),"Others"))</f>
        <v/>
      </c>
      <c r="Q932" s="39">
        <f>IF($A932="","",SUM($F932:$H932))</f>
        <v/>
      </c>
      <c r="R932" s="39">
        <f>IF($A932="","",SUM($I932:$K932))</f>
        <v/>
      </c>
      <c r="S932" s="39">
        <f>IF($A932="","",($L932+$R932)-$Q932)</f>
        <v/>
      </c>
      <c r="T932" s="31">
        <f>IF(OR($A932="",$Q932=0),"",$S932/$Q932)</f>
        <v/>
      </c>
      <c r="U932" s="27">
        <f>IF($A932="","",IF($L932&gt;0,"Live","Exited"))</f>
        <v/>
      </c>
      <c r="V932" s="40">
        <f>IF($A932="","",IF($A932='Client Report'!$C$4,COUNTIFS($A$6:$A932,'Client Report'!$C$4),""))</f>
        <v/>
      </c>
    </row>
    <row r="933">
      <c r="A933" s="11" t="n"/>
      <c r="B933" s="11" t="n"/>
      <c r="C933" s="11" t="n"/>
      <c r="D933" s="11" t="n"/>
      <c r="E933" s="12" t="n"/>
      <c r="F933" s="34" t="n"/>
      <c r="G933" s="34" t="n"/>
      <c r="H933" s="34" t="n"/>
      <c r="I933" s="34" t="n"/>
      <c r="J933" s="34" t="n"/>
      <c r="K933" s="34" t="n"/>
      <c r="L933" s="34" t="n"/>
      <c r="M933" s="36" t="n"/>
      <c r="N933" s="36" t="n"/>
      <c r="O933" s="41" t="n"/>
      <c r="P933" s="27">
        <f>IF($B933="","",IFERROR(TRIM(LEFT($B933,FIND(" - ",$B933)-1)),"Others"))</f>
        <v/>
      </c>
      <c r="Q933" s="39">
        <f>IF($A933="","",SUM($F933:$H933))</f>
        <v/>
      </c>
      <c r="R933" s="39">
        <f>IF($A933="","",SUM($I933:$K933))</f>
        <v/>
      </c>
      <c r="S933" s="39">
        <f>IF($A933="","",($L933+$R933)-$Q933)</f>
        <v/>
      </c>
      <c r="T933" s="31">
        <f>IF(OR($A933="",$Q933=0),"",$S933/$Q933)</f>
        <v/>
      </c>
      <c r="U933" s="27">
        <f>IF($A933="","",IF($L933&gt;0,"Live","Exited"))</f>
        <v/>
      </c>
      <c r="V933" s="40">
        <f>IF($A933="","",IF($A933='Client Report'!$C$4,COUNTIFS($A$6:$A933,'Client Report'!$C$4),""))</f>
        <v/>
      </c>
    </row>
    <row r="934">
      <c r="A934" s="11" t="n"/>
      <c r="B934" s="11" t="n"/>
      <c r="C934" s="11" t="n"/>
      <c r="D934" s="11" t="n"/>
      <c r="E934" s="12" t="n"/>
      <c r="F934" s="34" t="n"/>
      <c r="G934" s="34" t="n"/>
      <c r="H934" s="34" t="n"/>
      <c r="I934" s="34" t="n"/>
      <c r="J934" s="34" t="n"/>
      <c r="K934" s="34" t="n"/>
      <c r="L934" s="34" t="n"/>
      <c r="M934" s="36" t="n"/>
      <c r="N934" s="36" t="n"/>
      <c r="O934" s="41" t="n"/>
      <c r="P934" s="27">
        <f>IF($B934="","",IFERROR(TRIM(LEFT($B934,FIND(" - ",$B934)-1)),"Others"))</f>
        <v/>
      </c>
      <c r="Q934" s="39">
        <f>IF($A934="","",SUM($F934:$H934))</f>
        <v/>
      </c>
      <c r="R934" s="39">
        <f>IF($A934="","",SUM($I934:$K934))</f>
        <v/>
      </c>
      <c r="S934" s="39">
        <f>IF($A934="","",($L934+$R934)-$Q934)</f>
        <v/>
      </c>
      <c r="T934" s="31">
        <f>IF(OR($A934="",$Q934=0),"",$S934/$Q934)</f>
        <v/>
      </c>
      <c r="U934" s="27">
        <f>IF($A934="","",IF($L934&gt;0,"Live","Exited"))</f>
        <v/>
      </c>
      <c r="V934" s="40">
        <f>IF($A934="","",IF($A934='Client Report'!$C$4,COUNTIFS($A$6:$A934,'Client Report'!$C$4),""))</f>
        <v/>
      </c>
    </row>
    <row r="935">
      <c r="A935" s="11" t="n"/>
      <c r="B935" s="11" t="n"/>
      <c r="C935" s="11" t="n"/>
      <c r="D935" s="11" t="n"/>
      <c r="E935" s="12" t="n"/>
      <c r="F935" s="34" t="n"/>
      <c r="G935" s="34" t="n"/>
      <c r="H935" s="34" t="n"/>
      <c r="I935" s="34" t="n"/>
      <c r="J935" s="34" t="n"/>
      <c r="K935" s="34" t="n"/>
      <c r="L935" s="34" t="n"/>
      <c r="M935" s="36" t="n"/>
      <c r="N935" s="36" t="n"/>
      <c r="O935" s="41" t="n"/>
      <c r="P935" s="27">
        <f>IF($B935="","",IFERROR(TRIM(LEFT($B935,FIND(" - ",$B935)-1)),"Others"))</f>
        <v/>
      </c>
      <c r="Q935" s="39">
        <f>IF($A935="","",SUM($F935:$H935))</f>
        <v/>
      </c>
      <c r="R935" s="39">
        <f>IF($A935="","",SUM($I935:$K935))</f>
        <v/>
      </c>
      <c r="S935" s="39">
        <f>IF($A935="","",($L935+$R935)-$Q935)</f>
        <v/>
      </c>
      <c r="T935" s="31">
        <f>IF(OR($A935="",$Q935=0),"",$S935/$Q935)</f>
        <v/>
      </c>
      <c r="U935" s="27">
        <f>IF($A935="","",IF($L935&gt;0,"Live","Exited"))</f>
        <v/>
      </c>
      <c r="V935" s="40">
        <f>IF($A935="","",IF($A935='Client Report'!$C$4,COUNTIFS($A$6:$A935,'Client Report'!$C$4),""))</f>
        <v/>
      </c>
    </row>
    <row r="936">
      <c r="A936" s="11" t="n"/>
      <c r="B936" s="11" t="n"/>
      <c r="C936" s="11" t="n"/>
      <c r="D936" s="11" t="n"/>
      <c r="E936" s="12" t="n"/>
      <c r="F936" s="34" t="n"/>
      <c r="G936" s="34" t="n"/>
      <c r="H936" s="34" t="n"/>
      <c r="I936" s="34" t="n"/>
      <c r="J936" s="34" t="n"/>
      <c r="K936" s="34" t="n"/>
      <c r="L936" s="34" t="n"/>
      <c r="M936" s="36" t="n"/>
      <c r="N936" s="36" t="n"/>
      <c r="O936" s="41" t="n"/>
      <c r="P936" s="27">
        <f>IF($B936="","",IFERROR(TRIM(LEFT($B936,FIND(" - ",$B936)-1)),"Others"))</f>
        <v/>
      </c>
      <c r="Q936" s="39">
        <f>IF($A936="","",SUM($F936:$H936))</f>
        <v/>
      </c>
      <c r="R936" s="39">
        <f>IF($A936="","",SUM($I936:$K936))</f>
        <v/>
      </c>
      <c r="S936" s="39">
        <f>IF($A936="","",($L936+$R936)-$Q936)</f>
        <v/>
      </c>
      <c r="T936" s="31">
        <f>IF(OR($A936="",$Q936=0),"",$S936/$Q936)</f>
        <v/>
      </c>
      <c r="U936" s="27">
        <f>IF($A936="","",IF($L936&gt;0,"Live","Exited"))</f>
        <v/>
      </c>
      <c r="V936" s="40">
        <f>IF($A936="","",IF($A936='Client Report'!$C$4,COUNTIFS($A$6:$A936,'Client Report'!$C$4),""))</f>
        <v/>
      </c>
    </row>
    <row r="937">
      <c r="A937" s="11" t="n"/>
      <c r="B937" s="11" t="n"/>
      <c r="C937" s="11" t="n"/>
      <c r="D937" s="11" t="n"/>
      <c r="E937" s="12" t="n"/>
      <c r="F937" s="34" t="n"/>
      <c r="G937" s="34" t="n"/>
      <c r="H937" s="34" t="n"/>
      <c r="I937" s="34" t="n"/>
      <c r="J937" s="34" t="n"/>
      <c r="K937" s="34" t="n"/>
      <c r="L937" s="34" t="n"/>
      <c r="M937" s="36" t="n"/>
      <c r="N937" s="36" t="n"/>
      <c r="O937" s="41" t="n"/>
      <c r="P937" s="27">
        <f>IF($B937="","",IFERROR(TRIM(LEFT($B937,FIND(" - ",$B937)-1)),"Others"))</f>
        <v/>
      </c>
      <c r="Q937" s="39">
        <f>IF($A937="","",SUM($F937:$H937))</f>
        <v/>
      </c>
      <c r="R937" s="39">
        <f>IF($A937="","",SUM($I937:$K937))</f>
        <v/>
      </c>
      <c r="S937" s="39">
        <f>IF($A937="","",($L937+$R937)-$Q937)</f>
        <v/>
      </c>
      <c r="T937" s="31">
        <f>IF(OR($A937="",$Q937=0),"",$S937/$Q937)</f>
        <v/>
      </c>
      <c r="U937" s="27">
        <f>IF($A937="","",IF($L937&gt;0,"Live","Exited"))</f>
        <v/>
      </c>
      <c r="V937" s="40">
        <f>IF($A937="","",IF($A937='Client Report'!$C$4,COUNTIFS($A$6:$A937,'Client Report'!$C$4),""))</f>
        <v/>
      </c>
    </row>
    <row r="938">
      <c r="A938" s="11" t="n"/>
      <c r="B938" s="11" t="n"/>
      <c r="C938" s="11" t="n"/>
      <c r="D938" s="11" t="n"/>
      <c r="E938" s="12" t="n"/>
      <c r="F938" s="34" t="n"/>
      <c r="G938" s="34" t="n"/>
      <c r="H938" s="34" t="n"/>
      <c r="I938" s="34" t="n"/>
      <c r="J938" s="34" t="n"/>
      <c r="K938" s="34" t="n"/>
      <c r="L938" s="34" t="n"/>
      <c r="M938" s="36" t="n"/>
      <c r="N938" s="36" t="n"/>
      <c r="O938" s="41" t="n"/>
      <c r="P938" s="27">
        <f>IF($B938="","",IFERROR(TRIM(LEFT($B938,FIND(" - ",$B938)-1)),"Others"))</f>
        <v/>
      </c>
      <c r="Q938" s="39">
        <f>IF($A938="","",SUM($F938:$H938))</f>
        <v/>
      </c>
      <c r="R938" s="39">
        <f>IF($A938="","",SUM($I938:$K938))</f>
        <v/>
      </c>
      <c r="S938" s="39">
        <f>IF($A938="","",($L938+$R938)-$Q938)</f>
        <v/>
      </c>
      <c r="T938" s="31">
        <f>IF(OR($A938="",$Q938=0),"",$S938/$Q938)</f>
        <v/>
      </c>
      <c r="U938" s="27">
        <f>IF($A938="","",IF($L938&gt;0,"Live","Exited"))</f>
        <v/>
      </c>
      <c r="V938" s="40">
        <f>IF($A938="","",IF($A938='Client Report'!$C$4,COUNTIFS($A$6:$A938,'Client Report'!$C$4),""))</f>
        <v/>
      </c>
    </row>
    <row r="939">
      <c r="A939" s="11" t="n"/>
      <c r="B939" s="11" t="n"/>
      <c r="C939" s="11" t="n"/>
      <c r="D939" s="11" t="n"/>
      <c r="E939" s="12" t="n"/>
      <c r="F939" s="34" t="n"/>
      <c r="G939" s="34" t="n"/>
      <c r="H939" s="34" t="n"/>
      <c r="I939" s="34" t="n"/>
      <c r="J939" s="34" t="n"/>
      <c r="K939" s="34" t="n"/>
      <c r="L939" s="34" t="n"/>
      <c r="M939" s="36" t="n"/>
      <c r="N939" s="36" t="n"/>
      <c r="O939" s="41" t="n"/>
      <c r="P939" s="27">
        <f>IF($B939="","",IFERROR(TRIM(LEFT($B939,FIND(" - ",$B939)-1)),"Others"))</f>
        <v/>
      </c>
      <c r="Q939" s="39">
        <f>IF($A939="","",SUM($F939:$H939))</f>
        <v/>
      </c>
      <c r="R939" s="39">
        <f>IF($A939="","",SUM($I939:$K939))</f>
        <v/>
      </c>
      <c r="S939" s="39">
        <f>IF($A939="","",($L939+$R939)-$Q939)</f>
        <v/>
      </c>
      <c r="T939" s="31">
        <f>IF(OR($A939="",$Q939=0),"",$S939/$Q939)</f>
        <v/>
      </c>
      <c r="U939" s="27">
        <f>IF($A939="","",IF($L939&gt;0,"Live","Exited"))</f>
        <v/>
      </c>
      <c r="V939" s="40">
        <f>IF($A939="","",IF($A939='Client Report'!$C$4,COUNTIFS($A$6:$A939,'Client Report'!$C$4),""))</f>
        <v/>
      </c>
    </row>
    <row r="940">
      <c r="A940" s="11" t="n"/>
      <c r="B940" s="11" t="n"/>
      <c r="C940" s="11" t="n"/>
      <c r="D940" s="11" t="n"/>
      <c r="E940" s="12" t="n"/>
      <c r="F940" s="34" t="n"/>
      <c r="G940" s="34" t="n"/>
      <c r="H940" s="34" t="n"/>
      <c r="I940" s="34" t="n"/>
      <c r="J940" s="34" t="n"/>
      <c r="K940" s="34" t="n"/>
      <c r="L940" s="34" t="n"/>
      <c r="M940" s="36" t="n"/>
      <c r="N940" s="36" t="n"/>
      <c r="O940" s="41" t="n"/>
      <c r="P940" s="27">
        <f>IF($B940="","",IFERROR(TRIM(LEFT($B940,FIND(" - ",$B940)-1)),"Others"))</f>
        <v/>
      </c>
      <c r="Q940" s="39">
        <f>IF($A940="","",SUM($F940:$H940))</f>
        <v/>
      </c>
      <c r="R940" s="39">
        <f>IF($A940="","",SUM($I940:$K940))</f>
        <v/>
      </c>
      <c r="S940" s="39">
        <f>IF($A940="","",($L940+$R940)-$Q940)</f>
        <v/>
      </c>
      <c r="T940" s="31">
        <f>IF(OR($A940="",$Q940=0),"",$S940/$Q940)</f>
        <v/>
      </c>
      <c r="U940" s="27">
        <f>IF($A940="","",IF($L940&gt;0,"Live","Exited"))</f>
        <v/>
      </c>
      <c r="V940" s="40">
        <f>IF($A940="","",IF($A940='Client Report'!$C$4,COUNTIFS($A$6:$A940,'Client Report'!$C$4),""))</f>
        <v/>
      </c>
    </row>
    <row r="941">
      <c r="A941" s="11" t="n"/>
      <c r="B941" s="11" t="n"/>
      <c r="C941" s="11" t="n"/>
      <c r="D941" s="11" t="n"/>
      <c r="E941" s="12" t="n"/>
      <c r="F941" s="34" t="n"/>
      <c r="G941" s="34" t="n"/>
      <c r="H941" s="34" t="n"/>
      <c r="I941" s="34" t="n"/>
      <c r="J941" s="34" t="n"/>
      <c r="K941" s="34" t="n"/>
      <c r="L941" s="34" t="n"/>
      <c r="M941" s="36" t="n"/>
      <c r="N941" s="36" t="n"/>
      <c r="O941" s="41" t="n"/>
      <c r="P941" s="27">
        <f>IF($B941="","",IFERROR(TRIM(LEFT($B941,FIND(" - ",$B941)-1)),"Others"))</f>
        <v/>
      </c>
      <c r="Q941" s="39">
        <f>IF($A941="","",SUM($F941:$H941))</f>
        <v/>
      </c>
      <c r="R941" s="39">
        <f>IF($A941="","",SUM($I941:$K941))</f>
        <v/>
      </c>
      <c r="S941" s="39">
        <f>IF($A941="","",($L941+$R941)-$Q941)</f>
        <v/>
      </c>
      <c r="T941" s="31">
        <f>IF(OR($A941="",$Q941=0),"",$S941/$Q941)</f>
        <v/>
      </c>
      <c r="U941" s="27">
        <f>IF($A941="","",IF($L941&gt;0,"Live","Exited"))</f>
        <v/>
      </c>
      <c r="V941" s="40">
        <f>IF($A941="","",IF($A941='Client Report'!$C$4,COUNTIFS($A$6:$A941,'Client Report'!$C$4),""))</f>
        <v/>
      </c>
    </row>
    <row r="942">
      <c r="A942" s="11" t="n"/>
      <c r="B942" s="11" t="n"/>
      <c r="C942" s="11" t="n"/>
      <c r="D942" s="11" t="n"/>
      <c r="E942" s="12" t="n"/>
      <c r="F942" s="34" t="n"/>
      <c r="G942" s="34" t="n"/>
      <c r="H942" s="34" t="n"/>
      <c r="I942" s="34" t="n"/>
      <c r="J942" s="34" t="n"/>
      <c r="K942" s="34" t="n"/>
      <c r="L942" s="34" t="n"/>
      <c r="M942" s="36" t="n"/>
      <c r="N942" s="36" t="n"/>
      <c r="O942" s="41" t="n"/>
      <c r="P942" s="27">
        <f>IF($B942="","",IFERROR(TRIM(LEFT($B942,FIND(" - ",$B942)-1)),"Others"))</f>
        <v/>
      </c>
      <c r="Q942" s="39">
        <f>IF($A942="","",SUM($F942:$H942))</f>
        <v/>
      </c>
      <c r="R942" s="39">
        <f>IF($A942="","",SUM($I942:$K942))</f>
        <v/>
      </c>
      <c r="S942" s="39">
        <f>IF($A942="","",($L942+$R942)-$Q942)</f>
        <v/>
      </c>
      <c r="T942" s="31">
        <f>IF(OR($A942="",$Q942=0),"",$S942/$Q942)</f>
        <v/>
      </c>
      <c r="U942" s="27">
        <f>IF($A942="","",IF($L942&gt;0,"Live","Exited"))</f>
        <v/>
      </c>
      <c r="V942" s="40">
        <f>IF($A942="","",IF($A942='Client Report'!$C$4,COUNTIFS($A$6:$A942,'Client Report'!$C$4),""))</f>
        <v/>
      </c>
    </row>
    <row r="943">
      <c r="A943" s="11" t="n"/>
      <c r="B943" s="11" t="n"/>
      <c r="C943" s="11" t="n"/>
      <c r="D943" s="11" t="n"/>
      <c r="E943" s="12" t="n"/>
      <c r="F943" s="34" t="n"/>
      <c r="G943" s="34" t="n"/>
      <c r="H943" s="34" t="n"/>
      <c r="I943" s="34" t="n"/>
      <c r="J943" s="34" t="n"/>
      <c r="K943" s="34" t="n"/>
      <c r="L943" s="34" t="n"/>
      <c r="M943" s="36" t="n"/>
      <c r="N943" s="36" t="n"/>
      <c r="O943" s="41" t="n"/>
      <c r="P943" s="27">
        <f>IF($B943="","",IFERROR(TRIM(LEFT($B943,FIND(" - ",$B943)-1)),"Others"))</f>
        <v/>
      </c>
      <c r="Q943" s="39">
        <f>IF($A943="","",SUM($F943:$H943))</f>
        <v/>
      </c>
      <c r="R943" s="39">
        <f>IF($A943="","",SUM($I943:$K943))</f>
        <v/>
      </c>
      <c r="S943" s="39">
        <f>IF($A943="","",($L943+$R943)-$Q943)</f>
        <v/>
      </c>
      <c r="T943" s="31">
        <f>IF(OR($A943="",$Q943=0),"",$S943/$Q943)</f>
        <v/>
      </c>
      <c r="U943" s="27">
        <f>IF($A943="","",IF($L943&gt;0,"Live","Exited"))</f>
        <v/>
      </c>
      <c r="V943" s="40">
        <f>IF($A943="","",IF($A943='Client Report'!$C$4,COUNTIFS($A$6:$A943,'Client Report'!$C$4),""))</f>
        <v/>
      </c>
    </row>
    <row r="944">
      <c r="A944" s="11" t="n"/>
      <c r="B944" s="11" t="n"/>
      <c r="C944" s="11" t="n"/>
      <c r="D944" s="11" t="n"/>
      <c r="E944" s="12" t="n"/>
      <c r="F944" s="34" t="n"/>
      <c r="G944" s="34" t="n"/>
      <c r="H944" s="34" t="n"/>
      <c r="I944" s="34" t="n"/>
      <c r="J944" s="34" t="n"/>
      <c r="K944" s="34" t="n"/>
      <c r="L944" s="34" t="n"/>
      <c r="M944" s="36" t="n"/>
      <c r="N944" s="36" t="n"/>
      <c r="O944" s="41" t="n"/>
      <c r="P944" s="27">
        <f>IF($B944="","",IFERROR(TRIM(LEFT($B944,FIND(" - ",$B944)-1)),"Others"))</f>
        <v/>
      </c>
      <c r="Q944" s="39">
        <f>IF($A944="","",SUM($F944:$H944))</f>
        <v/>
      </c>
      <c r="R944" s="39">
        <f>IF($A944="","",SUM($I944:$K944))</f>
        <v/>
      </c>
      <c r="S944" s="39">
        <f>IF($A944="","",($L944+$R944)-$Q944)</f>
        <v/>
      </c>
      <c r="T944" s="31">
        <f>IF(OR($A944="",$Q944=0),"",$S944/$Q944)</f>
        <v/>
      </c>
      <c r="U944" s="27">
        <f>IF($A944="","",IF($L944&gt;0,"Live","Exited"))</f>
        <v/>
      </c>
      <c r="V944" s="40">
        <f>IF($A944="","",IF($A944='Client Report'!$C$4,COUNTIFS($A$6:$A944,'Client Report'!$C$4),""))</f>
        <v/>
      </c>
    </row>
    <row r="945">
      <c r="A945" s="11" t="n"/>
      <c r="B945" s="11" t="n"/>
      <c r="C945" s="11" t="n"/>
      <c r="D945" s="11" t="n"/>
      <c r="E945" s="12" t="n"/>
      <c r="F945" s="34" t="n"/>
      <c r="G945" s="34" t="n"/>
      <c r="H945" s="34" t="n"/>
      <c r="I945" s="34" t="n"/>
      <c r="J945" s="34" t="n"/>
      <c r="K945" s="34" t="n"/>
      <c r="L945" s="34" t="n"/>
      <c r="M945" s="36" t="n"/>
      <c r="N945" s="36" t="n"/>
      <c r="O945" s="41" t="n"/>
      <c r="P945" s="27">
        <f>IF($B945="","",IFERROR(TRIM(LEFT($B945,FIND(" - ",$B945)-1)),"Others"))</f>
        <v/>
      </c>
      <c r="Q945" s="39">
        <f>IF($A945="","",SUM($F945:$H945))</f>
        <v/>
      </c>
      <c r="R945" s="39">
        <f>IF($A945="","",SUM($I945:$K945))</f>
        <v/>
      </c>
      <c r="S945" s="39">
        <f>IF($A945="","",($L945+$R945)-$Q945)</f>
        <v/>
      </c>
      <c r="T945" s="31">
        <f>IF(OR($A945="",$Q945=0),"",$S945/$Q945)</f>
        <v/>
      </c>
      <c r="U945" s="27">
        <f>IF($A945="","",IF($L945&gt;0,"Live","Exited"))</f>
        <v/>
      </c>
      <c r="V945" s="40">
        <f>IF($A945="","",IF($A945='Client Report'!$C$4,COUNTIFS($A$6:$A945,'Client Report'!$C$4),""))</f>
        <v/>
      </c>
    </row>
    <row r="946">
      <c r="A946" s="11" t="n"/>
      <c r="B946" s="11" t="n"/>
      <c r="C946" s="11" t="n"/>
      <c r="D946" s="11" t="n"/>
      <c r="E946" s="12" t="n"/>
      <c r="F946" s="34" t="n"/>
      <c r="G946" s="34" t="n"/>
      <c r="H946" s="34" t="n"/>
      <c r="I946" s="34" t="n"/>
      <c r="J946" s="34" t="n"/>
      <c r="K946" s="34" t="n"/>
      <c r="L946" s="34" t="n"/>
      <c r="M946" s="36" t="n"/>
      <c r="N946" s="36" t="n"/>
      <c r="O946" s="41" t="n"/>
      <c r="P946" s="27">
        <f>IF($B946="","",IFERROR(TRIM(LEFT($B946,FIND(" - ",$B946)-1)),"Others"))</f>
        <v/>
      </c>
      <c r="Q946" s="39">
        <f>IF($A946="","",SUM($F946:$H946))</f>
        <v/>
      </c>
      <c r="R946" s="39">
        <f>IF($A946="","",SUM($I946:$K946))</f>
        <v/>
      </c>
      <c r="S946" s="39">
        <f>IF($A946="","",($L946+$R946)-$Q946)</f>
        <v/>
      </c>
      <c r="T946" s="31">
        <f>IF(OR($A946="",$Q946=0),"",$S946/$Q946)</f>
        <v/>
      </c>
      <c r="U946" s="27">
        <f>IF($A946="","",IF($L946&gt;0,"Live","Exited"))</f>
        <v/>
      </c>
      <c r="V946" s="40">
        <f>IF($A946="","",IF($A946='Client Report'!$C$4,COUNTIFS($A$6:$A946,'Client Report'!$C$4),""))</f>
        <v/>
      </c>
    </row>
    <row r="947">
      <c r="A947" s="11" t="n"/>
      <c r="B947" s="11" t="n"/>
      <c r="C947" s="11" t="n"/>
      <c r="D947" s="11" t="n"/>
      <c r="E947" s="12" t="n"/>
      <c r="F947" s="34" t="n"/>
      <c r="G947" s="34" t="n"/>
      <c r="H947" s="34" t="n"/>
      <c r="I947" s="34" t="n"/>
      <c r="J947" s="34" t="n"/>
      <c r="K947" s="34" t="n"/>
      <c r="L947" s="34" t="n"/>
      <c r="M947" s="36" t="n"/>
      <c r="N947" s="36" t="n"/>
      <c r="O947" s="41" t="n"/>
      <c r="P947" s="27">
        <f>IF($B947="","",IFERROR(TRIM(LEFT($B947,FIND(" - ",$B947)-1)),"Others"))</f>
        <v/>
      </c>
      <c r="Q947" s="39">
        <f>IF($A947="","",SUM($F947:$H947))</f>
        <v/>
      </c>
      <c r="R947" s="39">
        <f>IF($A947="","",SUM($I947:$K947))</f>
        <v/>
      </c>
      <c r="S947" s="39">
        <f>IF($A947="","",($L947+$R947)-$Q947)</f>
        <v/>
      </c>
      <c r="T947" s="31">
        <f>IF(OR($A947="",$Q947=0),"",$S947/$Q947)</f>
        <v/>
      </c>
      <c r="U947" s="27">
        <f>IF($A947="","",IF($L947&gt;0,"Live","Exited"))</f>
        <v/>
      </c>
      <c r="V947" s="40">
        <f>IF($A947="","",IF($A947='Client Report'!$C$4,COUNTIFS($A$6:$A947,'Client Report'!$C$4),""))</f>
        <v/>
      </c>
    </row>
    <row r="948">
      <c r="A948" s="11" t="n"/>
      <c r="B948" s="11" t="n"/>
      <c r="C948" s="11" t="n"/>
      <c r="D948" s="11" t="n"/>
      <c r="E948" s="12" t="n"/>
      <c r="F948" s="34" t="n"/>
      <c r="G948" s="34" t="n"/>
      <c r="H948" s="34" t="n"/>
      <c r="I948" s="34" t="n"/>
      <c r="J948" s="34" t="n"/>
      <c r="K948" s="34" t="n"/>
      <c r="L948" s="34" t="n"/>
      <c r="M948" s="36" t="n"/>
      <c r="N948" s="36" t="n"/>
      <c r="O948" s="41" t="n"/>
      <c r="P948" s="27">
        <f>IF($B948="","",IFERROR(TRIM(LEFT($B948,FIND(" - ",$B948)-1)),"Others"))</f>
        <v/>
      </c>
      <c r="Q948" s="39">
        <f>IF($A948="","",SUM($F948:$H948))</f>
        <v/>
      </c>
      <c r="R948" s="39">
        <f>IF($A948="","",SUM($I948:$K948))</f>
        <v/>
      </c>
      <c r="S948" s="39">
        <f>IF($A948="","",($L948+$R948)-$Q948)</f>
        <v/>
      </c>
      <c r="T948" s="31">
        <f>IF(OR($A948="",$Q948=0),"",$S948/$Q948)</f>
        <v/>
      </c>
      <c r="U948" s="27">
        <f>IF($A948="","",IF($L948&gt;0,"Live","Exited"))</f>
        <v/>
      </c>
      <c r="V948" s="40">
        <f>IF($A948="","",IF($A948='Client Report'!$C$4,COUNTIFS($A$6:$A948,'Client Report'!$C$4),""))</f>
        <v/>
      </c>
    </row>
    <row r="949">
      <c r="A949" s="11" t="n"/>
      <c r="B949" s="11" t="n"/>
      <c r="C949" s="11" t="n"/>
      <c r="D949" s="11" t="n"/>
      <c r="E949" s="12" t="n"/>
      <c r="F949" s="34" t="n"/>
      <c r="G949" s="34" t="n"/>
      <c r="H949" s="34" t="n"/>
      <c r="I949" s="34" t="n"/>
      <c r="J949" s="34" t="n"/>
      <c r="K949" s="34" t="n"/>
      <c r="L949" s="34" t="n"/>
      <c r="M949" s="36" t="n"/>
      <c r="N949" s="36" t="n"/>
      <c r="O949" s="41" t="n"/>
      <c r="P949" s="27">
        <f>IF($B949="","",IFERROR(TRIM(LEFT($B949,FIND(" - ",$B949)-1)),"Others"))</f>
        <v/>
      </c>
      <c r="Q949" s="39">
        <f>IF($A949="","",SUM($F949:$H949))</f>
        <v/>
      </c>
      <c r="R949" s="39">
        <f>IF($A949="","",SUM($I949:$K949))</f>
        <v/>
      </c>
      <c r="S949" s="39">
        <f>IF($A949="","",($L949+$R949)-$Q949)</f>
        <v/>
      </c>
      <c r="T949" s="31">
        <f>IF(OR($A949="",$Q949=0),"",$S949/$Q949)</f>
        <v/>
      </c>
      <c r="U949" s="27">
        <f>IF($A949="","",IF($L949&gt;0,"Live","Exited"))</f>
        <v/>
      </c>
      <c r="V949" s="40">
        <f>IF($A949="","",IF($A949='Client Report'!$C$4,COUNTIFS($A$6:$A949,'Client Report'!$C$4),""))</f>
        <v/>
      </c>
    </row>
    <row r="950">
      <c r="A950" s="11" t="n"/>
      <c r="B950" s="11" t="n"/>
      <c r="C950" s="11" t="n"/>
      <c r="D950" s="11" t="n"/>
      <c r="E950" s="12" t="n"/>
      <c r="F950" s="34" t="n"/>
      <c r="G950" s="34" t="n"/>
      <c r="H950" s="34" t="n"/>
      <c r="I950" s="34" t="n"/>
      <c r="J950" s="34" t="n"/>
      <c r="K950" s="34" t="n"/>
      <c r="L950" s="34" t="n"/>
      <c r="M950" s="36" t="n"/>
      <c r="N950" s="36" t="n"/>
      <c r="O950" s="41" t="n"/>
      <c r="P950" s="27">
        <f>IF($B950="","",IFERROR(TRIM(LEFT($B950,FIND(" - ",$B950)-1)),"Others"))</f>
        <v/>
      </c>
      <c r="Q950" s="39">
        <f>IF($A950="","",SUM($F950:$H950))</f>
        <v/>
      </c>
      <c r="R950" s="39">
        <f>IF($A950="","",SUM($I950:$K950))</f>
        <v/>
      </c>
      <c r="S950" s="39">
        <f>IF($A950="","",($L950+$R950)-$Q950)</f>
        <v/>
      </c>
      <c r="T950" s="31">
        <f>IF(OR($A950="",$Q950=0),"",$S950/$Q950)</f>
        <v/>
      </c>
      <c r="U950" s="27">
        <f>IF($A950="","",IF($L950&gt;0,"Live","Exited"))</f>
        <v/>
      </c>
      <c r="V950" s="40">
        <f>IF($A950="","",IF($A950='Client Report'!$C$4,COUNTIFS($A$6:$A950,'Client Report'!$C$4),""))</f>
        <v/>
      </c>
    </row>
    <row r="951">
      <c r="A951" s="11" t="n"/>
      <c r="B951" s="11" t="n"/>
      <c r="C951" s="11" t="n"/>
      <c r="D951" s="11" t="n"/>
      <c r="E951" s="12" t="n"/>
      <c r="F951" s="34" t="n"/>
      <c r="G951" s="34" t="n"/>
      <c r="H951" s="34" t="n"/>
      <c r="I951" s="34" t="n"/>
      <c r="J951" s="34" t="n"/>
      <c r="K951" s="34" t="n"/>
      <c r="L951" s="34" t="n"/>
      <c r="M951" s="36" t="n"/>
      <c r="N951" s="36" t="n"/>
      <c r="O951" s="41" t="n"/>
      <c r="P951" s="27">
        <f>IF($B951="","",IFERROR(TRIM(LEFT($B951,FIND(" - ",$B951)-1)),"Others"))</f>
        <v/>
      </c>
      <c r="Q951" s="39">
        <f>IF($A951="","",SUM($F951:$H951))</f>
        <v/>
      </c>
      <c r="R951" s="39">
        <f>IF($A951="","",SUM($I951:$K951))</f>
        <v/>
      </c>
      <c r="S951" s="39">
        <f>IF($A951="","",($L951+$R951)-$Q951)</f>
        <v/>
      </c>
      <c r="T951" s="31">
        <f>IF(OR($A951="",$Q951=0),"",$S951/$Q951)</f>
        <v/>
      </c>
      <c r="U951" s="27">
        <f>IF($A951="","",IF($L951&gt;0,"Live","Exited"))</f>
        <v/>
      </c>
      <c r="V951" s="40">
        <f>IF($A951="","",IF($A951='Client Report'!$C$4,COUNTIFS($A$6:$A951,'Client Report'!$C$4),""))</f>
        <v/>
      </c>
    </row>
    <row r="952">
      <c r="A952" s="11" t="n"/>
      <c r="B952" s="11" t="n"/>
      <c r="C952" s="11" t="n"/>
      <c r="D952" s="11" t="n"/>
      <c r="E952" s="12" t="n"/>
      <c r="F952" s="34" t="n"/>
      <c r="G952" s="34" t="n"/>
      <c r="H952" s="34" t="n"/>
      <c r="I952" s="34" t="n"/>
      <c r="J952" s="34" t="n"/>
      <c r="K952" s="34" t="n"/>
      <c r="L952" s="34" t="n"/>
      <c r="M952" s="36" t="n"/>
      <c r="N952" s="36" t="n"/>
      <c r="O952" s="41" t="n"/>
      <c r="P952" s="27">
        <f>IF($B952="","",IFERROR(TRIM(LEFT($B952,FIND(" - ",$B952)-1)),"Others"))</f>
        <v/>
      </c>
      <c r="Q952" s="39">
        <f>IF($A952="","",SUM($F952:$H952))</f>
        <v/>
      </c>
      <c r="R952" s="39">
        <f>IF($A952="","",SUM($I952:$K952))</f>
        <v/>
      </c>
      <c r="S952" s="39">
        <f>IF($A952="","",($L952+$R952)-$Q952)</f>
        <v/>
      </c>
      <c r="T952" s="31">
        <f>IF(OR($A952="",$Q952=0),"",$S952/$Q952)</f>
        <v/>
      </c>
      <c r="U952" s="27">
        <f>IF($A952="","",IF($L952&gt;0,"Live","Exited"))</f>
        <v/>
      </c>
      <c r="V952" s="40">
        <f>IF($A952="","",IF($A952='Client Report'!$C$4,COUNTIFS($A$6:$A952,'Client Report'!$C$4),""))</f>
        <v/>
      </c>
    </row>
    <row r="953">
      <c r="A953" s="11" t="n"/>
      <c r="B953" s="11" t="n"/>
      <c r="C953" s="11" t="n"/>
      <c r="D953" s="11" t="n"/>
      <c r="E953" s="12" t="n"/>
      <c r="F953" s="34" t="n"/>
      <c r="G953" s="34" t="n"/>
      <c r="H953" s="34" t="n"/>
      <c r="I953" s="34" t="n"/>
      <c r="J953" s="34" t="n"/>
      <c r="K953" s="34" t="n"/>
      <c r="L953" s="34" t="n"/>
      <c r="M953" s="36" t="n"/>
      <c r="N953" s="36" t="n"/>
      <c r="O953" s="41" t="n"/>
      <c r="P953" s="27">
        <f>IF($B953="","",IFERROR(TRIM(LEFT($B953,FIND(" - ",$B953)-1)),"Others"))</f>
        <v/>
      </c>
      <c r="Q953" s="39">
        <f>IF($A953="","",SUM($F953:$H953))</f>
        <v/>
      </c>
      <c r="R953" s="39">
        <f>IF($A953="","",SUM($I953:$K953))</f>
        <v/>
      </c>
      <c r="S953" s="39">
        <f>IF($A953="","",($L953+$R953)-$Q953)</f>
        <v/>
      </c>
      <c r="T953" s="31">
        <f>IF(OR($A953="",$Q953=0),"",$S953/$Q953)</f>
        <v/>
      </c>
      <c r="U953" s="27">
        <f>IF($A953="","",IF($L953&gt;0,"Live","Exited"))</f>
        <v/>
      </c>
      <c r="V953" s="40">
        <f>IF($A953="","",IF($A953='Client Report'!$C$4,COUNTIFS($A$6:$A953,'Client Report'!$C$4),""))</f>
        <v/>
      </c>
    </row>
    <row r="954">
      <c r="A954" s="11" t="n"/>
      <c r="B954" s="11" t="n"/>
      <c r="C954" s="11" t="n"/>
      <c r="D954" s="11" t="n"/>
      <c r="E954" s="12" t="n"/>
      <c r="F954" s="34" t="n"/>
      <c r="G954" s="34" t="n"/>
      <c r="H954" s="34" t="n"/>
      <c r="I954" s="34" t="n"/>
      <c r="J954" s="34" t="n"/>
      <c r="K954" s="34" t="n"/>
      <c r="L954" s="34" t="n"/>
      <c r="M954" s="36" t="n"/>
      <c r="N954" s="36" t="n"/>
      <c r="O954" s="41" t="n"/>
      <c r="P954" s="27">
        <f>IF($B954="","",IFERROR(TRIM(LEFT($B954,FIND(" - ",$B954)-1)),"Others"))</f>
        <v/>
      </c>
      <c r="Q954" s="39">
        <f>IF($A954="","",SUM($F954:$H954))</f>
        <v/>
      </c>
      <c r="R954" s="39">
        <f>IF($A954="","",SUM($I954:$K954))</f>
        <v/>
      </c>
      <c r="S954" s="39">
        <f>IF($A954="","",($L954+$R954)-$Q954)</f>
        <v/>
      </c>
      <c r="T954" s="31">
        <f>IF(OR($A954="",$Q954=0),"",$S954/$Q954)</f>
        <v/>
      </c>
      <c r="U954" s="27">
        <f>IF($A954="","",IF($L954&gt;0,"Live","Exited"))</f>
        <v/>
      </c>
      <c r="V954" s="40">
        <f>IF($A954="","",IF($A954='Client Report'!$C$4,COUNTIFS($A$6:$A954,'Client Report'!$C$4),""))</f>
        <v/>
      </c>
    </row>
    <row r="955">
      <c r="A955" s="11" t="n"/>
      <c r="B955" s="11" t="n"/>
      <c r="C955" s="11" t="n"/>
      <c r="D955" s="11" t="n"/>
      <c r="E955" s="12" t="n"/>
      <c r="F955" s="34" t="n"/>
      <c r="G955" s="34" t="n"/>
      <c r="H955" s="34" t="n"/>
      <c r="I955" s="34" t="n"/>
      <c r="J955" s="34" t="n"/>
      <c r="K955" s="34" t="n"/>
      <c r="L955" s="34" t="n"/>
      <c r="M955" s="36" t="n"/>
      <c r="N955" s="36" t="n"/>
      <c r="O955" s="41" t="n"/>
      <c r="P955" s="27">
        <f>IF($B955="","",IFERROR(TRIM(LEFT($B955,FIND(" - ",$B955)-1)),"Others"))</f>
        <v/>
      </c>
      <c r="Q955" s="39">
        <f>IF($A955="","",SUM($F955:$H955))</f>
        <v/>
      </c>
      <c r="R955" s="39">
        <f>IF($A955="","",SUM($I955:$K955))</f>
        <v/>
      </c>
      <c r="S955" s="39">
        <f>IF($A955="","",($L955+$R955)-$Q955)</f>
        <v/>
      </c>
      <c r="T955" s="31">
        <f>IF(OR($A955="",$Q955=0),"",$S955/$Q955)</f>
        <v/>
      </c>
      <c r="U955" s="27">
        <f>IF($A955="","",IF($L955&gt;0,"Live","Exited"))</f>
        <v/>
      </c>
      <c r="V955" s="40">
        <f>IF($A955="","",IF($A955='Client Report'!$C$4,COUNTIFS($A$6:$A955,'Client Report'!$C$4),""))</f>
        <v/>
      </c>
    </row>
    <row r="956">
      <c r="A956" s="11" t="n"/>
      <c r="B956" s="11" t="n"/>
      <c r="C956" s="11" t="n"/>
      <c r="D956" s="11" t="n"/>
      <c r="E956" s="12" t="n"/>
      <c r="F956" s="34" t="n"/>
      <c r="G956" s="34" t="n"/>
      <c r="H956" s="34" t="n"/>
      <c r="I956" s="34" t="n"/>
      <c r="J956" s="34" t="n"/>
      <c r="K956" s="34" t="n"/>
      <c r="L956" s="34" t="n"/>
      <c r="M956" s="36" t="n"/>
      <c r="N956" s="36" t="n"/>
      <c r="O956" s="41" t="n"/>
      <c r="P956" s="27">
        <f>IF($B956="","",IFERROR(TRIM(LEFT($B956,FIND(" - ",$B956)-1)),"Others"))</f>
        <v/>
      </c>
      <c r="Q956" s="39">
        <f>IF($A956="","",SUM($F956:$H956))</f>
        <v/>
      </c>
      <c r="R956" s="39">
        <f>IF($A956="","",SUM($I956:$K956))</f>
        <v/>
      </c>
      <c r="S956" s="39">
        <f>IF($A956="","",($L956+$R956)-$Q956)</f>
        <v/>
      </c>
      <c r="T956" s="31">
        <f>IF(OR($A956="",$Q956=0),"",$S956/$Q956)</f>
        <v/>
      </c>
      <c r="U956" s="27">
        <f>IF($A956="","",IF($L956&gt;0,"Live","Exited"))</f>
        <v/>
      </c>
      <c r="V956" s="40">
        <f>IF($A956="","",IF($A956='Client Report'!$C$4,COUNTIFS($A$6:$A956,'Client Report'!$C$4),""))</f>
        <v/>
      </c>
    </row>
    <row r="957">
      <c r="A957" s="11" t="n"/>
      <c r="B957" s="11" t="n"/>
      <c r="C957" s="11" t="n"/>
      <c r="D957" s="11" t="n"/>
      <c r="E957" s="12" t="n"/>
      <c r="F957" s="34" t="n"/>
      <c r="G957" s="34" t="n"/>
      <c r="H957" s="34" t="n"/>
      <c r="I957" s="34" t="n"/>
      <c r="J957" s="34" t="n"/>
      <c r="K957" s="34" t="n"/>
      <c r="L957" s="34" t="n"/>
      <c r="M957" s="36" t="n"/>
      <c r="N957" s="36" t="n"/>
      <c r="O957" s="41" t="n"/>
      <c r="P957" s="27">
        <f>IF($B957="","",IFERROR(TRIM(LEFT($B957,FIND(" - ",$B957)-1)),"Others"))</f>
        <v/>
      </c>
      <c r="Q957" s="39">
        <f>IF($A957="","",SUM($F957:$H957))</f>
        <v/>
      </c>
      <c r="R957" s="39">
        <f>IF($A957="","",SUM($I957:$K957))</f>
        <v/>
      </c>
      <c r="S957" s="39">
        <f>IF($A957="","",($L957+$R957)-$Q957)</f>
        <v/>
      </c>
      <c r="T957" s="31">
        <f>IF(OR($A957="",$Q957=0),"",$S957/$Q957)</f>
        <v/>
      </c>
      <c r="U957" s="27">
        <f>IF($A957="","",IF($L957&gt;0,"Live","Exited"))</f>
        <v/>
      </c>
      <c r="V957" s="40">
        <f>IF($A957="","",IF($A957='Client Report'!$C$4,COUNTIFS($A$6:$A957,'Client Report'!$C$4),""))</f>
        <v/>
      </c>
    </row>
    <row r="958">
      <c r="A958" s="11" t="n"/>
      <c r="B958" s="11" t="n"/>
      <c r="C958" s="11" t="n"/>
      <c r="D958" s="11" t="n"/>
      <c r="E958" s="12" t="n"/>
      <c r="F958" s="34" t="n"/>
      <c r="G958" s="34" t="n"/>
      <c r="H958" s="34" t="n"/>
      <c r="I958" s="34" t="n"/>
      <c r="J958" s="34" t="n"/>
      <c r="K958" s="34" t="n"/>
      <c r="L958" s="34" t="n"/>
      <c r="M958" s="36" t="n"/>
      <c r="N958" s="36" t="n"/>
      <c r="O958" s="41" t="n"/>
      <c r="P958" s="27">
        <f>IF($B958="","",IFERROR(TRIM(LEFT($B958,FIND(" - ",$B958)-1)),"Others"))</f>
        <v/>
      </c>
      <c r="Q958" s="39">
        <f>IF($A958="","",SUM($F958:$H958))</f>
        <v/>
      </c>
      <c r="R958" s="39">
        <f>IF($A958="","",SUM($I958:$K958))</f>
        <v/>
      </c>
      <c r="S958" s="39">
        <f>IF($A958="","",($L958+$R958)-$Q958)</f>
        <v/>
      </c>
      <c r="T958" s="31">
        <f>IF(OR($A958="",$Q958=0),"",$S958/$Q958)</f>
        <v/>
      </c>
      <c r="U958" s="27">
        <f>IF($A958="","",IF($L958&gt;0,"Live","Exited"))</f>
        <v/>
      </c>
      <c r="V958" s="40">
        <f>IF($A958="","",IF($A958='Client Report'!$C$4,COUNTIFS($A$6:$A958,'Client Report'!$C$4),""))</f>
        <v/>
      </c>
    </row>
    <row r="959">
      <c r="A959" s="11" t="n"/>
      <c r="B959" s="11" t="n"/>
      <c r="C959" s="11" t="n"/>
      <c r="D959" s="11" t="n"/>
      <c r="E959" s="12" t="n"/>
      <c r="F959" s="34" t="n"/>
      <c r="G959" s="34" t="n"/>
      <c r="H959" s="34" t="n"/>
      <c r="I959" s="34" t="n"/>
      <c r="J959" s="34" t="n"/>
      <c r="K959" s="34" t="n"/>
      <c r="L959" s="34" t="n"/>
      <c r="M959" s="36" t="n"/>
      <c r="N959" s="36" t="n"/>
      <c r="O959" s="41" t="n"/>
      <c r="P959" s="27">
        <f>IF($B959="","",IFERROR(TRIM(LEFT($B959,FIND(" - ",$B959)-1)),"Others"))</f>
        <v/>
      </c>
      <c r="Q959" s="39">
        <f>IF($A959="","",SUM($F959:$H959))</f>
        <v/>
      </c>
      <c r="R959" s="39">
        <f>IF($A959="","",SUM($I959:$K959))</f>
        <v/>
      </c>
      <c r="S959" s="39">
        <f>IF($A959="","",($L959+$R959)-$Q959)</f>
        <v/>
      </c>
      <c r="T959" s="31">
        <f>IF(OR($A959="",$Q959=0),"",$S959/$Q959)</f>
        <v/>
      </c>
      <c r="U959" s="27">
        <f>IF($A959="","",IF($L959&gt;0,"Live","Exited"))</f>
        <v/>
      </c>
      <c r="V959" s="40">
        <f>IF($A959="","",IF($A959='Client Report'!$C$4,COUNTIFS($A$6:$A959,'Client Report'!$C$4),""))</f>
        <v/>
      </c>
    </row>
    <row r="960">
      <c r="A960" s="11" t="n"/>
      <c r="B960" s="11" t="n"/>
      <c r="C960" s="11" t="n"/>
      <c r="D960" s="11" t="n"/>
      <c r="E960" s="12" t="n"/>
      <c r="F960" s="34" t="n"/>
      <c r="G960" s="34" t="n"/>
      <c r="H960" s="34" t="n"/>
      <c r="I960" s="34" t="n"/>
      <c r="J960" s="34" t="n"/>
      <c r="K960" s="34" t="n"/>
      <c r="L960" s="34" t="n"/>
      <c r="M960" s="36" t="n"/>
      <c r="N960" s="36" t="n"/>
      <c r="O960" s="41" t="n"/>
      <c r="P960" s="27">
        <f>IF($B960="","",IFERROR(TRIM(LEFT($B960,FIND(" - ",$B960)-1)),"Others"))</f>
        <v/>
      </c>
      <c r="Q960" s="39">
        <f>IF($A960="","",SUM($F960:$H960))</f>
        <v/>
      </c>
      <c r="R960" s="39">
        <f>IF($A960="","",SUM($I960:$K960))</f>
        <v/>
      </c>
      <c r="S960" s="39">
        <f>IF($A960="","",($L960+$R960)-$Q960)</f>
        <v/>
      </c>
      <c r="T960" s="31">
        <f>IF(OR($A960="",$Q960=0),"",$S960/$Q960)</f>
        <v/>
      </c>
      <c r="U960" s="27">
        <f>IF($A960="","",IF($L960&gt;0,"Live","Exited"))</f>
        <v/>
      </c>
      <c r="V960" s="40">
        <f>IF($A960="","",IF($A960='Client Report'!$C$4,COUNTIFS($A$6:$A960,'Client Report'!$C$4),""))</f>
        <v/>
      </c>
    </row>
    <row r="961">
      <c r="A961" s="11" t="n"/>
      <c r="B961" s="11" t="n"/>
      <c r="C961" s="11" t="n"/>
      <c r="D961" s="11" t="n"/>
      <c r="E961" s="12" t="n"/>
      <c r="F961" s="34" t="n"/>
      <c r="G961" s="34" t="n"/>
      <c r="H961" s="34" t="n"/>
      <c r="I961" s="34" t="n"/>
      <c r="J961" s="34" t="n"/>
      <c r="K961" s="34" t="n"/>
      <c r="L961" s="34" t="n"/>
      <c r="M961" s="36" t="n"/>
      <c r="N961" s="36" t="n"/>
      <c r="O961" s="41" t="n"/>
      <c r="P961" s="27">
        <f>IF($B961="","",IFERROR(TRIM(LEFT($B961,FIND(" - ",$B961)-1)),"Others"))</f>
        <v/>
      </c>
      <c r="Q961" s="39">
        <f>IF($A961="","",SUM($F961:$H961))</f>
        <v/>
      </c>
      <c r="R961" s="39">
        <f>IF($A961="","",SUM($I961:$K961))</f>
        <v/>
      </c>
      <c r="S961" s="39">
        <f>IF($A961="","",($L961+$R961)-$Q961)</f>
        <v/>
      </c>
      <c r="T961" s="31">
        <f>IF(OR($A961="",$Q961=0),"",$S961/$Q961)</f>
        <v/>
      </c>
      <c r="U961" s="27">
        <f>IF($A961="","",IF($L961&gt;0,"Live","Exited"))</f>
        <v/>
      </c>
      <c r="V961" s="40">
        <f>IF($A961="","",IF($A961='Client Report'!$C$4,COUNTIFS($A$6:$A961,'Client Report'!$C$4),""))</f>
        <v/>
      </c>
    </row>
    <row r="962">
      <c r="A962" s="11" t="n"/>
      <c r="B962" s="11" t="n"/>
      <c r="C962" s="11" t="n"/>
      <c r="D962" s="11" t="n"/>
      <c r="E962" s="12" t="n"/>
      <c r="F962" s="34" t="n"/>
      <c r="G962" s="34" t="n"/>
      <c r="H962" s="34" t="n"/>
      <c r="I962" s="34" t="n"/>
      <c r="J962" s="34" t="n"/>
      <c r="K962" s="34" t="n"/>
      <c r="L962" s="34" t="n"/>
      <c r="M962" s="36" t="n"/>
      <c r="N962" s="36" t="n"/>
      <c r="O962" s="41" t="n"/>
      <c r="P962" s="27">
        <f>IF($B962="","",IFERROR(TRIM(LEFT($B962,FIND(" - ",$B962)-1)),"Others"))</f>
        <v/>
      </c>
      <c r="Q962" s="39">
        <f>IF($A962="","",SUM($F962:$H962))</f>
        <v/>
      </c>
      <c r="R962" s="39">
        <f>IF($A962="","",SUM($I962:$K962))</f>
        <v/>
      </c>
      <c r="S962" s="39">
        <f>IF($A962="","",($L962+$R962)-$Q962)</f>
        <v/>
      </c>
      <c r="T962" s="31">
        <f>IF(OR($A962="",$Q962=0),"",$S962/$Q962)</f>
        <v/>
      </c>
      <c r="U962" s="27">
        <f>IF($A962="","",IF($L962&gt;0,"Live","Exited"))</f>
        <v/>
      </c>
      <c r="V962" s="40">
        <f>IF($A962="","",IF($A962='Client Report'!$C$4,COUNTIFS($A$6:$A962,'Client Report'!$C$4),""))</f>
        <v/>
      </c>
    </row>
    <row r="963">
      <c r="A963" s="11" t="n"/>
      <c r="B963" s="11" t="n"/>
      <c r="C963" s="11" t="n"/>
      <c r="D963" s="11" t="n"/>
      <c r="E963" s="12" t="n"/>
      <c r="F963" s="34" t="n"/>
      <c r="G963" s="34" t="n"/>
      <c r="H963" s="34" t="n"/>
      <c r="I963" s="34" t="n"/>
      <c r="J963" s="34" t="n"/>
      <c r="K963" s="34" t="n"/>
      <c r="L963" s="34" t="n"/>
      <c r="M963" s="36" t="n"/>
      <c r="N963" s="36" t="n"/>
      <c r="O963" s="41" t="n"/>
      <c r="P963" s="27">
        <f>IF($B963="","",IFERROR(TRIM(LEFT($B963,FIND(" - ",$B963)-1)),"Others"))</f>
        <v/>
      </c>
      <c r="Q963" s="39">
        <f>IF($A963="","",SUM($F963:$H963))</f>
        <v/>
      </c>
      <c r="R963" s="39">
        <f>IF($A963="","",SUM($I963:$K963))</f>
        <v/>
      </c>
      <c r="S963" s="39">
        <f>IF($A963="","",($L963+$R963)-$Q963)</f>
        <v/>
      </c>
      <c r="T963" s="31">
        <f>IF(OR($A963="",$Q963=0),"",$S963/$Q963)</f>
        <v/>
      </c>
      <c r="U963" s="27">
        <f>IF($A963="","",IF($L963&gt;0,"Live","Exited"))</f>
        <v/>
      </c>
      <c r="V963" s="40">
        <f>IF($A963="","",IF($A963='Client Report'!$C$4,COUNTIFS($A$6:$A963,'Client Report'!$C$4),""))</f>
        <v/>
      </c>
    </row>
    <row r="964">
      <c r="A964" s="11" t="n"/>
      <c r="B964" s="11" t="n"/>
      <c r="C964" s="11" t="n"/>
      <c r="D964" s="11" t="n"/>
      <c r="E964" s="12" t="n"/>
      <c r="F964" s="34" t="n"/>
      <c r="G964" s="34" t="n"/>
      <c r="H964" s="34" t="n"/>
      <c r="I964" s="34" t="n"/>
      <c r="J964" s="34" t="n"/>
      <c r="K964" s="34" t="n"/>
      <c r="L964" s="34" t="n"/>
      <c r="M964" s="36" t="n"/>
      <c r="N964" s="36" t="n"/>
      <c r="O964" s="41" t="n"/>
      <c r="P964" s="27">
        <f>IF($B964="","",IFERROR(TRIM(LEFT($B964,FIND(" - ",$B964)-1)),"Others"))</f>
        <v/>
      </c>
      <c r="Q964" s="39">
        <f>IF($A964="","",SUM($F964:$H964))</f>
        <v/>
      </c>
      <c r="R964" s="39">
        <f>IF($A964="","",SUM($I964:$K964))</f>
        <v/>
      </c>
      <c r="S964" s="39">
        <f>IF($A964="","",($L964+$R964)-$Q964)</f>
        <v/>
      </c>
      <c r="T964" s="31">
        <f>IF(OR($A964="",$Q964=0),"",$S964/$Q964)</f>
        <v/>
      </c>
      <c r="U964" s="27">
        <f>IF($A964="","",IF($L964&gt;0,"Live","Exited"))</f>
        <v/>
      </c>
      <c r="V964" s="40">
        <f>IF($A964="","",IF($A964='Client Report'!$C$4,COUNTIFS($A$6:$A964,'Client Report'!$C$4),""))</f>
        <v/>
      </c>
    </row>
    <row r="965">
      <c r="A965" s="11" t="n"/>
      <c r="B965" s="11" t="n"/>
      <c r="C965" s="11" t="n"/>
      <c r="D965" s="11" t="n"/>
      <c r="E965" s="12" t="n"/>
      <c r="F965" s="34" t="n"/>
      <c r="G965" s="34" t="n"/>
      <c r="H965" s="34" t="n"/>
      <c r="I965" s="34" t="n"/>
      <c r="J965" s="34" t="n"/>
      <c r="K965" s="34" t="n"/>
      <c r="L965" s="34" t="n"/>
      <c r="M965" s="36" t="n"/>
      <c r="N965" s="36" t="n"/>
      <c r="O965" s="41" t="n"/>
      <c r="P965" s="27">
        <f>IF($B965="","",IFERROR(TRIM(LEFT($B965,FIND(" - ",$B965)-1)),"Others"))</f>
        <v/>
      </c>
      <c r="Q965" s="39">
        <f>IF($A965="","",SUM($F965:$H965))</f>
        <v/>
      </c>
      <c r="R965" s="39">
        <f>IF($A965="","",SUM($I965:$K965))</f>
        <v/>
      </c>
      <c r="S965" s="39">
        <f>IF($A965="","",($L965+$R965)-$Q965)</f>
        <v/>
      </c>
      <c r="T965" s="31">
        <f>IF(OR($A965="",$Q965=0),"",$S965/$Q965)</f>
        <v/>
      </c>
      <c r="U965" s="27">
        <f>IF($A965="","",IF($L965&gt;0,"Live","Exited"))</f>
        <v/>
      </c>
      <c r="V965" s="40">
        <f>IF($A965="","",IF($A965='Client Report'!$C$4,COUNTIFS($A$6:$A965,'Client Report'!$C$4),""))</f>
        <v/>
      </c>
    </row>
    <row r="966">
      <c r="A966" s="11" t="n"/>
      <c r="B966" s="11" t="n"/>
      <c r="C966" s="11" t="n"/>
      <c r="D966" s="11" t="n"/>
      <c r="E966" s="12" t="n"/>
      <c r="F966" s="34" t="n"/>
      <c r="G966" s="34" t="n"/>
      <c r="H966" s="34" t="n"/>
      <c r="I966" s="34" t="n"/>
      <c r="J966" s="34" t="n"/>
      <c r="K966" s="34" t="n"/>
      <c r="L966" s="34" t="n"/>
      <c r="M966" s="36" t="n"/>
      <c r="N966" s="36" t="n"/>
      <c r="O966" s="41" t="n"/>
      <c r="P966" s="27">
        <f>IF($B966="","",IFERROR(TRIM(LEFT($B966,FIND(" - ",$B966)-1)),"Others"))</f>
        <v/>
      </c>
      <c r="Q966" s="39">
        <f>IF($A966="","",SUM($F966:$H966))</f>
        <v/>
      </c>
      <c r="R966" s="39">
        <f>IF($A966="","",SUM($I966:$K966))</f>
        <v/>
      </c>
      <c r="S966" s="39">
        <f>IF($A966="","",($L966+$R966)-$Q966)</f>
        <v/>
      </c>
      <c r="T966" s="31">
        <f>IF(OR($A966="",$Q966=0),"",$S966/$Q966)</f>
        <v/>
      </c>
      <c r="U966" s="27">
        <f>IF($A966="","",IF($L966&gt;0,"Live","Exited"))</f>
        <v/>
      </c>
      <c r="V966" s="40">
        <f>IF($A966="","",IF($A966='Client Report'!$C$4,COUNTIFS($A$6:$A966,'Client Report'!$C$4),""))</f>
        <v/>
      </c>
    </row>
    <row r="967">
      <c r="A967" s="11" t="n"/>
      <c r="B967" s="11" t="n"/>
      <c r="C967" s="11" t="n"/>
      <c r="D967" s="11" t="n"/>
      <c r="E967" s="12" t="n"/>
      <c r="F967" s="34" t="n"/>
      <c r="G967" s="34" t="n"/>
      <c r="H967" s="34" t="n"/>
      <c r="I967" s="34" t="n"/>
      <c r="J967" s="34" t="n"/>
      <c r="K967" s="34" t="n"/>
      <c r="L967" s="34" t="n"/>
      <c r="M967" s="36" t="n"/>
      <c r="N967" s="36" t="n"/>
      <c r="O967" s="41" t="n"/>
      <c r="P967" s="27">
        <f>IF($B967="","",IFERROR(TRIM(LEFT($B967,FIND(" - ",$B967)-1)),"Others"))</f>
        <v/>
      </c>
      <c r="Q967" s="39">
        <f>IF($A967="","",SUM($F967:$H967))</f>
        <v/>
      </c>
      <c r="R967" s="39">
        <f>IF($A967="","",SUM($I967:$K967))</f>
        <v/>
      </c>
      <c r="S967" s="39">
        <f>IF($A967="","",($L967+$R967)-$Q967)</f>
        <v/>
      </c>
      <c r="T967" s="31">
        <f>IF(OR($A967="",$Q967=0),"",$S967/$Q967)</f>
        <v/>
      </c>
      <c r="U967" s="27">
        <f>IF($A967="","",IF($L967&gt;0,"Live","Exited"))</f>
        <v/>
      </c>
      <c r="V967" s="40">
        <f>IF($A967="","",IF($A967='Client Report'!$C$4,COUNTIFS($A$6:$A967,'Client Report'!$C$4),""))</f>
        <v/>
      </c>
    </row>
    <row r="968">
      <c r="A968" s="11" t="n"/>
      <c r="B968" s="11" t="n"/>
      <c r="C968" s="11" t="n"/>
      <c r="D968" s="11" t="n"/>
      <c r="E968" s="12" t="n"/>
      <c r="F968" s="34" t="n"/>
      <c r="G968" s="34" t="n"/>
      <c r="H968" s="34" t="n"/>
      <c r="I968" s="34" t="n"/>
      <c r="J968" s="34" t="n"/>
      <c r="K968" s="34" t="n"/>
      <c r="L968" s="34" t="n"/>
      <c r="M968" s="36" t="n"/>
      <c r="N968" s="36" t="n"/>
      <c r="O968" s="41" t="n"/>
      <c r="P968" s="27">
        <f>IF($B968="","",IFERROR(TRIM(LEFT($B968,FIND(" - ",$B968)-1)),"Others"))</f>
        <v/>
      </c>
      <c r="Q968" s="39">
        <f>IF($A968="","",SUM($F968:$H968))</f>
        <v/>
      </c>
      <c r="R968" s="39">
        <f>IF($A968="","",SUM($I968:$K968))</f>
        <v/>
      </c>
      <c r="S968" s="39">
        <f>IF($A968="","",($L968+$R968)-$Q968)</f>
        <v/>
      </c>
      <c r="T968" s="31">
        <f>IF(OR($A968="",$Q968=0),"",$S968/$Q968)</f>
        <v/>
      </c>
      <c r="U968" s="27">
        <f>IF($A968="","",IF($L968&gt;0,"Live","Exited"))</f>
        <v/>
      </c>
      <c r="V968" s="40">
        <f>IF($A968="","",IF($A968='Client Report'!$C$4,COUNTIFS($A$6:$A968,'Client Report'!$C$4),""))</f>
        <v/>
      </c>
    </row>
    <row r="969">
      <c r="A969" s="11" t="n"/>
      <c r="B969" s="11" t="n"/>
      <c r="C969" s="11" t="n"/>
      <c r="D969" s="11" t="n"/>
      <c r="E969" s="12" t="n"/>
      <c r="F969" s="34" t="n"/>
      <c r="G969" s="34" t="n"/>
      <c r="H969" s="34" t="n"/>
      <c r="I969" s="34" t="n"/>
      <c r="J969" s="34" t="n"/>
      <c r="K969" s="34" t="n"/>
      <c r="L969" s="34" t="n"/>
      <c r="M969" s="36" t="n"/>
      <c r="N969" s="36" t="n"/>
      <c r="O969" s="41" t="n"/>
      <c r="P969" s="27">
        <f>IF($B969="","",IFERROR(TRIM(LEFT($B969,FIND(" - ",$B969)-1)),"Others"))</f>
        <v/>
      </c>
      <c r="Q969" s="39">
        <f>IF($A969="","",SUM($F969:$H969))</f>
        <v/>
      </c>
      <c r="R969" s="39">
        <f>IF($A969="","",SUM($I969:$K969))</f>
        <v/>
      </c>
      <c r="S969" s="39">
        <f>IF($A969="","",($L969+$R969)-$Q969)</f>
        <v/>
      </c>
      <c r="T969" s="31">
        <f>IF(OR($A969="",$Q969=0),"",$S969/$Q969)</f>
        <v/>
      </c>
      <c r="U969" s="27">
        <f>IF($A969="","",IF($L969&gt;0,"Live","Exited"))</f>
        <v/>
      </c>
      <c r="V969" s="40">
        <f>IF($A969="","",IF($A969='Client Report'!$C$4,COUNTIFS($A$6:$A969,'Client Report'!$C$4),""))</f>
        <v/>
      </c>
    </row>
    <row r="970">
      <c r="A970" s="11" t="n"/>
      <c r="B970" s="11" t="n"/>
      <c r="C970" s="11" t="n"/>
      <c r="D970" s="11" t="n"/>
      <c r="E970" s="12" t="n"/>
      <c r="F970" s="34" t="n"/>
      <c r="G970" s="34" t="n"/>
      <c r="H970" s="34" t="n"/>
      <c r="I970" s="34" t="n"/>
      <c r="J970" s="34" t="n"/>
      <c r="K970" s="34" t="n"/>
      <c r="L970" s="34" t="n"/>
      <c r="M970" s="36" t="n"/>
      <c r="N970" s="36" t="n"/>
      <c r="O970" s="41" t="n"/>
      <c r="P970" s="27">
        <f>IF($B970="","",IFERROR(TRIM(LEFT($B970,FIND(" - ",$B970)-1)),"Others"))</f>
        <v/>
      </c>
      <c r="Q970" s="39">
        <f>IF($A970="","",SUM($F970:$H970))</f>
        <v/>
      </c>
      <c r="R970" s="39">
        <f>IF($A970="","",SUM($I970:$K970))</f>
        <v/>
      </c>
      <c r="S970" s="39">
        <f>IF($A970="","",($L970+$R970)-$Q970)</f>
        <v/>
      </c>
      <c r="T970" s="31">
        <f>IF(OR($A970="",$Q970=0),"",$S970/$Q970)</f>
        <v/>
      </c>
      <c r="U970" s="27">
        <f>IF($A970="","",IF($L970&gt;0,"Live","Exited"))</f>
        <v/>
      </c>
      <c r="V970" s="40">
        <f>IF($A970="","",IF($A970='Client Report'!$C$4,COUNTIFS($A$6:$A970,'Client Report'!$C$4),""))</f>
        <v/>
      </c>
    </row>
    <row r="971">
      <c r="A971" s="11" t="n"/>
      <c r="B971" s="11" t="n"/>
      <c r="C971" s="11" t="n"/>
      <c r="D971" s="11" t="n"/>
      <c r="E971" s="12" t="n"/>
      <c r="F971" s="34" t="n"/>
      <c r="G971" s="34" t="n"/>
      <c r="H971" s="34" t="n"/>
      <c r="I971" s="34" t="n"/>
      <c r="J971" s="34" t="n"/>
      <c r="K971" s="34" t="n"/>
      <c r="L971" s="34" t="n"/>
      <c r="M971" s="36" t="n"/>
      <c r="N971" s="36" t="n"/>
      <c r="O971" s="41" t="n"/>
      <c r="P971" s="27">
        <f>IF($B971="","",IFERROR(TRIM(LEFT($B971,FIND(" - ",$B971)-1)),"Others"))</f>
        <v/>
      </c>
      <c r="Q971" s="39">
        <f>IF($A971="","",SUM($F971:$H971))</f>
        <v/>
      </c>
      <c r="R971" s="39">
        <f>IF($A971="","",SUM($I971:$K971))</f>
        <v/>
      </c>
      <c r="S971" s="39">
        <f>IF($A971="","",($L971+$R971)-$Q971)</f>
        <v/>
      </c>
      <c r="T971" s="31">
        <f>IF(OR($A971="",$Q971=0),"",$S971/$Q971)</f>
        <v/>
      </c>
      <c r="U971" s="27">
        <f>IF($A971="","",IF($L971&gt;0,"Live","Exited"))</f>
        <v/>
      </c>
      <c r="V971" s="40">
        <f>IF($A971="","",IF($A971='Client Report'!$C$4,COUNTIFS($A$6:$A971,'Client Report'!$C$4),""))</f>
        <v/>
      </c>
    </row>
    <row r="972">
      <c r="A972" s="11" t="n"/>
      <c r="B972" s="11" t="n"/>
      <c r="C972" s="11" t="n"/>
      <c r="D972" s="11" t="n"/>
      <c r="E972" s="12" t="n"/>
      <c r="F972" s="34" t="n"/>
      <c r="G972" s="34" t="n"/>
      <c r="H972" s="34" t="n"/>
      <c r="I972" s="34" t="n"/>
      <c r="J972" s="34" t="n"/>
      <c r="K972" s="34" t="n"/>
      <c r="L972" s="34" t="n"/>
      <c r="M972" s="36" t="n"/>
      <c r="N972" s="36" t="n"/>
      <c r="O972" s="41" t="n"/>
      <c r="P972" s="27">
        <f>IF($B972="","",IFERROR(TRIM(LEFT($B972,FIND(" - ",$B972)-1)),"Others"))</f>
        <v/>
      </c>
      <c r="Q972" s="39">
        <f>IF($A972="","",SUM($F972:$H972))</f>
        <v/>
      </c>
      <c r="R972" s="39">
        <f>IF($A972="","",SUM($I972:$K972))</f>
        <v/>
      </c>
      <c r="S972" s="39">
        <f>IF($A972="","",($L972+$R972)-$Q972)</f>
        <v/>
      </c>
      <c r="T972" s="31">
        <f>IF(OR($A972="",$Q972=0),"",$S972/$Q972)</f>
        <v/>
      </c>
      <c r="U972" s="27">
        <f>IF($A972="","",IF($L972&gt;0,"Live","Exited"))</f>
        <v/>
      </c>
      <c r="V972" s="40">
        <f>IF($A972="","",IF($A972='Client Report'!$C$4,COUNTIFS($A$6:$A972,'Client Report'!$C$4),""))</f>
        <v/>
      </c>
    </row>
    <row r="973">
      <c r="A973" s="11" t="n"/>
      <c r="B973" s="11" t="n"/>
      <c r="C973" s="11" t="n"/>
      <c r="D973" s="11" t="n"/>
      <c r="E973" s="12" t="n"/>
      <c r="F973" s="34" t="n"/>
      <c r="G973" s="34" t="n"/>
      <c r="H973" s="34" t="n"/>
      <c r="I973" s="34" t="n"/>
      <c r="J973" s="34" t="n"/>
      <c r="K973" s="34" t="n"/>
      <c r="L973" s="34" t="n"/>
      <c r="M973" s="36" t="n"/>
      <c r="N973" s="36" t="n"/>
      <c r="O973" s="41" t="n"/>
      <c r="P973" s="27">
        <f>IF($B973="","",IFERROR(TRIM(LEFT($B973,FIND(" - ",$B973)-1)),"Others"))</f>
        <v/>
      </c>
      <c r="Q973" s="39">
        <f>IF($A973="","",SUM($F973:$H973))</f>
        <v/>
      </c>
      <c r="R973" s="39">
        <f>IF($A973="","",SUM($I973:$K973))</f>
        <v/>
      </c>
      <c r="S973" s="39">
        <f>IF($A973="","",($L973+$R973)-$Q973)</f>
        <v/>
      </c>
      <c r="T973" s="31">
        <f>IF(OR($A973="",$Q973=0),"",$S973/$Q973)</f>
        <v/>
      </c>
      <c r="U973" s="27">
        <f>IF($A973="","",IF($L973&gt;0,"Live","Exited"))</f>
        <v/>
      </c>
      <c r="V973" s="40">
        <f>IF($A973="","",IF($A973='Client Report'!$C$4,COUNTIFS($A$6:$A973,'Client Report'!$C$4),""))</f>
        <v/>
      </c>
    </row>
    <row r="974">
      <c r="A974" s="11" t="n"/>
      <c r="B974" s="11" t="n"/>
      <c r="C974" s="11" t="n"/>
      <c r="D974" s="11" t="n"/>
      <c r="E974" s="12" t="n"/>
      <c r="F974" s="34" t="n"/>
      <c r="G974" s="34" t="n"/>
      <c r="H974" s="34" t="n"/>
      <c r="I974" s="34" t="n"/>
      <c r="J974" s="34" t="n"/>
      <c r="K974" s="34" t="n"/>
      <c r="L974" s="34" t="n"/>
      <c r="M974" s="36" t="n"/>
      <c r="N974" s="36" t="n"/>
      <c r="O974" s="41" t="n"/>
      <c r="P974" s="27">
        <f>IF($B974="","",IFERROR(TRIM(LEFT($B974,FIND(" - ",$B974)-1)),"Others"))</f>
        <v/>
      </c>
      <c r="Q974" s="39">
        <f>IF($A974="","",SUM($F974:$H974))</f>
        <v/>
      </c>
      <c r="R974" s="39">
        <f>IF($A974="","",SUM($I974:$K974))</f>
        <v/>
      </c>
      <c r="S974" s="39">
        <f>IF($A974="","",($L974+$R974)-$Q974)</f>
        <v/>
      </c>
      <c r="T974" s="31">
        <f>IF(OR($A974="",$Q974=0),"",$S974/$Q974)</f>
        <v/>
      </c>
      <c r="U974" s="27">
        <f>IF($A974="","",IF($L974&gt;0,"Live","Exited"))</f>
        <v/>
      </c>
      <c r="V974" s="40">
        <f>IF($A974="","",IF($A974='Client Report'!$C$4,COUNTIFS($A$6:$A974,'Client Report'!$C$4),""))</f>
        <v/>
      </c>
    </row>
    <row r="975">
      <c r="A975" s="11" t="n"/>
      <c r="B975" s="11" t="n"/>
      <c r="C975" s="11" t="n"/>
      <c r="D975" s="11" t="n"/>
      <c r="E975" s="12" t="n"/>
      <c r="F975" s="34" t="n"/>
      <c r="G975" s="34" t="n"/>
      <c r="H975" s="34" t="n"/>
      <c r="I975" s="34" t="n"/>
      <c r="J975" s="34" t="n"/>
      <c r="K975" s="34" t="n"/>
      <c r="L975" s="34" t="n"/>
      <c r="M975" s="36" t="n"/>
      <c r="N975" s="36" t="n"/>
      <c r="O975" s="41" t="n"/>
      <c r="P975" s="27">
        <f>IF($B975="","",IFERROR(TRIM(LEFT($B975,FIND(" - ",$B975)-1)),"Others"))</f>
        <v/>
      </c>
      <c r="Q975" s="39">
        <f>IF($A975="","",SUM($F975:$H975))</f>
        <v/>
      </c>
      <c r="R975" s="39">
        <f>IF($A975="","",SUM($I975:$K975))</f>
        <v/>
      </c>
      <c r="S975" s="39">
        <f>IF($A975="","",($L975+$R975)-$Q975)</f>
        <v/>
      </c>
      <c r="T975" s="31">
        <f>IF(OR($A975="",$Q975=0),"",$S975/$Q975)</f>
        <v/>
      </c>
      <c r="U975" s="27">
        <f>IF($A975="","",IF($L975&gt;0,"Live","Exited"))</f>
        <v/>
      </c>
      <c r="V975" s="40">
        <f>IF($A975="","",IF($A975='Client Report'!$C$4,COUNTIFS($A$6:$A975,'Client Report'!$C$4),""))</f>
        <v/>
      </c>
    </row>
    <row r="976">
      <c r="A976" s="11" t="n"/>
      <c r="B976" s="11" t="n"/>
      <c r="C976" s="11" t="n"/>
      <c r="D976" s="11" t="n"/>
      <c r="E976" s="12" t="n"/>
      <c r="F976" s="34" t="n"/>
      <c r="G976" s="34" t="n"/>
      <c r="H976" s="34" t="n"/>
      <c r="I976" s="34" t="n"/>
      <c r="J976" s="34" t="n"/>
      <c r="K976" s="34" t="n"/>
      <c r="L976" s="34" t="n"/>
      <c r="M976" s="36" t="n"/>
      <c r="N976" s="36" t="n"/>
      <c r="O976" s="41" t="n"/>
      <c r="P976" s="27">
        <f>IF($B976="","",IFERROR(TRIM(LEFT($B976,FIND(" - ",$B976)-1)),"Others"))</f>
        <v/>
      </c>
      <c r="Q976" s="39">
        <f>IF($A976="","",SUM($F976:$H976))</f>
        <v/>
      </c>
      <c r="R976" s="39">
        <f>IF($A976="","",SUM($I976:$K976))</f>
        <v/>
      </c>
      <c r="S976" s="39">
        <f>IF($A976="","",($L976+$R976)-$Q976)</f>
        <v/>
      </c>
      <c r="T976" s="31">
        <f>IF(OR($A976="",$Q976=0),"",$S976/$Q976)</f>
        <v/>
      </c>
      <c r="U976" s="27">
        <f>IF($A976="","",IF($L976&gt;0,"Live","Exited"))</f>
        <v/>
      </c>
      <c r="V976" s="40">
        <f>IF($A976="","",IF($A976='Client Report'!$C$4,COUNTIFS($A$6:$A976,'Client Report'!$C$4),""))</f>
        <v/>
      </c>
    </row>
    <row r="977">
      <c r="A977" s="11" t="n"/>
      <c r="B977" s="11" t="n"/>
      <c r="C977" s="11" t="n"/>
      <c r="D977" s="11" t="n"/>
      <c r="E977" s="12" t="n"/>
      <c r="F977" s="34" t="n"/>
      <c r="G977" s="34" t="n"/>
      <c r="H977" s="34" t="n"/>
      <c r="I977" s="34" t="n"/>
      <c r="J977" s="34" t="n"/>
      <c r="K977" s="34" t="n"/>
      <c r="L977" s="34" t="n"/>
      <c r="M977" s="36" t="n"/>
      <c r="N977" s="36" t="n"/>
      <c r="O977" s="41" t="n"/>
      <c r="P977" s="27">
        <f>IF($B977="","",IFERROR(TRIM(LEFT($B977,FIND(" - ",$B977)-1)),"Others"))</f>
        <v/>
      </c>
      <c r="Q977" s="39">
        <f>IF($A977="","",SUM($F977:$H977))</f>
        <v/>
      </c>
      <c r="R977" s="39">
        <f>IF($A977="","",SUM($I977:$K977))</f>
        <v/>
      </c>
      <c r="S977" s="39">
        <f>IF($A977="","",($L977+$R977)-$Q977)</f>
        <v/>
      </c>
      <c r="T977" s="31">
        <f>IF(OR($A977="",$Q977=0),"",$S977/$Q977)</f>
        <v/>
      </c>
      <c r="U977" s="27">
        <f>IF($A977="","",IF($L977&gt;0,"Live","Exited"))</f>
        <v/>
      </c>
      <c r="V977" s="40">
        <f>IF($A977="","",IF($A977='Client Report'!$C$4,COUNTIFS($A$6:$A977,'Client Report'!$C$4),""))</f>
        <v/>
      </c>
    </row>
    <row r="978">
      <c r="A978" s="11" t="n"/>
      <c r="B978" s="11" t="n"/>
      <c r="C978" s="11" t="n"/>
      <c r="D978" s="11" t="n"/>
      <c r="E978" s="12" t="n"/>
      <c r="F978" s="34" t="n"/>
      <c r="G978" s="34" t="n"/>
      <c r="H978" s="34" t="n"/>
      <c r="I978" s="34" t="n"/>
      <c r="J978" s="34" t="n"/>
      <c r="K978" s="34" t="n"/>
      <c r="L978" s="34" t="n"/>
      <c r="M978" s="36" t="n"/>
      <c r="N978" s="36" t="n"/>
      <c r="O978" s="41" t="n"/>
      <c r="P978" s="27">
        <f>IF($B978="","",IFERROR(TRIM(LEFT($B978,FIND(" - ",$B978)-1)),"Others"))</f>
        <v/>
      </c>
      <c r="Q978" s="39">
        <f>IF($A978="","",SUM($F978:$H978))</f>
        <v/>
      </c>
      <c r="R978" s="39">
        <f>IF($A978="","",SUM($I978:$K978))</f>
        <v/>
      </c>
      <c r="S978" s="39">
        <f>IF($A978="","",($L978+$R978)-$Q978)</f>
        <v/>
      </c>
      <c r="T978" s="31">
        <f>IF(OR($A978="",$Q978=0),"",$S978/$Q978)</f>
        <v/>
      </c>
      <c r="U978" s="27">
        <f>IF($A978="","",IF($L978&gt;0,"Live","Exited"))</f>
        <v/>
      </c>
      <c r="V978" s="40">
        <f>IF($A978="","",IF($A978='Client Report'!$C$4,COUNTIFS($A$6:$A978,'Client Report'!$C$4),""))</f>
        <v/>
      </c>
    </row>
    <row r="979">
      <c r="A979" s="11" t="n"/>
      <c r="B979" s="11" t="n"/>
      <c r="C979" s="11" t="n"/>
      <c r="D979" s="11" t="n"/>
      <c r="E979" s="12" t="n"/>
      <c r="F979" s="34" t="n"/>
      <c r="G979" s="34" t="n"/>
      <c r="H979" s="34" t="n"/>
      <c r="I979" s="34" t="n"/>
      <c r="J979" s="34" t="n"/>
      <c r="K979" s="34" t="n"/>
      <c r="L979" s="34" t="n"/>
      <c r="M979" s="36" t="n"/>
      <c r="N979" s="36" t="n"/>
      <c r="O979" s="41" t="n"/>
      <c r="P979" s="27">
        <f>IF($B979="","",IFERROR(TRIM(LEFT($B979,FIND(" - ",$B979)-1)),"Others"))</f>
        <v/>
      </c>
      <c r="Q979" s="39">
        <f>IF($A979="","",SUM($F979:$H979))</f>
        <v/>
      </c>
      <c r="R979" s="39">
        <f>IF($A979="","",SUM($I979:$K979))</f>
        <v/>
      </c>
      <c r="S979" s="39">
        <f>IF($A979="","",($L979+$R979)-$Q979)</f>
        <v/>
      </c>
      <c r="T979" s="31">
        <f>IF(OR($A979="",$Q979=0),"",$S979/$Q979)</f>
        <v/>
      </c>
      <c r="U979" s="27">
        <f>IF($A979="","",IF($L979&gt;0,"Live","Exited"))</f>
        <v/>
      </c>
      <c r="V979" s="40">
        <f>IF($A979="","",IF($A979='Client Report'!$C$4,COUNTIFS($A$6:$A979,'Client Report'!$C$4),""))</f>
        <v/>
      </c>
    </row>
    <row r="980">
      <c r="A980" s="11" t="n"/>
      <c r="B980" s="11" t="n"/>
      <c r="C980" s="11" t="n"/>
      <c r="D980" s="11" t="n"/>
      <c r="E980" s="12" t="n"/>
      <c r="F980" s="34" t="n"/>
      <c r="G980" s="34" t="n"/>
      <c r="H980" s="34" t="n"/>
      <c r="I980" s="34" t="n"/>
      <c r="J980" s="34" t="n"/>
      <c r="K980" s="34" t="n"/>
      <c r="L980" s="34" t="n"/>
      <c r="M980" s="36" t="n"/>
      <c r="N980" s="36" t="n"/>
      <c r="O980" s="41" t="n"/>
      <c r="P980" s="27">
        <f>IF($B980="","",IFERROR(TRIM(LEFT($B980,FIND(" - ",$B980)-1)),"Others"))</f>
        <v/>
      </c>
      <c r="Q980" s="39">
        <f>IF($A980="","",SUM($F980:$H980))</f>
        <v/>
      </c>
      <c r="R980" s="39">
        <f>IF($A980="","",SUM($I980:$K980))</f>
        <v/>
      </c>
      <c r="S980" s="39">
        <f>IF($A980="","",($L980+$R980)-$Q980)</f>
        <v/>
      </c>
      <c r="T980" s="31">
        <f>IF(OR($A980="",$Q980=0),"",$S980/$Q980)</f>
        <v/>
      </c>
      <c r="U980" s="27">
        <f>IF($A980="","",IF($L980&gt;0,"Live","Exited"))</f>
        <v/>
      </c>
      <c r="V980" s="40">
        <f>IF($A980="","",IF($A980='Client Report'!$C$4,COUNTIFS($A$6:$A980,'Client Report'!$C$4),""))</f>
        <v/>
      </c>
    </row>
    <row r="981">
      <c r="A981" s="11" t="n"/>
      <c r="B981" s="11" t="n"/>
      <c r="C981" s="11" t="n"/>
      <c r="D981" s="11" t="n"/>
      <c r="E981" s="12" t="n"/>
      <c r="F981" s="34" t="n"/>
      <c r="G981" s="34" t="n"/>
      <c r="H981" s="34" t="n"/>
      <c r="I981" s="34" t="n"/>
      <c r="J981" s="34" t="n"/>
      <c r="K981" s="34" t="n"/>
      <c r="L981" s="34" t="n"/>
      <c r="M981" s="36" t="n"/>
      <c r="N981" s="36" t="n"/>
      <c r="O981" s="41" t="n"/>
      <c r="P981" s="27">
        <f>IF($B981="","",IFERROR(TRIM(LEFT($B981,FIND(" - ",$B981)-1)),"Others"))</f>
        <v/>
      </c>
      <c r="Q981" s="39">
        <f>IF($A981="","",SUM($F981:$H981))</f>
        <v/>
      </c>
      <c r="R981" s="39">
        <f>IF($A981="","",SUM($I981:$K981))</f>
        <v/>
      </c>
      <c r="S981" s="39">
        <f>IF($A981="","",($L981+$R981)-$Q981)</f>
        <v/>
      </c>
      <c r="T981" s="31">
        <f>IF(OR($A981="",$Q981=0),"",$S981/$Q981)</f>
        <v/>
      </c>
      <c r="U981" s="27">
        <f>IF($A981="","",IF($L981&gt;0,"Live","Exited"))</f>
        <v/>
      </c>
      <c r="V981" s="40">
        <f>IF($A981="","",IF($A981='Client Report'!$C$4,COUNTIFS($A$6:$A981,'Client Report'!$C$4),""))</f>
        <v/>
      </c>
    </row>
    <row r="982">
      <c r="A982" s="11" t="n"/>
      <c r="B982" s="11" t="n"/>
      <c r="C982" s="11" t="n"/>
      <c r="D982" s="11" t="n"/>
      <c r="E982" s="12" t="n"/>
      <c r="F982" s="34" t="n"/>
      <c r="G982" s="34" t="n"/>
      <c r="H982" s="34" t="n"/>
      <c r="I982" s="34" t="n"/>
      <c r="J982" s="34" t="n"/>
      <c r="K982" s="34" t="n"/>
      <c r="L982" s="34" t="n"/>
      <c r="M982" s="36" t="n"/>
      <c r="N982" s="36" t="n"/>
      <c r="O982" s="41" t="n"/>
      <c r="P982" s="27">
        <f>IF($B982="","",IFERROR(TRIM(LEFT($B982,FIND(" - ",$B982)-1)),"Others"))</f>
        <v/>
      </c>
      <c r="Q982" s="39">
        <f>IF($A982="","",SUM($F982:$H982))</f>
        <v/>
      </c>
      <c r="R982" s="39">
        <f>IF($A982="","",SUM($I982:$K982))</f>
        <v/>
      </c>
      <c r="S982" s="39">
        <f>IF($A982="","",($L982+$R982)-$Q982)</f>
        <v/>
      </c>
      <c r="T982" s="31">
        <f>IF(OR($A982="",$Q982=0),"",$S982/$Q982)</f>
        <v/>
      </c>
      <c r="U982" s="27">
        <f>IF($A982="","",IF($L982&gt;0,"Live","Exited"))</f>
        <v/>
      </c>
      <c r="V982" s="40">
        <f>IF($A982="","",IF($A982='Client Report'!$C$4,COUNTIFS($A$6:$A982,'Client Report'!$C$4),""))</f>
        <v/>
      </c>
    </row>
    <row r="983">
      <c r="A983" s="11" t="n"/>
      <c r="B983" s="11" t="n"/>
      <c r="C983" s="11" t="n"/>
      <c r="D983" s="11" t="n"/>
      <c r="E983" s="12" t="n"/>
      <c r="F983" s="34" t="n"/>
      <c r="G983" s="34" t="n"/>
      <c r="H983" s="34" t="n"/>
      <c r="I983" s="34" t="n"/>
      <c r="J983" s="34" t="n"/>
      <c r="K983" s="34" t="n"/>
      <c r="L983" s="34" t="n"/>
      <c r="M983" s="36" t="n"/>
      <c r="N983" s="36" t="n"/>
      <c r="O983" s="41" t="n"/>
      <c r="P983" s="27">
        <f>IF($B983="","",IFERROR(TRIM(LEFT($B983,FIND(" - ",$B983)-1)),"Others"))</f>
        <v/>
      </c>
      <c r="Q983" s="39">
        <f>IF($A983="","",SUM($F983:$H983))</f>
        <v/>
      </c>
      <c r="R983" s="39">
        <f>IF($A983="","",SUM($I983:$K983))</f>
        <v/>
      </c>
      <c r="S983" s="39">
        <f>IF($A983="","",($L983+$R983)-$Q983)</f>
        <v/>
      </c>
      <c r="T983" s="31">
        <f>IF(OR($A983="",$Q983=0),"",$S983/$Q983)</f>
        <v/>
      </c>
      <c r="U983" s="27">
        <f>IF($A983="","",IF($L983&gt;0,"Live","Exited"))</f>
        <v/>
      </c>
      <c r="V983" s="40">
        <f>IF($A983="","",IF($A983='Client Report'!$C$4,COUNTIFS($A$6:$A983,'Client Report'!$C$4),""))</f>
        <v/>
      </c>
    </row>
    <row r="984">
      <c r="A984" s="11" t="n"/>
      <c r="B984" s="11" t="n"/>
      <c r="C984" s="11" t="n"/>
      <c r="D984" s="11" t="n"/>
      <c r="E984" s="12" t="n"/>
      <c r="F984" s="34" t="n"/>
      <c r="G984" s="34" t="n"/>
      <c r="H984" s="34" t="n"/>
      <c r="I984" s="34" t="n"/>
      <c r="J984" s="34" t="n"/>
      <c r="K984" s="34" t="n"/>
      <c r="L984" s="34" t="n"/>
      <c r="M984" s="36" t="n"/>
      <c r="N984" s="36" t="n"/>
      <c r="O984" s="41" t="n"/>
      <c r="P984" s="27">
        <f>IF($B984="","",IFERROR(TRIM(LEFT($B984,FIND(" - ",$B984)-1)),"Others"))</f>
        <v/>
      </c>
      <c r="Q984" s="39">
        <f>IF($A984="","",SUM($F984:$H984))</f>
        <v/>
      </c>
      <c r="R984" s="39">
        <f>IF($A984="","",SUM($I984:$K984))</f>
        <v/>
      </c>
      <c r="S984" s="39">
        <f>IF($A984="","",($L984+$R984)-$Q984)</f>
        <v/>
      </c>
      <c r="T984" s="31">
        <f>IF(OR($A984="",$Q984=0),"",$S984/$Q984)</f>
        <v/>
      </c>
      <c r="U984" s="27">
        <f>IF($A984="","",IF($L984&gt;0,"Live","Exited"))</f>
        <v/>
      </c>
      <c r="V984" s="40">
        <f>IF($A984="","",IF($A984='Client Report'!$C$4,COUNTIFS($A$6:$A984,'Client Report'!$C$4),""))</f>
        <v/>
      </c>
    </row>
    <row r="985">
      <c r="A985" s="11" t="n"/>
      <c r="B985" s="11" t="n"/>
      <c r="C985" s="11" t="n"/>
      <c r="D985" s="11" t="n"/>
      <c r="E985" s="12" t="n"/>
      <c r="F985" s="34" t="n"/>
      <c r="G985" s="34" t="n"/>
      <c r="H985" s="34" t="n"/>
      <c r="I985" s="34" t="n"/>
      <c r="J985" s="34" t="n"/>
      <c r="K985" s="34" t="n"/>
      <c r="L985" s="34" t="n"/>
      <c r="M985" s="36" t="n"/>
      <c r="N985" s="36" t="n"/>
      <c r="O985" s="41" t="n"/>
      <c r="P985" s="27">
        <f>IF($B985="","",IFERROR(TRIM(LEFT($B985,FIND(" - ",$B985)-1)),"Others"))</f>
        <v/>
      </c>
      <c r="Q985" s="39">
        <f>IF($A985="","",SUM($F985:$H985))</f>
        <v/>
      </c>
      <c r="R985" s="39">
        <f>IF($A985="","",SUM($I985:$K985))</f>
        <v/>
      </c>
      <c r="S985" s="39">
        <f>IF($A985="","",($L985+$R985)-$Q985)</f>
        <v/>
      </c>
      <c r="T985" s="31">
        <f>IF(OR($A985="",$Q985=0),"",$S985/$Q985)</f>
        <v/>
      </c>
      <c r="U985" s="27">
        <f>IF($A985="","",IF($L985&gt;0,"Live","Exited"))</f>
        <v/>
      </c>
      <c r="V985" s="40">
        <f>IF($A985="","",IF($A985='Client Report'!$C$4,COUNTIFS($A$6:$A985,'Client Report'!$C$4),""))</f>
        <v/>
      </c>
    </row>
    <row r="986">
      <c r="A986" s="11" t="n"/>
      <c r="B986" s="11" t="n"/>
      <c r="C986" s="11" t="n"/>
      <c r="D986" s="11" t="n"/>
      <c r="E986" s="12" t="n"/>
      <c r="F986" s="34" t="n"/>
      <c r="G986" s="34" t="n"/>
      <c r="H986" s="34" t="n"/>
      <c r="I986" s="34" t="n"/>
      <c r="J986" s="34" t="n"/>
      <c r="K986" s="34" t="n"/>
      <c r="L986" s="34" t="n"/>
      <c r="M986" s="36" t="n"/>
      <c r="N986" s="36" t="n"/>
      <c r="O986" s="41" t="n"/>
      <c r="P986" s="27">
        <f>IF($B986="","",IFERROR(TRIM(LEFT($B986,FIND(" - ",$B986)-1)),"Others"))</f>
        <v/>
      </c>
      <c r="Q986" s="39">
        <f>IF($A986="","",SUM($F986:$H986))</f>
        <v/>
      </c>
      <c r="R986" s="39">
        <f>IF($A986="","",SUM($I986:$K986))</f>
        <v/>
      </c>
      <c r="S986" s="39">
        <f>IF($A986="","",($L986+$R986)-$Q986)</f>
        <v/>
      </c>
      <c r="T986" s="31">
        <f>IF(OR($A986="",$Q986=0),"",$S986/$Q986)</f>
        <v/>
      </c>
      <c r="U986" s="27">
        <f>IF($A986="","",IF($L986&gt;0,"Live","Exited"))</f>
        <v/>
      </c>
      <c r="V986" s="40">
        <f>IF($A986="","",IF($A986='Client Report'!$C$4,COUNTIFS($A$6:$A986,'Client Report'!$C$4),""))</f>
        <v/>
      </c>
    </row>
    <row r="987">
      <c r="A987" s="11" t="n"/>
      <c r="B987" s="11" t="n"/>
      <c r="C987" s="11" t="n"/>
      <c r="D987" s="11" t="n"/>
      <c r="E987" s="12" t="n"/>
      <c r="F987" s="34" t="n"/>
      <c r="G987" s="34" t="n"/>
      <c r="H987" s="34" t="n"/>
      <c r="I987" s="34" t="n"/>
      <c r="J987" s="34" t="n"/>
      <c r="K987" s="34" t="n"/>
      <c r="L987" s="34" t="n"/>
      <c r="M987" s="36" t="n"/>
      <c r="N987" s="36" t="n"/>
      <c r="O987" s="41" t="n"/>
      <c r="P987" s="27">
        <f>IF($B987="","",IFERROR(TRIM(LEFT($B987,FIND(" - ",$B987)-1)),"Others"))</f>
        <v/>
      </c>
      <c r="Q987" s="39">
        <f>IF($A987="","",SUM($F987:$H987))</f>
        <v/>
      </c>
      <c r="R987" s="39">
        <f>IF($A987="","",SUM($I987:$K987))</f>
        <v/>
      </c>
      <c r="S987" s="39">
        <f>IF($A987="","",($L987+$R987)-$Q987)</f>
        <v/>
      </c>
      <c r="T987" s="31">
        <f>IF(OR($A987="",$Q987=0),"",$S987/$Q987)</f>
        <v/>
      </c>
      <c r="U987" s="27">
        <f>IF($A987="","",IF($L987&gt;0,"Live","Exited"))</f>
        <v/>
      </c>
      <c r="V987" s="40">
        <f>IF($A987="","",IF($A987='Client Report'!$C$4,COUNTIFS($A$6:$A987,'Client Report'!$C$4),""))</f>
        <v/>
      </c>
    </row>
    <row r="988">
      <c r="A988" s="11" t="n"/>
      <c r="B988" s="11" t="n"/>
      <c r="C988" s="11" t="n"/>
      <c r="D988" s="11" t="n"/>
      <c r="E988" s="12" t="n"/>
      <c r="F988" s="34" t="n"/>
      <c r="G988" s="34" t="n"/>
      <c r="H988" s="34" t="n"/>
      <c r="I988" s="34" t="n"/>
      <c r="J988" s="34" t="n"/>
      <c r="K988" s="34" t="n"/>
      <c r="L988" s="34" t="n"/>
      <c r="M988" s="36" t="n"/>
      <c r="N988" s="36" t="n"/>
      <c r="O988" s="41" t="n"/>
      <c r="P988" s="27">
        <f>IF($B988="","",IFERROR(TRIM(LEFT($B988,FIND(" - ",$B988)-1)),"Others"))</f>
        <v/>
      </c>
      <c r="Q988" s="39">
        <f>IF($A988="","",SUM($F988:$H988))</f>
        <v/>
      </c>
      <c r="R988" s="39">
        <f>IF($A988="","",SUM($I988:$K988))</f>
        <v/>
      </c>
      <c r="S988" s="39">
        <f>IF($A988="","",($L988+$R988)-$Q988)</f>
        <v/>
      </c>
      <c r="T988" s="31">
        <f>IF(OR($A988="",$Q988=0),"",$S988/$Q988)</f>
        <v/>
      </c>
      <c r="U988" s="27">
        <f>IF($A988="","",IF($L988&gt;0,"Live","Exited"))</f>
        <v/>
      </c>
      <c r="V988" s="40">
        <f>IF($A988="","",IF($A988='Client Report'!$C$4,COUNTIFS($A$6:$A988,'Client Report'!$C$4),""))</f>
        <v/>
      </c>
    </row>
    <row r="989">
      <c r="A989" s="11" t="n"/>
      <c r="B989" s="11" t="n"/>
      <c r="C989" s="11" t="n"/>
      <c r="D989" s="11" t="n"/>
      <c r="E989" s="12" t="n"/>
      <c r="F989" s="34" t="n"/>
      <c r="G989" s="34" t="n"/>
      <c r="H989" s="34" t="n"/>
      <c r="I989" s="34" t="n"/>
      <c r="J989" s="34" t="n"/>
      <c r="K989" s="34" t="n"/>
      <c r="L989" s="34" t="n"/>
      <c r="M989" s="36" t="n"/>
      <c r="N989" s="36" t="n"/>
      <c r="O989" s="41" t="n"/>
      <c r="P989" s="27">
        <f>IF($B989="","",IFERROR(TRIM(LEFT($B989,FIND(" - ",$B989)-1)),"Others"))</f>
        <v/>
      </c>
      <c r="Q989" s="39">
        <f>IF($A989="","",SUM($F989:$H989))</f>
        <v/>
      </c>
      <c r="R989" s="39">
        <f>IF($A989="","",SUM($I989:$K989))</f>
        <v/>
      </c>
      <c r="S989" s="39">
        <f>IF($A989="","",($L989+$R989)-$Q989)</f>
        <v/>
      </c>
      <c r="T989" s="31">
        <f>IF(OR($A989="",$Q989=0),"",$S989/$Q989)</f>
        <v/>
      </c>
      <c r="U989" s="27">
        <f>IF($A989="","",IF($L989&gt;0,"Live","Exited"))</f>
        <v/>
      </c>
      <c r="V989" s="40">
        <f>IF($A989="","",IF($A989='Client Report'!$C$4,COUNTIFS($A$6:$A989,'Client Report'!$C$4),""))</f>
        <v/>
      </c>
    </row>
    <row r="990">
      <c r="A990" s="11" t="n"/>
      <c r="B990" s="11" t="n"/>
      <c r="C990" s="11" t="n"/>
      <c r="D990" s="11" t="n"/>
      <c r="E990" s="12" t="n"/>
      <c r="F990" s="34" t="n"/>
      <c r="G990" s="34" t="n"/>
      <c r="H990" s="34" t="n"/>
      <c r="I990" s="34" t="n"/>
      <c r="J990" s="34" t="n"/>
      <c r="K990" s="34" t="n"/>
      <c r="L990" s="34" t="n"/>
      <c r="M990" s="36" t="n"/>
      <c r="N990" s="36" t="n"/>
      <c r="O990" s="41" t="n"/>
      <c r="P990" s="27">
        <f>IF($B990="","",IFERROR(TRIM(LEFT($B990,FIND(" - ",$B990)-1)),"Others"))</f>
        <v/>
      </c>
      <c r="Q990" s="39">
        <f>IF($A990="","",SUM($F990:$H990))</f>
        <v/>
      </c>
      <c r="R990" s="39">
        <f>IF($A990="","",SUM($I990:$K990))</f>
        <v/>
      </c>
      <c r="S990" s="39">
        <f>IF($A990="","",($L990+$R990)-$Q990)</f>
        <v/>
      </c>
      <c r="T990" s="31">
        <f>IF(OR($A990="",$Q990=0),"",$S990/$Q990)</f>
        <v/>
      </c>
      <c r="U990" s="27">
        <f>IF($A990="","",IF($L990&gt;0,"Live","Exited"))</f>
        <v/>
      </c>
      <c r="V990" s="40">
        <f>IF($A990="","",IF($A990='Client Report'!$C$4,COUNTIFS($A$6:$A990,'Client Report'!$C$4),""))</f>
        <v/>
      </c>
    </row>
    <row r="991">
      <c r="A991" s="11" t="n"/>
      <c r="B991" s="11" t="n"/>
      <c r="C991" s="11" t="n"/>
      <c r="D991" s="11" t="n"/>
      <c r="E991" s="12" t="n"/>
      <c r="F991" s="34" t="n"/>
      <c r="G991" s="34" t="n"/>
      <c r="H991" s="34" t="n"/>
      <c r="I991" s="34" t="n"/>
      <c r="J991" s="34" t="n"/>
      <c r="K991" s="34" t="n"/>
      <c r="L991" s="34" t="n"/>
      <c r="M991" s="36" t="n"/>
      <c r="N991" s="36" t="n"/>
      <c r="O991" s="41" t="n"/>
      <c r="P991" s="27">
        <f>IF($B991="","",IFERROR(TRIM(LEFT($B991,FIND(" - ",$B991)-1)),"Others"))</f>
        <v/>
      </c>
      <c r="Q991" s="39">
        <f>IF($A991="","",SUM($F991:$H991))</f>
        <v/>
      </c>
      <c r="R991" s="39">
        <f>IF($A991="","",SUM($I991:$K991))</f>
        <v/>
      </c>
      <c r="S991" s="39">
        <f>IF($A991="","",($L991+$R991)-$Q991)</f>
        <v/>
      </c>
      <c r="T991" s="31">
        <f>IF(OR($A991="",$Q991=0),"",$S991/$Q991)</f>
        <v/>
      </c>
      <c r="U991" s="27">
        <f>IF($A991="","",IF($L991&gt;0,"Live","Exited"))</f>
        <v/>
      </c>
      <c r="V991" s="40">
        <f>IF($A991="","",IF($A991='Client Report'!$C$4,COUNTIFS($A$6:$A991,'Client Report'!$C$4),""))</f>
        <v/>
      </c>
    </row>
    <row r="992">
      <c r="A992" s="11" t="n"/>
      <c r="B992" s="11" t="n"/>
      <c r="C992" s="11" t="n"/>
      <c r="D992" s="11" t="n"/>
      <c r="E992" s="12" t="n"/>
      <c r="F992" s="34" t="n"/>
      <c r="G992" s="34" t="n"/>
      <c r="H992" s="34" t="n"/>
      <c r="I992" s="34" t="n"/>
      <c r="J992" s="34" t="n"/>
      <c r="K992" s="34" t="n"/>
      <c r="L992" s="34" t="n"/>
      <c r="M992" s="36" t="n"/>
      <c r="N992" s="36" t="n"/>
      <c r="O992" s="41" t="n"/>
      <c r="P992" s="27">
        <f>IF($B992="","",IFERROR(TRIM(LEFT($B992,FIND(" - ",$B992)-1)),"Others"))</f>
        <v/>
      </c>
      <c r="Q992" s="39">
        <f>IF($A992="","",SUM($F992:$H992))</f>
        <v/>
      </c>
      <c r="R992" s="39">
        <f>IF($A992="","",SUM($I992:$K992))</f>
        <v/>
      </c>
      <c r="S992" s="39">
        <f>IF($A992="","",($L992+$R992)-$Q992)</f>
        <v/>
      </c>
      <c r="T992" s="31">
        <f>IF(OR($A992="",$Q992=0),"",$S992/$Q992)</f>
        <v/>
      </c>
      <c r="U992" s="27">
        <f>IF($A992="","",IF($L992&gt;0,"Live","Exited"))</f>
        <v/>
      </c>
      <c r="V992" s="40">
        <f>IF($A992="","",IF($A992='Client Report'!$C$4,COUNTIFS($A$6:$A992,'Client Report'!$C$4),""))</f>
        <v/>
      </c>
    </row>
    <row r="993">
      <c r="A993" s="11" t="n"/>
      <c r="B993" s="11" t="n"/>
      <c r="C993" s="11" t="n"/>
      <c r="D993" s="11" t="n"/>
      <c r="E993" s="12" t="n"/>
      <c r="F993" s="34" t="n"/>
      <c r="G993" s="34" t="n"/>
      <c r="H993" s="34" t="n"/>
      <c r="I993" s="34" t="n"/>
      <c r="J993" s="34" t="n"/>
      <c r="K993" s="34" t="n"/>
      <c r="L993" s="34" t="n"/>
      <c r="M993" s="36" t="n"/>
      <c r="N993" s="36" t="n"/>
      <c r="O993" s="41" t="n"/>
      <c r="P993" s="27">
        <f>IF($B993="","",IFERROR(TRIM(LEFT($B993,FIND(" - ",$B993)-1)),"Others"))</f>
        <v/>
      </c>
      <c r="Q993" s="39">
        <f>IF($A993="","",SUM($F993:$H993))</f>
        <v/>
      </c>
      <c r="R993" s="39">
        <f>IF($A993="","",SUM($I993:$K993))</f>
        <v/>
      </c>
      <c r="S993" s="39">
        <f>IF($A993="","",($L993+$R993)-$Q993)</f>
        <v/>
      </c>
      <c r="T993" s="31">
        <f>IF(OR($A993="",$Q993=0),"",$S993/$Q993)</f>
        <v/>
      </c>
      <c r="U993" s="27">
        <f>IF($A993="","",IF($L993&gt;0,"Live","Exited"))</f>
        <v/>
      </c>
      <c r="V993" s="40">
        <f>IF($A993="","",IF($A993='Client Report'!$C$4,COUNTIFS($A$6:$A993,'Client Report'!$C$4),""))</f>
        <v/>
      </c>
    </row>
    <row r="994">
      <c r="A994" s="11" t="n"/>
      <c r="B994" s="11" t="n"/>
      <c r="C994" s="11" t="n"/>
      <c r="D994" s="11" t="n"/>
      <c r="E994" s="12" t="n"/>
      <c r="F994" s="34" t="n"/>
      <c r="G994" s="34" t="n"/>
      <c r="H994" s="34" t="n"/>
      <c r="I994" s="34" t="n"/>
      <c r="J994" s="34" t="n"/>
      <c r="K994" s="34" t="n"/>
      <c r="L994" s="34" t="n"/>
      <c r="M994" s="36" t="n"/>
      <c r="N994" s="36" t="n"/>
      <c r="O994" s="41" t="n"/>
      <c r="P994" s="27">
        <f>IF($B994="","",IFERROR(TRIM(LEFT($B994,FIND(" - ",$B994)-1)),"Others"))</f>
        <v/>
      </c>
      <c r="Q994" s="39">
        <f>IF($A994="","",SUM($F994:$H994))</f>
        <v/>
      </c>
      <c r="R994" s="39">
        <f>IF($A994="","",SUM($I994:$K994))</f>
        <v/>
      </c>
      <c r="S994" s="39">
        <f>IF($A994="","",($L994+$R994)-$Q994)</f>
        <v/>
      </c>
      <c r="T994" s="31">
        <f>IF(OR($A994="",$Q994=0),"",$S994/$Q994)</f>
        <v/>
      </c>
      <c r="U994" s="27">
        <f>IF($A994="","",IF($L994&gt;0,"Live","Exited"))</f>
        <v/>
      </c>
      <c r="V994" s="40">
        <f>IF($A994="","",IF($A994='Client Report'!$C$4,COUNTIFS($A$6:$A994,'Client Report'!$C$4),""))</f>
        <v/>
      </c>
    </row>
    <row r="995">
      <c r="A995" s="11" t="n"/>
      <c r="B995" s="11" t="n"/>
      <c r="C995" s="11" t="n"/>
      <c r="D995" s="11" t="n"/>
      <c r="E995" s="12" t="n"/>
      <c r="F995" s="34" t="n"/>
      <c r="G995" s="34" t="n"/>
      <c r="H995" s="34" t="n"/>
      <c r="I995" s="34" t="n"/>
      <c r="J995" s="34" t="n"/>
      <c r="K995" s="34" t="n"/>
      <c r="L995" s="34" t="n"/>
      <c r="M995" s="36" t="n"/>
      <c r="N995" s="36" t="n"/>
      <c r="O995" s="41" t="n"/>
      <c r="P995" s="27">
        <f>IF($B995="","",IFERROR(TRIM(LEFT($B995,FIND(" - ",$B995)-1)),"Others"))</f>
        <v/>
      </c>
      <c r="Q995" s="39">
        <f>IF($A995="","",SUM($F995:$H995))</f>
        <v/>
      </c>
      <c r="R995" s="39">
        <f>IF($A995="","",SUM($I995:$K995))</f>
        <v/>
      </c>
      <c r="S995" s="39">
        <f>IF($A995="","",($L995+$R995)-$Q995)</f>
        <v/>
      </c>
      <c r="T995" s="31">
        <f>IF(OR($A995="",$Q995=0),"",$S995/$Q995)</f>
        <v/>
      </c>
      <c r="U995" s="27">
        <f>IF($A995="","",IF($L995&gt;0,"Live","Exited"))</f>
        <v/>
      </c>
      <c r="V995" s="40">
        <f>IF($A995="","",IF($A995='Client Report'!$C$4,COUNTIFS($A$6:$A995,'Client Report'!$C$4),""))</f>
        <v/>
      </c>
    </row>
    <row r="996">
      <c r="A996" s="11" t="n"/>
      <c r="B996" s="11" t="n"/>
      <c r="C996" s="11" t="n"/>
      <c r="D996" s="11" t="n"/>
      <c r="E996" s="12" t="n"/>
      <c r="F996" s="34" t="n"/>
      <c r="G996" s="34" t="n"/>
      <c r="H996" s="34" t="n"/>
      <c r="I996" s="34" t="n"/>
      <c r="J996" s="34" t="n"/>
      <c r="K996" s="34" t="n"/>
      <c r="L996" s="34" t="n"/>
      <c r="M996" s="36" t="n"/>
      <c r="N996" s="36" t="n"/>
      <c r="O996" s="41" t="n"/>
      <c r="P996" s="27">
        <f>IF($B996="","",IFERROR(TRIM(LEFT($B996,FIND(" - ",$B996)-1)),"Others"))</f>
        <v/>
      </c>
      <c r="Q996" s="39">
        <f>IF($A996="","",SUM($F996:$H996))</f>
        <v/>
      </c>
      <c r="R996" s="39">
        <f>IF($A996="","",SUM($I996:$K996))</f>
        <v/>
      </c>
      <c r="S996" s="39">
        <f>IF($A996="","",($L996+$R996)-$Q996)</f>
        <v/>
      </c>
      <c r="T996" s="31">
        <f>IF(OR($A996="",$Q996=0),"",$S996/$Q996)</f>
        <v/>
      </c>
      <c r="U996" s="27">
        <f>IF($A996="","",IF($L996&gt;0,"Live","Exited"))</f>
        <v/>
      </c>
      <c r="V996" s="40">
        <f>IF($A996="","",IF($A996='Client Report'!$C$4,COUNTIFS($A$6:$A996,'Client Report'!$C$4),""))</f>
        <v/>
      </c>
    </row>
    <row r="997">
      <c r="A997" s="11" t="n"/>
      <c r="B997" s="11" t="n"/>
      <c r="C997" s="11" t="n"/>
      <c r="D997" s="11" t="n"/>
      <c r="E997" s="12" t="n"/>
      <c r="F997" s="34" t="n"/>
      <c r="G997" s="34" t="n"/>
      <c r="H997" s="34" t="n"/>
      <c r="I997" s="34" t="n"/>
      <c r="J997" s="34" t="n"/>
      <c r="K997" s="34" t="n"/>
      <c r="L997" s="34" t="n"/>
      <c r="M997" s="36" t="n"/>
      <c r="N997" s="36" t="n"/>
      <c r="O997" s="41" t="n"/>
      <c r="P997" s="27">
        <f>IF($B997="","",IFERROR(TRIM(LEFT($B997,FIND(" - ",$B997)-1)),"Others"))</f>
        <v/>
      </c>
      <c r="Q997" s="39">
        <f>IF($A997="","",SUM($F997:$H997))</f>
        <v/>
      </c>
      <c r="R997" s="39">
        <f>IF($A997="","",SUM($I997:$K997))</f>
        <v/>
      </c>
      <c r="S997" s="39">
        <f>IF($A997="","",($L997+$R997)-$Q997)</f>
        <v/>
      </c>
      <c r="T997" s="31">
        <f>IF(OR($A997="",$Q997=0),"",$S997/$Q997)</f>
        <v/>
      </c>
      <c r="U997" s="27">
        <f>IF($A997="","",IF($L997&gt;0,"Live","Exited"))</f>
        <v/>
      </c>
      <c r="V997" s="40">
        <f>IF($A997="","",IF($A997='Client Report'!$C$4,COUNTIFS($A$6:$A997,'Client Report'!$C$4),""))</f>
        <v/>
      </c>
    </row>
    <row r="998">
      <c r="A998" s="11" t="n"/>
      <c r="B998" s="11" t="n"/>
      <c r="C998" s="11" t="n"/>
      <c r="D998" s="11" t="n"/>
      <c r="E998" s="12" t="n"/>
      <c r="F998" s="34" t="n"/>
      <c r="G998" s="34" t="n"/>
      <c r="H998" s="34" t="n"/>
      <c r="I998" s="34" t="n"/>
      <c r="J998" s="34" t="n"/>
      <c r="K998" s="34" t="n"/>
      <c r="L998" s="34" t="n"/>
      <c r="M998" s="36" t="n"/>
      <c r="N998" s="36" t="n"/>
      <c r="O998" s="41" t="n"/>
      <c r="P998" s="27">
        <f>IF($B998="","",IFERROR(TRIM(LEFT($B998,FIND(" - ",$B998)-1)),"Others"))</f>
        <v/>
      </c>
      <c r="Q998" s="39">
        <f>IF($A998="","",SUM($F998:$H998))</f>
        <v/>
      </c>
      <c r="R998" s="39">
        <f>IF($A998="","",SUM($I998:$K998))</f>
        <v/>
      </c>
      <c r="S998" s="39">
        <f>IF($A998="","",($L998+$R998)-$Q998)</f>
        <v/>
      </c>
      <c r="T998" s="31">
        <f>IF(OR($A998="",$Q998=0),"",$S998/$Q998)</f>
        <v/>
      </c>
      <c r="U998" s="27">
        <f>IF($A998="","",IF($L998&gt;0,"Live","Exited"))</f>
        <v/>
      </c>
      <c r="V998" s="40">
        <f>IF($A998="","",IF($A998='Client Report'!$C$4,COUNTIFS($A$6:$A998,'Client Report'!$C$4),""))</f>
        <v/>
      </c>
    </row>
    <row r="999">
      <c r="A999" s="11" t="n"/>
      <c r="B999" s="11" t="n"/>
      <c r="C999" s="11" t="n"/>
      <c r="D999" s="11" t="n"/>
      <c r="E999" s="12" t="n"/>
      <c r="F999" s="34" t="n"/>
      <c r="G999" s="34" t="n"/>
      <c r="H999" s="34" t="n"/>
      <c r="I999" s="34" t="n"/>
      <c r="J999" s="34" t="n"/>
      <c r="K999" s="34" t="n"/>
      <c r="L999" s="34" t="n"/>
      <c r="M999" s="36" t="n"/>
      <c r="N999" s="36" t="n"/>
      <c r="O999" s="41" t="n"/>
      <c r="P999" s="27">
        <f>IF($B999="","",IFERROR(TRIM(LEFT($B999,FIND(" - ",$B999)-1)),"Others"))</f>
        <v/>
      </c>
      <c r="Q999" s="39">
        <f>IF($A999="","",SUM($F999:$H999))</f>
        <v/>
      </c>
      <c r="R999" s="39">
        <f>IF($A999="","",SUM($I999:$K999))</f>
        <v/>
      </c>
      <c r="S999" s="39">
        <f>IF($A999="","",($L999+$R999)-$Q999)</f>
        <v/>
      </c>
      <c r="T999" s="31">
        <f>IF(OR($A999="",$Q999=0),"",$S999/$Q999)</f>
        <v/>
      </c>
      <c r="U999" s="27">
        <f>IF($A999="","",IF($L999&gt;0,"Live","Exited"))</f>
        <v/>
      </c>
      <c r="V999" s="40">
        <f>IF($A999="","",IF($A999='Client Report'!$C$4,COUNTIFS($A$6:$A999,'Client Report'!$C$4),""))</f>
        <v/>
      </c>
    </row>
    <row r="1000">
      <c r="A1000" s="11" t="n"/>
      <c r="B1000" s="11" t="n"/>
      <c r="C1000" s="11" t="n"/>
      <c r="D1000" s="11" t="n"/>
      <c r="E1000" s="12" t="n"/>
      <c r="F1000" s="34" t="n"/>
      <c r="G1000" s="34" t="n"/>
      <c r="H1000" s="34" t="n"/>
      <c r="I1000" s="34" t="n"/>
      <c r="J1000" s="34" t="n"/>
      <c r="K1000" s="34" t="n"/>
      <c r="L1000" s="34" t="n"/>
      <c r="M1000" s="36" t="n"/>
      <c r="N1000" s="36" t="n"/>
      <c r="O1000" s="41" t="n"/>
      <c r="P1000" s="27">
        <f>IF($B1000="","",IFERROR(TRIM(LEFT($B1000,FIND(" - ",$B1000)-1)),"Others"))</f>
        <v/>
      </c>
      <c r="Q1000" s="39">
        <f>IF($A1000="","",SUM($F1000:$H1000))</f>
        <v/>
      </c>
      <c r="R1000" s="39">
        <f>IF($A1000="","",SUM($I1000:$K1000))</f>
        <v/>
      </c>
      <c r="S1000" s="39">
        <f>IF($A1000="","",($L1000+$R1000)-$Q1000)</f>
        <v/>
      </c>
      <c r="T1000" s="31">
        <f>IF(OR($A1000="",$Q1000=0),"",$S1000/$Q1000)</f>
        <v/>
      </c>
      <c r="U1000" s="27">
        <f>IF($A1000="","",IF($L1000&gt;0,"Live","Exited"))</f>
        <v/>
      </c>
      <c r="V1000" s="40">
        <f>IF($A1000="","",IF($A1000='Client Report'!$C$4,COUNTIFS($A$6:$A1000,'Client Report'!$C$4),""))</f>
        <v/>
      </c>
    </row>
    <row r="1001">
      <c r="A1001" s="11" t="n"/>
      <c r="B1001" s="11" t="n"/>
      <c r="C1001" s="11" t="n"/>
      <c r="D1001" s="11" t="n"/>
      <c r="E1001" s="12" t="n"/>
      <c r="F1001" s="34" t="n"/>
      <c r="G1001" s="34" t="n"/>
      <c r="H1001" s="34" t="n"/>
      <c r="I1001" s="34" t="n"/>
      <c r="J1001" s="34" t="n"/>
      <c r="K1001" s="34" t="n"/>
      <c r="L1001" s="34" t="n"/>
      <c r="M1001" s="36" t="n"/>
      <c r="N1001" s="36" t="n"/>
      <c r="O1001" s="41" t="n"/>
      <c r="P1001" s="27">
        <f>IF($B1001="","",IFERROR(TRIM(LEFT($B1001,FIND(" - ",$B1001)-1)),"Others"))</f>
        <v/>
      </c>
      <c r="Q1001" s="39">
        <f>IF($A1001="","",SUM($F1001:$H1001))</f>
        <v/>
      </c>
      <c r="R1001" s="39">
        <f>IF($A1001="","",SUM($I1001:$K1001))</f>
        <v/>
      </c>
      <c r="S1001" s="39">
        <f>IF($A1001="","",($L1001+$R1001)-$Q1001)</f>
        <v/>
      </c>
      <c r="T1001" s="31">
        <f>IF(OR($A1001="",$Q1001=0),"",$S1001/$Q1001)</f>
        <v/>
      </c>
      <c r="U1001" s="27">
        <f>IF($A1001="","",IF($L1001&gt;0,"Live","Exited"))</f>
        <v/>
      </c>
      <c r="V1001" s="40">
        <f>IF($A1001="","",IF($A1001='Client Report'!$C$4,COUNTIFS($A$6:$A1001,'Client Report'!$C$4),""))</f>
        <v/>
      </c>
    </row>
    <row r="1002">
      <c r="A1002" s="11" t="n"/>
      <c r="B1002" s="11" t="n"/>
      <c r="C1002" s="11" t="n"/>
      <c r="D1002" s="11" t="n"/>
      <c r="E1002" s="12" t="n"/>
      <c r="F1002" s="34" t="n"/>
      <c r="G1002" s="34" t="n"/>
      <c r="H1002" s="34" t="n"/>
      <c r="I1002" s="34" t="n"/>
      <c r="J1002" s="34" t="n"/>
      <c r="K1002" s="34" t="n"/>
      <c r="L1002" s="34" t="n"/>
      <c r="M1002" s="36" t="n"/>
      <c r="N1002" s="36" t="n"/>
      <c r="O1002" s="41" t="n"/>
      <c r="P1002" s="27">
        <f>IF($B1002="","",IFERROR(TRIM(LEFT($B1002,FIND(" - ",$B1002)-1)),"Others"))</f>
        <v/>
      </c>
      <c r="Q1002" s="39">
        <f>IF($A1002="","",SUM($F1002:$H1002))</f>
        <v/>
      </c>
      <c r="R1002" s="39">
        <f>IF($A1002="","",SUM($I1002:$K1002))</f>
        <v/>
      </c>
      <c r="S1002" s="39">
        <f>IF($A1002="","",($L1002+$R1002)-$Q1002)</f>
        <v/>
      </c>
      <c r="T1002" s="31">
        <f>IF(OR($A1002="",$Q1002=0),"",$S1002/$Q1002)</f>
        <v/>
      </c>
      <c r="U1002" s="27">
        <f>IF($A1002="","",IF($L1002&gt;0,"Live","Exited"))</f>
        <v/>
      </c>
      <c r="V1002" s="40">
        <f>IF($A1002="","",IF($A1002='Client Report'!$C$4,COUNTIFS($A$6:$A1002,'Client Report'!$C$4),""))</f>
        <v/>
      </c>
    </row>
    <row r="1003">
      <c r="A1003" s="11" t="n"/>
      <c r="B1003" s="11" t="n"/>
      <c r="C1003" s="11" t="n"/>
      <c r="D1003" s="11" t="n"/>
      <c r="E1003" s="12" t="n"/>
      <c r="F1003" s="34" t="n"/>
      <c r="G1003" s="34" t="n"/>
      <c r="H1003" s="34" t="n"/>
      <c r="I1003" s="34" t="n"/>
      <c r="J1003" s="34" t="n"/>
      <c r="K1003" s="34" t="n"/>
      <c r="L1003" s="34" t="n"/>
      <c r="M1003" s="36" t="n"/>
      <c r="N1003" s="36" t="n"/>
      <c r="O1003" s="41" t="n"/>
      <c r="P1003" s="27">
        <f>IF($B1003="","",IFERROR(TRIM(LEFT($B1003,FIND(" - ",$B1003)-1)),"Others"))</f>
        <v/>
      </c>
      <c r="Q1003" s="39">
        <f>IF($A1003="","",SUM($F1003:$H1003))</f>
        <v/>
      </c>
      <c r="R1003" s="39">
        <f>IF($A1003="","",SUM($I1003:$K1003))</f>
        <v/>
      </c>
      <c r="S1003" s="39">
        <f>IF($A1003="","",($L1003+$R1003)-$Q1003)</f>
        <v/>
      </c>
      <c r="T1003" s="31">
        <f>IF(OR($A1003="",$Q1003=0),"",$S1003/$Q1003)</f>
        <v/>
      </c>
      <c r="U1003" s="27">
        <f>IF($A1003="","",IF($L1003&gt;0,"Live","Exited"))</f>
        <v/>
      </c>
      <c r="V1003" s="40">
        <f>IF($A1003="","",IF($A1003='Client Report'!$C$4,COUNTIFS($A$6:$A1003,'Client Report'!$C$4),""))</f>
        <v/>
      </c>
    </row>
    <row r="1004">
      <c r="A1004" s="11" t="n"/>
      <c r="B1004" s="11" t="n"/>
      <c r="C1004" s="11" t="n"/>
      <c r="D1004" s="11" t="n"/>
      <c r="E1004" s="12" t="n"/>
      <c r="F1004" s="34" t="n"/>
      <c r="G1004" s="34" t="n"/>
      <c r="H1004" s="34" t="n"/>
      <c r="I1004" s="34" t="n"/>
      <c r="J1004" s="34" t="n"/>
      <c r="K1004" s="34" t="n"/>
      <c r="L1004" s="34" t="n"/>
      <c r="M1004" s="36" t="n"/>
      <c r="N1004" s="36" t="n"/>
      <c r="O1004" s="41" t="n"/>
      <c r="P1004" s="27">
        <f>IF($B1004="","",IFERROR(TRIM(LEFT($B1004,FIND(" - ",$B1004)-1)),"Others"))</f>
        <v/>
      </c>
      <c r="Q1004" s="39">
        <f>IF($A1004="","",SUM($F1004:$H1004))</f>
        <v/>
      </c>
      <c r="R1004" s="39">
        <f>IF($A1004="","",SUM($I1004:$K1004))</f>
        <v/>
      </c>
      <c r="S1004" s="39">
        <f>IF($A1004="","",($L1004+$R1004)-$Q1004)</f>
        <v/>
      </c>
      <c r="T1004" s="31">
        <f>IF(OR($A1004="",$Q1004=0),"",$S1004/$Q1004)</f>
        <v/>
      </c>
      <c r="U1004" s="27">
        <f>IF($A1004="","",IF($L1004&gt;0,"Live","Exited"))</f>
        <v/>
      </c>
      <c r="V1004" s="40">
        <f>IF($A1004="","",IF($A1004='Client Report'!$C$4,COUNTIFS($A$6:$A1004,'Client Report'!$C$4),""))</f>
        <v/>
      </c>
    </row>
    <row r="1005">
      <c r="A1005" s="11" t="n"/>
      <c r="B1005" s="11" t="n"/>
      <c r="C1005" s="11" t="n"/>
      <c r="D1005" s="11" t="n"/>
      <c r="E1005" s="12" t="n"/>
      <c r="F1005" s="34" t="n"/>
      <c r="G1005" s="34" t="n"/>
      <c r="H1005" s="34" t="n"/>
      <c r="I1005" s="34" t="n"/>
      <c r="J1005" s="34" t="n"/>
      <c r="K1005" s="34" t="n"/>
      <c r="L1005" s="34" t="n"/>
      <c r="M1005" s="36" t="n"/>
      <c r="N1005" s="36" t="n"/>
      <c r="O1005" s="41" t="n"/>
      <c r="P1005" s="27">
        <f>IF($B1005="","",IFERROR(TRIM(LEFT($B1005,FIND(" - ",$B1005)-1)),"Others"))</f>
        <v/>
      </c>
      <c r="Q1005" s="39">
        <f>IF($A1005="","",SUM($F1005:$H1005))</f>
        <v/>
      </c>
      <c r="R1005" s="39">
        <f>IF($A1005="","",SUM($I1005:$K1005))</f>
        <v/>
      </c>
      <c r="S1005" s="39">
        <f>IF($A1005="","",($L1005+$R1005)-$Q1005)</f>
        <v/>
      </c>
      <c r="T1005" s="31">
        <f>IF(OR($A1005="",$Q1005=0),"",$S1005/$Q1005)</f>
        <v/>
      </c>
      <c r="U1005" s="27">
        <f>IF($A1005="","",IF($L1005&gt;0,"Live","Exited"))</f>
        <v/>
      </c>
      <c r="V1005" s="40">
        <f>IF($A1005="","",IF($A1005='Client Report'!$C$4,COUNTIFS($A$6:$A1005,'Client Report'!$C$4),""))</f>
        <v/>
      </c>
    </row>
    <row r="1007">
      <c r="A1007" s="32" t="inlineStr">
        <is>
          <t>EXAMPLE row above - delete it before real use. Leave a cell blank wherever the software prints 0.00.</t>
        </is>
      </c>
    </row>
  </sheetData>
  <mergeCells count="2">
    <mergeCell ref="A2:V2"/>
    <mergeCell ref="A1:V1"/>
  </mergeCells>
  <conditionalFormatting sqref="O6:O1005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S6:S1005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T6:T1005">
    <cfRule type="cellIs" priority="5" operator="lessThan" dxfId="0">
      <formula>0</formula>
    </cfRule>
    <cfRule type="cellIs" priority="6" operator="greaterThan" dxfId="1">
      <formula>0</formula>
    </cfRule>
  </conditionalFormatting>
  <dataValidations count="2">
    <dataValidation sqref="A6:A1005" showDropDown="0" showInputMessage="0" showErrorMessage="1" allowBlank="1" errorTitle="Unknown client" error="Add this client on the Clients sheet first." type="list">
      <formula1>Clients!$B$4:$B$203</formula1>
    </dataValidation>
    <dataValidation sqref="B6:B1005" showDropDown="0" showInputMessage="0" showErrorMessage="0" allowBlank="1" type="list">
      <formula1>Lists!$A$2:$A$36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7" customWidth="1" min="4" max="4"/>
    <col width="17" customWidth="1" min="5" max="5"/>
    <col width="18" customWidth="1" min="6" max="6"/>
    <col width="17" customWidth="1" min="7" max="7"/>
    <col width="18" customWidth="1" min="8" max="8"/>
    <col width="18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1" t="inlineStr">
        <is>
          <t>TOTAL INVESTMENT REVIEW  -  ALL CLIENTS</t>
        </is>
      </c>
    </row>
    <row r="2" ht="16" customHeight="1">
      <c r="A2" s="2" t="inlineStr">
        <is>
          <t>Every figure is calculated from the Investments sheet. Nothing on this sheet needs typing.</t>
        </is>
      </c>
    </row>
    <row r="4" ht="20" customHeight="1">
      <c r="B4" s="42" t="inlineStr">
        <is>
          <t>PORTFOLIO SNAPSHOT  -  ALL CLIENTS</t>
        </is>
      </c>
    </row>
    <row r="5">
      <c r="B5" s="15" t="inlineStr">
        <is>
          <t>Total Clients</t>
        </is>
      </c>
      <c r="C5" s="43">
        <f>COUNTA(Clients!$B$4:$B$203)</f>
        <v/>
      </c>
      <c r="D5" s="44" t="n"/>
    </row>
    <row r="6">
      <c r="B6" s="15" t="inlineStr">
        <is>
          <t>Total Schemes</t>
        </is>
      </c>
      <c r="C6" s="43">
        <f>COUNTIF(Investments!$A$6:$A$1005,"?*")</f>
        <v/>
      </c>
      <c r="D6" s="44" t="n"/>
    </row>
    <row r="7">
      <c r="B7" s="15" t="inlineStr">
        <is>
          <t>Live Schemes</t>
        </is>
      </c>
      <c r="C7" s="43">
        <f>COUNTIF(Investments!$U$6:$U$1005,"Live")</f>
        <v/>
      </c>
      <c r="D7" s="44" t="n"/>
    </row>
    <row r="8">
      <c r="B8" s="15" t="inlineStr">
        <is>
          <t>Total Purchase</t>
        </is>
      </c>
      <c r="C8" s="45">
        <f>SUM(Investments!$F$6:$F$1005)</f>
        <v/>
      </c>
      <c r="D8" s="44" t="n"/>
    </row>
    <row r="9">
      <c r="B9" s="15" t="inlineStr">
        <is>
          <t>Total Switch In</t>
        </is>
      </c>
      <c r="C9" s="45">
        <f>SUM(Investments!$G$6:$G$1005)</f>
        <v/>
      </c>
      <c r="D9" s="44" t="n"/>
    </row>
    <row r="10">
      <c r="B10" s="15" t="inlineStr">
        <is>
          <t>Total Invested  (Purchase + Switch In + Div Reinv)</t>
        </is>
      </c>
      <c r="C10" s="45">
        <f>SUM(Investments!$Q$6:$Q$1005)</f>
        <v/>
      </c>
      <c r="D10" s="44" t="n"/>
    </row>
    <row r="11">
      <c r="B11" s="15" t="inlineStr">
        <is>
          <t>Total Withdrawn  (Redemption + Switch Out + Div Pay)</t>
        </is>
      </c>
      <c r="C11" s="45">
        <f>SUM(Investments!$I$6:$I$1005)+SUM(Investments!$J$6:$J$1005)+SUM(Investments!$K$6:$K$1005)</f>
        <v/>
      </c>
      <c r="D11" s="44" t="n"/>
    </row>
    <row r="12">
      <c r="B12" s="15" t="inlineStr">
        <is>
          <t>Current Value  (AUM)</t>
        </is>
      </c>
      <c r="C12" s="45">
        <f>SUM(Investments!$L$6:$L$1005)</f>
        <v/>
      </c>
      <c r="D12" s="44" t="n"/>
    </row>
    <row r="13">
      <c r="B13" s="15" t="inlineStr">
        <is>
          <t>Total Gain / Loss</t>
        </is>
      </c>
      <c r="C13" s="45">
        <f>($C$12+$C$11)-$C$10</f>
        <v/>
      </c>
      <c r="D13" s="44" t="n"/>
    </row>
    <row r="14">
      <c r="B14" s="15" t="inlineStr">
        <is>
          <t>Overall Abs. Rtn.</t>
        </is>
      </c>
      <c r="C14" s="46">
        <f>IF($C$10=0,"",$C$13/$C$10)</f>
        <v/>
      </c>
      <c r="D14" s="44" t="n"/>
    </row>
    <row r="15">
      <c r="B15" s="15" t="inlineStr">
        <is>
          <t>Wtd. XIRR  (by current value)</t>
        </is>
      </c>
      <c r="C15" s="46">
        <f>IF($C$12=0,"",SUMPRODUCT(Investments!$L$6:$L$1005,Investments!$O$6:$O$1005)/$C$12)</f>
        <v/>
      </c>
      <c r="D15" s="44" t="n"/>
    </row>
    <row r="16">
      <c r="B16" s="15" t="inlineStr">
        <is>
          <t>Top Client by Current Value</t>
        </is>
      </c>
      <c r="C16" s="47">
        <f>IF($C$12=0,"",IFERROR(INDEX($B$19:$B$218,MATCH(MAX($H$19:$H$218),$H$19:$H$218,0)),""))</f>
        <v/>
      </c>
      <c r="D16" s="44" t="n"/>
    </row>
    <row r="17" ht="20" customHeight="1">
      <c r="B17" s="42" t="inlineStr">
        <is>
          <t>CLIENT-WISE REVIEW</t>
        </is>
      </c>
    </row>
    <row r="18" ht="30" customHeight="1">
      <c r="B18" s="8" t="inlineStr">
        <is>
          <t>Client Name</t>
        </is>
      </c>
      <c r="C18" s="8" t="inlineStr">
        <is>
          <t>Schemes</t>
        </is>
      </c>
      <c r="D18" s="8" t="inlineStr">
        <is>
          <t>Purchase</t>
        </is>
      </c>
      <c r="E18" s="8" t="inlineStr">
        <is>
          <t>Switch In</t>
        </is>
      </c>
      <c r="F18" s="8" t="inlineStr">
        <is>
          <t>Total Invested</t>
        </is>
      </c>
      <c r="G18" s="8" t="inlineStr">
        <is>
          <t>Withdrawn</t>
        </is>
      </c>
      <c r="H18" s="8" t="inlineStr">
        <is>
          <t>Cur. Value</t>
        </is>
      </c>
      <c r="I18" s="8" t="inlineStr">
        <is>
          <t>Gain / Loss</t>
        </is>
      </c>
      <c r="J18" s="8" t="inlineStr">
        <is>
          <t>Abs. Rtn.</t>
        </is>
      </c>
      <c r="K18" s="8" t="inlineStr">
        <is>
          <t>Wtd. XIRR</t>
        </is>
      </c>
      <c r="L18" s="8" t="inlineStr">
        <is>
          <t>% of AUM</t>
        </is>
      </c>
    </row>
    <row r="19">
      <c r="B19" s="22">
        <f>IF(Clients!$B4="","",Clients!$B4)</f>
        <v/>
      </c>
      <c r="C19" s="48">
        <f>IF($B19="","",COUNTIFS(Investments!$A$6:$A$1005,$B19))</f>
        <v/>
      </c>
      <c r="D19" s="49">
        <f>IF($B19="","",SUMIFS(Investments!$F$6:$F$1005,Investments!$A$6:$A$1005,$B19))</f>
        <v/>
      </c>
      <c r="E19" s="49">
        <f>IF($B19="","",SUMIFS(Investments!$G$6:$G$1005,Investments!$A$6:$A$1005,$B19))</f>
        <v/>
      </c>
      <c r="F19" s="49">
        <f>IF($B19="","",SUMIFS(Investments!$Q$6:$Q$1005,Investments!$A$6:$A$1005,$B19))</f>
        <v/>
      </c>
      <c r="G19" s="49">
        <f>IF($B19="","",SUMIFS(Investments!$I$6:$I$1005,Investments!$A$6:$A$1005,$B19)+SUMIFS(Investments!$J$6:$J$1005,Investments!$A$6:$A$1005,$B19)+SUMIFS(Investments!$K$6:$K$1005,Investments!$A$6:$A$1005,$B19))</f>
        <v/>
      </c>
      <c r="H19" s="49">
        <f>IF($B19="","",SUMIFS(Investments!$L$6:$L$1005,Investments!$A$6:$A$1005,$B19))</f>
        <v/>
      </c>
      <c r="I19" s="49">
        <f>IF($B19="","",($H19+$G19)-$F19)</f>
        <v/>
      </c>
      <c r="J19" s="26">
        <f>IF(OR($B19="",$F19=0),"",$I19/$F19)</f>
        <v/>
      </c>
      <c r="K19" s="26">
        <f>IF(OR($B19="",$H19=0),"",SUMPRODUCT((Investments!$A$6:$A$1005=$B19)*Investments!$L$6:$L$1005*Investments!$O$6:$O$1005)/$H19)</f>
        <v/>
      </c>
      <c r="L19" s="26">
        <f>IF(OR($B19="",$C$12=0),"",$H19/$C$12)</f>
        <v/>
      </c>
    </row>
    <row r="20">
      <c r="B20" s="27">
        <f>IF(Clients!$B5="","",Clients!$B5)</f>
        <v/>
      </c>
      <c r="C20" s="50">
        <f>IF($B20="","",COUNTIFS(Investments!$A$6:$A$1005,$B20))</f>
        <v/>
      </c>
      <c r="D20" s="39">
        <f>IF($B20="","",SUMIFS(Investments!$F$6:$F$1005,Investments!$A$6:$A$1005,$B20))</f>
        <v/>
      </c>
      <c r="E20" s="39">
        <f>IF($B20="","",SUMIFS(Investments!$G$6:$G$1005,Investments!$A$6:$A$1005,$B20))</f>
        <v/>
      </c>
      <c r="F20" s="39">
        <f>IF($B20="","",SUMIFS(Investments!$Q$6:$Q$1005,Investments!$A$6:$A$1005,$B20))</f>
        <v/>
      </c>
      <c r="G20" s="39">
        <f>IF($B20="","",SUMIFS(Investments!$I$6:$I$1005,Investments!$A$6:$A$1005,$B20)+SUMIFS(Investments!$J$6:$J$1005,Investments!$A$6:$A$1005,$B20)+SUMIFS(Investments!$K$6:$K$1005,Investments!$A$6:$A$1005,$B20))</f>
        <v/>
      </c>
      <c r="H20" s="39">
        <f>IF($B20="","",SUMIFS(Investments!$L$6:$L$1005,Investments!$A$6:$A$1005,$B20))</f>
        <v/>
      </c>
      <c r="I20" s="39">
        <f>IF($B20="","",($H20+$G20)-$F20)</f>
        <v/>
      </c>
      <c r="J20" s="31">
        <f>IF(OR($B20="",$F20=0),"",$I20/$F20)</f>
        <v/>
      </c>
      <c r="K20" s="31">
        <f>IF(OR($B20="",$H20=0),"",SUMPRODUCT((Investments!$A$6:$A$1005=$B20)*Investments!$L$6:$L$1005*Investments!$O$6:$O$1005)/$H20)</f>
        <v/>
      </c>
      <c r="L20" s="31">
        <f>IF(OR($B20="",$C$12=0),"",$H20/$C$12)</f>
        <v/>
      </c>
    </row>
    <row r="21">
      <c r="B21" s="22">
        <f>IF(Clients!$B6="","",Clients!$B6)</f>
        <v/>
      </c>
      <c r="C21" s="48">
        <f>IF($B21="","",COUNTIFS(Investments!$A$6:$A$1005,$B21))</f>
        <v/>
      </c>
      <c r="D21" s="49">
        <f>IF($B21="","",SUMIFS(Investments!$F$6:$F$1005,Investments!$A$6:$A$1005,$B21))</f>
        <v/>
      </c>
      <c r="E21" s="49">
        <f>IF($B21="","",SUMIFS(Investments!$G$6:$G$1005,Investments!$A$6:$A$1005,$B21))</f>
        <v/>
      </c>
      <c r="F21" s="49">
        <f>IF($B21="","",SUMIFS(Investments!$Q$6:$Q$1005,Investments!$A$6:$A$1005,$B21))</f>
        <v/>
      </c>
      <c r="G21" s="49">
        <f>IF($B21="","",SUMIFS(Investments!$I$6:$I$1005,Investments!$A$6:$A$1005,$B21)+SUMIFS(Investments!$J$6:$J$1005,Investments!$A$6:$A$1005,$B21)+SUMIFS(Investments!$K$6:$K$1005,Investments!$A$6:$A$1005,$B21))</f>
        <v/>
      </c>
      <c r="H21" s="49">
        <f>IF($B21="","",SUMIFS(Investments!$L$6:$L$1005,Investments!$A$6:$A$1005,$B21))</f>
        <v/>
      </c>
      <c r="I21" s="49">
        <f>IF($B21="","",($H21+$G21)-$F21)</f>
        <v/>
      </c>
      <c r="J21" s="26">
        <f>IF(OR($B21="",$F21=0),"",$I21/$F21)</f>
        <v/>
      </c>
      <c r="K21" s="26">
        <f>IF(OR($B21="",$H21=0),"",SUMPRODUCT((Investments!$A$6:$A$1005=$B21)*Investments!$L$6:$L$1005*Investments!$O$6:$O$1005)/$H21)</f>
        <v/>
      </c>
      <c r="L21" s="26">
        <f>IF(OR($B21="",$C$12=0),"",$H21/$C$12)</f>
        <v/>
      </c>
    </row>
    <row r="22">
      <c r="B22" s="27">
        <f>IF(Clients!$B7="","",Clients!$B7)</f>
        <v/>
      </c>
      <c r="C22" s="50">
        <f>IF($B22="","",COUNTIFS(Investments!$A$6:$A$1005,$B22))</f>
        <v/>
      </c>
      <c r="D22" s="39">
        <f>IF($B22="","",SUMIFS(Investments!$F$6:$F$1005,Investments!$A$6:$A$1005,$B22))</f>
        <v/>
      </c>
      <c r="E22" s="39">
        <f>IF($B22="","",SUMIFS(Investments!$G$6:$G$1005,Investments!$A$6:$A$1005,$B22))</f>
        <v/>
      </c>
      <c r="F22" s="39">
        <f>IF($B22="","",SUMIFS(Investments!$Q$6:$Q$1005,Investments!$A$6:$A$1005,$B22))</f>
        <v/>
      </c>
      <c r="G22" s="39">
        <f>IF($B22="","",SUMIFS(Investments!$I$6:$I$1005,Investments!$A$6:$A$1005,$B22)+SUMIFS(Investments!$J$6:$J$1005,Investments!$A$6:$A$1005,$B22)+SUMIFS(Investments!$K$6:$K$1005,Investments!$A$6:$A$1005,$B22))</f>
        <v/>
      </c>
      <c r="H22" s="39">
        <f>IF($B22="","",SUMIFS(Investments!$L$6:$L$1005,Investments!$A$6:$A$1005,$B22))</f>
        <v/>
      </c>
      <c r="I22" s="39">
        <f>IF($B22="","",($H22+$G22)-$F22)</f>
        <v/>
      </c>
      <c r="J22" s="31">
        <f>IF(OR($B22="",$F22=0),"",$I22/$F22)</f>
        <v/>
      </c>
      <c r="K22" s="31">
        <f>IF(OR($B22="",$H22=0),"",SUMPRODUCT((Investments!$A$6:$A$1005=$B22)*Investments!$L$6:$L$1005*Investments!$O$6:$O$1005)/$H22)</f>
        <v/>
      </c>
      <c r="L22" s="31">
        <f>IF(OR($B22="",$C$12=0),"",$H22/$C$12)</f>
        <v/>
      </c>
    </row>
    <row r="23">
      <c r="B23" s="22">
        <f>IF(Clients!$B8="","",Clients!$B8)</f>
        <v/>
      </c>
      <c r="C23" s="48">
        <f>IF($B23="","",COUNTIFS(Investments!$A$6:$A$1005,$B23))</f>
        <v/>
      </c>
      <c r="D23" s="49">
        <f>IF($B23="","",SUMIFS(Investments!$F$6:$F$1005,Investments!$A$6:$A$1005,$B23))</f>
        <v/>
      </c>
      <c r="E23" s="49">
        <f>IF($B23="","",SUMIFS(Investments!$G$6:$G$1005,Investments!$A$6:$A$1005,$B23))</f>
        <v/>
      </c>
      <c r="F23" s="49">
        <f>IF($B23="","",SUMIFS(Investments!$Q$6:$Q$1005,Investments!$A$6:$A$1005,$B23))</f>
        <v/>
      </c>
      <c r="G23" s="49">
        <f>IF($B23="","",SUMIFS(Investments!$I$6:$I$1005,Investments!$A$6:$A$1005,$B23)+SUMIFS(Investments!$J$6:$J$1005,Investments!$A$6:$A$1005,$B23)+SUMIFS(Investments!$K$6:$K$1005,Investments!$A$6:$A$1005,$B23))</f>
        <v/>
      </c>
      <c r="H23" s="49">
        <f>IF($B23="","",SUMIFS(Investments!$L$6:$L$1005,Investments!$A$6:$A$1005,$B23))</f>
        <v/>
      </c>
      <c r="I23" s="49">
        <f>IF($B23="","",($H23+$G23)-$F23)</f>
        <v/>
      </c>
      <c r="J23" s="26">
        <f>IF(OR($B23="",$F23=0),"",$I23/$F23)</f>
        <v/>
      </c>
      <c r="K23" s="26">
        <f>IF(OR($B23="",$H23=0),"",SUMPRODUCT((Investments!$A$6:$A$1005=$B23)*Investments!$L$6:$L$1005*Investments!$O$6:$O$1005)/$H23)</f>
        <v/>
      </c>
      <c r="L23" s="26">
        <f>IF(OR($B23="",$C$12=0),"",$H23/$C$12)</f>
        <v/>
      </c>
    </row>
    <row r="24">
      <c r="B24" s="27">
        <f>IF(Clients!$B9="","",Clients!$B9)</f>
        <v/>
      </c>
      <c r="C24" s="50">
        <f>IF($B24="","",COUNTIFS(Investments!$A$6:$A$1005,$B24))</f>
        <v/>
      </c>
      <c r="D24" s="39">
        <f>IF($B24="","",SUMIFS(Investments!$F$6:$F$1005,Investments!$A$6:$A$1005,$B24))</f>
        <v/>
      </c>
      <c r="E24" s="39">
        <f>IF($B24="","",SUMIFS(Investments!$G$6:$G$1005,Investments!$A$6:$A$1005,$B24))</f>
        <v/>
      </c>
      <c r="F24" s="39">
        <f>IF($B24="","",SUMIFS(Investments!$Q$6:$Q$1005,Investments!$A$6:$A$1005,$B24))</f>
        <v/>
      </c>
      <c r="G24" s="39">
        <f>IF($B24="","",SUMIFS(Investments!$I$6:$I$1005,Investments!$A$6:$A$1005,$B24)+SUMIFS(Investments!$J$6:$J$1005,Investments!$A$6:$A$1005,$B24)+SUMIFS(Investments!$K$6:$K$1005,Investments!$A$6:$A$1005,$B24))</f>
        <v/>
      </c>
      <c r="H24" s="39">
        <f>IF($B24="","",SUMIFS(Investments!$L$6:$L$1005,Investments!$A$6:$A$1005,$B24))</f>
        <v/>
      </c>
      <c r="I24" s="39">
        <f>IF($B24="","",($H24+$G24)-$F24)</f>
        <v/>
      </c>
      <c r="J24" s="31">
        <f>IF(OR($B24="",$F24=0),"",$I24/$F24)</f>
        <v/>
      </c>
      <c r="K24" s="31">
        <f>IF(OR($B24="",$H24=0),"",SUMPRODUCT((Investments!$A$6:$A$1005=$B24)*Investments!$L$6:$L$1005*Investments!$O$6:$O$1005)/$H24)</f>
        <v/>
      </c>
      <c r="L24" s="31">
        <f>IF(OR($B24="",$C$12=0),"",$H24/$C$12)</f>
        <v/>
      </c>
    </row>
    <row r="25">
      <c r="B25" s="22">
        <f>IF(Clients!$B10="","",Clients!$B10)</f>
        <v/>
      </c>
      <c r="C25" s="48">
        <f>IF($B25="","",COUNTIFS(Investments!$A$6:$A$1005,$B25))</f>
        <v/>
      </c>
      <c r="D25" s="49">
        <f>IF($B25="","",SUMIFS(Investments!$F$6:$F$1005,Investments!$A$6:$A$1005,$B25))</f>
        <v/>
      </c>
      <c r="E25" s="49">
        <f>IF($B25="","",SUMIFS(Investments!$G$6:$G$1005,Investments!$A$6:$A$1005,$B25))</f>
        <v/>
      </c>
      <c r="F25" s="49">
        <f>IF($B25="","",SUMIFS(Investments!$Q$6:$Q$1005,Investments!$A$6:$A$1005,$B25))</f>
        <v/>
      </c>
      <c r="G25" s="49">
        <f>IF($B25="","",SUMIFS(Investments!$I$6:$I$1005,Investments!$A$6:$A$1005,$B25)+SUMIFS(Investments!$J$6:$J$1005,Investments!$A$6:$A$1005,$B25)+SUMIFS(Investments!$K$6:$K$1005,Investments!$A$6:$A$1005,$B25))</f>
        <v/>
      </c>
      <c r="H25" s="49">
        <f>IF($B25="","",SUMIFS(Investments!$L$6:$L$1005,Investments!$A$6:$A$1005,$B25))</f>
        <v/>
      </c>
      <c r="I25" s="49">
        <f>IF($B25="","",($H25+$G25)-$F25)</f>
        <v/>
      </c>
      <c r="J25" s="26">
        <f>IF(OR($B25="",$F25=0),"",$I25/$F25)</f>
        <v/>
      </c>
      <c r="K25" s="26">
        <f>IF(OR($B25="",$H25=0),"",SUMPRODUCT((Investments!$A$6:$A$1005=$B25)*Investments!$L$6:$L$1005*Investments!$O$6:$O$1005)/$H25)</f>
        <v/>
      </c>
      <c r="L25" s="26">
        <f>IF(OR($B25="",$C$12=0),"",$H25/$C$12)</f>
        <v/>
      </c>
    </row>
    <row r="26">
      <c r="B26" s="27">
        <f>IF(Clients!$B11="","",Clients!$B11)</f>
        <v/>
      </c>
      <c r="C26" s="50">
        <f>IF($B26="","",COUNTIFS(Investments!$A$6:$A$1005,$B26))</f>
        <v/>
      </c>
      <c r="D26" s="39">
        <f>IF($B26="","",SUMIFS(Investments!$F$6:$F$1005,Investments!$A$6:$A$1005,$B26))</f>
        <v/>
      </c>
      <c r="E26" s="39">
        <f>IF($B26="","",SUMIFS(Investments!$G$6:$G$1005,Investments!$A$6:$A$1005,$B26))</f>
        <v/>
      </c>
      <c r="F26" s="39">
        <f>IF($B26="","",SUMIFS(Investments!$Q$6:$Q$1005,Investments!$A$6:$A$1005,$B26))</f>
        <v/>
      </c>
      <c r="G26" s="39">
        <f>IF($B26="","",SUMIFS(Investments!$I$6:$I$1005,Investments!$A$6:$A$1005,$B26)+SUMIFS(Investments!$J$6:$J$1005,Investments!$A$6:$A$1005,$B26)+SUMIFS(Investments!$K$6:$K$1005,Investments!$A$6:$A$1005,$B26))</f>
        <v/>
      </c>
      <c r="H26" s="39">
        <f>IF($B26="","",SUMIFS(Investments!$L$6:$L$1005,Investments!$A$6:$A$1005,$B26))</f>
        <v/>
      </c>
      <c r="I26" s="39">
        <f>IF($B26="","",($H26+$G26)-$F26)</f>
        <v/>
      </c>
      <c r="J26" s="31">
        <f>IF(OR($B26="",$F26=0),"",$I26/$F26)</f>
        <v/>
      </c>
      <c r="K26" s="31">
        <f>IF(OR($B26="",$H26=0),"",SUMPRODUCT((Investments!$A$6:$A$1005=$B26)*Investments!$L$6:$L$1005*Investments!$O$6:$O$1005)/$H26)</f>
        <v/>
      </c>
      <c r="L26" s="31">
        <f>IF(OR($B26="",$C$12=0),"",$H26/$C$12)</f>
        <v/>
      </c>
    </row>
    <row r="27">
      <c r="B27" s="22">
        <f>IF(Clients!$B12="","",Clients!$B12)</f>
        <v/>
      </c>
      <c r="C27" s="48">
        <f>IF($B27="","",COUNTIFS(Investments!$A$6:$A$1005,$B27))</f>
        <v/>
      </c>
      <c r="D27" s="49">
        <f>IF($B27="","",SUMIFS(Investments!$F$6:$F$1005,Investments!$A$6:$A$1005,$B27))</f>
        <v/>
      </c>
      <c r="E27" s="49">
        <f>IF($B27="","",SUMIFS(Investments!$G$6:$G$1005,Investments!$A$6:$A$1005,$B27))</f>
        <v/>
      </c>
      <c r="F27" s="49">
        <f>IF($B27="","",SUMIFS(Investments!$Q$6:$Q$1005,Investments!$A$6:$A$1005,$B27))</f>
        <v/>
      </c>
      <c r="G27" s="49">
        <f>IF($B27="","",SUMIFS(Investments!$I$6:$I$1005,Investments!$A$6:$A$1005,$B27)+SUMIFS(Investments!$J$6:$J$1005,Investments!$A$6:$A$1005,$B27)+SUMIFS(Investments!$K$6:$K$1005,Investments!$A$6:$A$1005,$B27))</f>
        <v/>
      </c>
      <c r="H27" s="49">
        <f>IF($B27="","",SUMIFS(Investments!$L$6:$L$1005,Investments!$A$6:$A$1005,$B27))</f>
        <v/>
      </c>
      <c r="I27" s="49">
        <f>IF($B27="","",($H27+$G27)-$F27)</f>
        <v/>
      </c>
      <c r="J27" s="26">
        <f>IF(OR($B27="",$F27=0),"",$I27/$F27)</f>
        <v/>
      </c>
      <c r="K27" s="26">
        <f>IF(OR($B27="",$H27=0),"",SUMPRODUCT((Investments!$A$6:$A$1005=$B27)*Investments!$L$6:$L$1005*Investments!$O$6:$O$1005)/$H27)</f>
        <v/>
      </c>
      <c r="L27" s="26">
        <f>IF(OR($B27="",$C$12=0),"",$H27/$C$12)</f>
        <v/>
      </c>
    </row>
    <row r="28">
      <c r="B28" s="27">
        <f>IF(Clients!$B13="","",Clients!$B13)</f>
        <v/>
      </c>
      <c r="C28" s="50">
        <f>IF($B28="","",COUNTIFS(Investments!$A$6:$A$1005,$B28))</f>
        <v/>
      </c>
      <c r="D28" s="39">
        <f>IF($B28="","",SUMIFS(Investments!$F$6:$F$1005,Investments!$A$6:$A$1005,$B28))</f>
        <v/>
      </c>
      <c r="E28" s="39">
        <f>IF($B28="","",SUMIFS(Investments!$G$6:$G$1005,Investments!$A$6:$A$1005,$B28))</f>
        <v/>
      </c>
      <c r="F28" s="39">
        <f>IF($B28="","",SUMIFS(Investments!$Q$6:$Q$1005,Investments!$A$6:$A$1005,$B28))</f>
        <v/>
      </c>
      <c r="G28" s="39">
        <f>IF($B28="","",SUMIFS(Investments!$I$6:$I$1005,Investments!$A$6:$A$1005,$B28)+SUMIFS(Investments!$J$6:$J$1005,Investments!$A$6:$A$1005,$B28)+SUMIFS(Investments!$K$6:$K$1005,Investments!$A$6:$A$1005,$B28))</f>
        <v/>
      </c>
      <c r="H28" s="39">
        <f>IF($B28="","",SUMIFS(Investments!$L$6:$L$1005,Investments!$A$6:$A$1005,$B28))</f>
        <v/>
      </c>
      <c r="I28" s="39">
        <f>IF($B28="","",($H28+$G28)-$F28)</f>
        <v/>
      </c>
      <c r="J28" s="31">
        <f>IF(OR($B28="",$F28=0),"",$I28/$F28)</f>
        <v/>
      </c>
      <c r="K28" s="31">
        <f>IF(OR($B28="",$H28=0),"",SUMPRODUCT((Investments!$A$6:$A$1005=$B28)*Investments!$L$6:$L$1005*Investments!$O$6:$O$1005)/$H28)</f>
        <v/>
      </c>
      <c r="L28" s="31">
        <f>IF(OR($B28="",$C$12=0),"",$H28/$C$12)</f>
        <v/>
      </c>
    </row>
    <row r="29">
      <c r="B29" s="22">
        <f>IF(Clients!$B14="","",Clients!$B14)</f>
        <v/>
      </c>
      <c r="C29" s="48">
        <f>IF($B29="","",COUNTIFS(Investments!$A$6:$A$1005,$B29))</f>
        <v/>
      </c>
      <c r="D29" s="49">
        <f>IF($B29="","",SUMIFS(Investments!$F$6:$F$1005,Investments!$A$6:$A$1005,$B29))</f>
        <v/>
      </c>
      <c r="E29" s="49">
        <f>IF($B29="","",SUMIFS(Investments!$G$6:$G$1005,Investments!$A$6:$A$1005,$B29))</f>
        <v/>
      </c>
      <c r="F29" s="49">
        <f>IF($B29="","",SUMIFS(Investments!$Q$6:$Q$1005,Investments!$A$6:$A$1005,$B29))</f>
        <v/>
      </c>
      <c r="G29" s="49">
        <f>IF($B29="","",SUMIFS(Investments!$I$6:$I$1005,Investments!$A$6:$A$1005,$B29)+SUMIFS(Investments!$J$6:$J$1005,Investments!$A$6:$A$1005,$B29)+SUMIFS(Investments!$K$6:$K$1005,Investments!$A$6:$A$1005,$B29))</f>
        <v/>
      </c>
      <c r="H29" s="49">
        <f>IF($B29="","",SUMIFS(Investments!$L$6:$L$1005,Investments!$A$6:$A$1005,$B29))</f>
        <v/>
      </c>
      <c r="I29" s="49">
        <f>IF($B29="","",($H29+$G29)-$F29)</f>
        <v/>
      </c>
      <c r="J29" s="26">
        <f>IF(OR($B29="",$F29=0),"",$I29/$F29)</f>
        <v/>
      </c>
      <c r="K29" s="26">
        <f>IF(OR($B29="",$H29=0),"",SUMPRODUCT((Investments!$A$6:$A$1005=$B29)*Investments!$L$6:$L$1005*Investments!$O$6:$O$1005)/$H29)</f>
        <v/>
      </c>
      <c r="L29" s="26">
        <f>IF(OR($B29="",$C$12=0),"",$H29/$C$12)</f>
        <v/>
      </c>
    </row>
    <row r="30">
      <c r="B30" s="27">
        <f>IF(Clients!$B15="","",Clients!$B15)</f>
        <v/>
      </c>
      <c r="C30" s="50">
        <f>IF($B30="","",COUNTIFS(Investments!$A$6:$A$1005,$B30))</f>
        <v/>
      </c>
      <c r="D30" s="39">
        <f>IF($B30="","",SUMIFS(Investments!$F$6:$F$1005,Investments!$A$6:$A$1005,$B30))</f>
        <v/>
      </c>
      <c r="E30" s="39">
        <f>IF($B30="","",SUMIFS(Investments!$G$6:$G$1005,Investments!$A$6:$A$1005,$B30))</f>
        <v/>
      </c>
      <c r="F30" s="39">
        <f>IF($B30="","",SUMIFS(Investments!$Q$6:$Q$1005,Investments!$A$6:$A$1005,$B30))</f>
        <v/>
      </c>
      <c r="G30" s="39">
        <f>IF($B30="","",SUMIFS(Investments!$I$6:$I$1005,Investments!$A$6:$A$1005,$B30)+SUMIFS(Investments!$J$6:$J$1005,Investments!$A$6:$A$1005,$B30)+SUMIFS(Investments!$K$6:$K$1005,Investments!$A$6:$A$1005,$B30))</f>
        <v/>
      </c>
      <c r="H30" s="39">
        <f>IF($B30="","",SUMIFS(Investments!$L$6:$L$1005,Investments!$A$6:$A$1005,$B30))</f>
        <v/>
      </c>
      <c r="I30" s="39">
        <f>IF($B30="","",($H30+$G30)-$F30)</f>
        <v/>
      </c>
      <c r="J30" s="31">
        <f>IF(OR($B30="",$F30=0),"",$I30/$F30)</f>
        <v/>
      </c>
      <c r="K30" s="31">
        <f>IF(OR($B30="",$H30=0),"",SUMPRODUCT((Investments!$A$6:$A$1005=$B30)*Investments!$L$6:$L$1005*Investments!$O$6:$O$1005)/$H30)</f>
        <v/>
      </c>
      <c r="L30" s="31">
        <f>IF(OR($B30="",$C$12=0),"",$H30/$C$12)</f>
        <v/>
      </c>
    </row>
    <row r="31">
      <c r="B31" s="22">
        <f>IF(Clients!$B16="","",Clients!$B16)</f>
        <v/>
      </c>
      <c r="C31" s="48">
        <f>IF($B31="","",COUNTIFS(Investments!$A$6:$A$1005,$B31))</f>
        <v/>
      </c>
      <c r="D31" s="49">
        <f>IF($B31="","",SUMIFS(Investments!$F$6:$F$1005,Investments!$A$6:$A$1005,$B31))</f>
        <v/>
      </c>
      <c r="E31" s="49">
        <f>IF($B31="","",SUMIFS(Investments!$G$6:$G$1005,Investments!$A$6:$A$1005,$B31))</f>
        <v/>
      </c>
      <c r="F31" s="49">
        <f>IF($B31="","",SUMIFS(Investments!$Q$6:$Q$1005,Investments!$A$6:$A$1005,$B31))</f>
        <v/>
      </c>
      <c r="G31" s="49">
        <f>IF($B31="","",SUMIFS(Investments!$I$6:$I$1005,Investments!$A$6:$A$1005,$B31)+SUMIFS(Investments!$J$6:$J$1005,Investments!$A$6:$A$1005,$B31)+SUMIFS(Investments!$K$6:$K$1005,Investments!$A$6:$A$1005,$B31))</f>
        <v/>
      </c>
      <c r="H31" s="49">
        <f>IF($B31="","",SUMIFS(Investments!$L$6:$L$1005,Investments!$A$6:$A$1005,$B31))</f>
        <v/>
      </c>
      <c r="I31" s="49">
        <f>IF($B31="","",($H31+$G31)-$F31)</f>
        <v/>
      </c>
      <c r="J31" s="26">
        <f>IF(OR($B31="",$F31=0),"",$I31/$F31)</f>
        <v/>
      </c>
      <c r="K31" s="26">
        <f>IF(OR($B31="",$H31=0),"",SUMPRODUCT((Investments!$A$6:$A$1005=$B31)*Investments!$L$6:$L$1005*Investments!$O$6:$O$1005)/$H31)</f>
        <v/>
      </c>
      <c r="L31" s="26">
        <f>IF(OR($B31="",$C$12=0),"",$H31/$C$12)</f>
        <v/>
      </c>
    </row>
    <row r="32">
      <c r="B32" s="27">
        <f>IF(Clients!$B17="","",Clients!$B17)</f>
        <v/>
      </c>
      <c r="C32" s="50">
        <f>IF($B32="","",COUNTIFS(Investments!$A$6:$A$1005,$B32))</f>
        <v/>
      </c>
      <c r="D32" s="39">
        <f>IF($B32="","",SUMIFS(Investments!$F$6:$F$1005,Investments!$A$6:$A$1005,$B32))</f>
        <v/>
      </c>
      <c r="E32" s="39">
        <f>IF($B32="","",SUMIFS(Investments!$G$6:$G$1005,Investments!$A$6:$A$1005,$B32))</f>
        <v/>
      </c>
      <c r="F32" s="39">
        <f>IF($B32="","",SUMIFS(Investments!$Q$6:$Q$1005,Investments!$A$6:$A$1005,$B32))</f>
        <v/>
      </c>
      <c r="G32" s="39">
        <f>IF($B32="","",SUMIFS(Investments!$I$6:$I$1005,Investments!$A$6:$A$1005,$B32)+SUMIFS(Investments!$J$6:$J$1005,Investments!$A$6:$A$1005,$B32)+SUMIFS(Investments!$K$6:$K$1005,Investments!$A$6:$A$1005,$B32))</f>
        <v/>
      </c>
      <c r="H32" s="39">
        <f>IF($B32="","",SUMIFS(Investments!$L$6:$L$1005,Investments!$A$6:$A$1005,$B32))</f>
        <v/>
      </c>
      <c r="I32" s="39">
        <f>IF($B32="","",($H32+$G32)-$F32)</f>
        <v/>
      </c>
      <c r="J32" s="31">
        <f>IF(OR($B32="",$F32=0),"",$I32/$F32)</f>
        <v/>
      </c>
      <c r="K32" s="31">
        <f>IF(OR($B32="",$H32=0),"",SUMPRODUCT((Investments!$A$6:$A$1005=$B32)*Investments!$L$6:$L$1005*Investments!$O$6:$O$1005)/$H32)</f>
        <v/>
      </c>
      <c r="L32" s="31">
        <f>IF(OR($B32="",$C$12=0),"",$H32/$C$12)</f>
        <v/>
      </c>
    </row>
    <row r="33">
      <c r="B33" s="22">
        <f>IF(Clients!$B18="","",Clients!$B18)</f>
        <v/>
      </c>
      <c r="C33" s="48">
        <f>IF($B33="","",COUNTIFS(Investments!$A$6:$A$1005,$B33))</f>
        <v/>
      </c>
      <c r="D33" s="49">
        <f>IF($B33="","",SUMIFS(Investments!$F$6:$F$1005,Investments!$A$6:$A$1005,$B33))</f>
        <v/>
      </c>
      <c r="E33" s="49">
        <f>IF($B33="","",SUMIFS(Investments!$G$6:$G$1005,Investments!$A$6:$A$1005,$B33))</f>
        <v/>
      </c>
      <c r="F33" s="49">
        <f>IF($B33="","",SUMIFS(Investments!$Q$6:$Q$1005,Investments!$A$6:$A$1005,$B33))</f>
        <v/>
      </c>
      <c r="G33" s="49">
        <f>IF($B33="","",SUMIFS(Investments!$I$6:$I$1005,Investments!$A$6:$A$1005,$B33)+SUMIFS(Investments!$J$6:$J$1005,Investments!$A$6:$A$1005,$B33)+SUMIFS(Investments!$K$6:$K$1005,Investments!$A$6:$A$1005,$B33))</f>
        <v/>
      </c>
      <c r="H33" s="49">
        <f>IF($B33="","",SUMIFS(Investments!$L$6:$L$1005,Investments!$A$6:$A$1005,$B33))</f>
        <v/>
      </c>
      <c r="I33" s="49">
        <f>IF($B33="","",($H33+$G33)-$F33)</f>
        <v/>
      </c>
      <c r="J33" s="26">
        <f>IF(OR($B33="",$F33=0),"",$I33/$F33)</f>
        <v/>
      </c>
      <c r="K33" s="26">
        <f>IF(OR($B33="",$H33=0),"",SUMPRODUCT((Investments!$A$6:$A$1005=$B33)*Investments!$L$6:$L$1005*Investments!$O$6:$O$1005)/$H33)</f>
        <v/>
      </c>
      <c r="L33" s="26">
        <f>IF(OR($B33="",$C$12=0),"",$H33/$C$12)</f>
        <v/>
      </c>
    </row>
    <row r="34">
      <c r="B34" s="27">
        <f>IF(Clients!$B19="","",Clients!$B19)</f>
        <v/>
      </c>
      <c r="C34" s="50">
        <f>IF($B34="","",COUNTIFS(Investments!$A$6:$A$1005,$B34))</f>
        <v/>
      </c>
      <c r="D34" s="39">
        <f>IF($B34="","",SUMIFS(Investments!$F$6:$F$1005,Investments!$A$6:$A$1005,$B34))</f>
        <v/>
      </c>
      <c r="E34" s="39">
        <f>IF($B34="","",SUMIFS(Investments!$G$6:$G$1005,Investments!$A$6:$A$1005,$B34))</f>
        <v/>
      </c>
      <c r="F34" s="39">
        <f>IF($B34="","",SUMIFS(Investments!$Q$6:$Q$1005,Investments!$A$6:$A$1005,$B34))</f>
        <v/>
      </c>
      <c r="G34" s="39">
        <f>IF($B34="","",SUMIFS(Investments!$I$6:$I$1005,Investments!$A$6:$A$1005,$B34)+SUMIFS(Investments!$J$6:$J$1005,Investments!$A$6:$A$1005,$B34)+SUMIFS(Investments!$K$6:$K$1005,Investments!$A$6:$A$1005,$B34))</f>
        <v/>
      </c>
      <c r="H34" s="39">
        <f>IF($B34="","",SUMIFS(Investments!$L$6:$L$1005,Investments!$A$6:$A$1005,$B34))</f>
        <v/>
      </c>
      <c r="I34" s="39">
        <f>IF($B34="","",($H34+$G34)-$F34)</f>
        <v/>
      </c>
      <c r="J34" s="31">
        <f>IF(OR($B34="",$F34=0),"",$I34/$F34)</f>
        <v/>
      </c>
      <c r="K34" s="31">
        <f>IF(OR($B34="",$H34=0),"",SUMPRODUCT((Investments!$A$6:$A$1005=$B34)*Investments!$L$6:$L$1005*Investments!$O$6:$O$1005)/$H34)</f>
        <v/>
      </c>
      <c r="L34" s="31">
        <f>IF(OR($B34="",$C$12=0),"",$H34/$C$12)</f>
        <v/>
      </c>
    </row>
    <row r="35">
      <c r="B35" s="22">
        <f>IF(Clients!$B20="","",Clients!$B20)</f>
        <v/>
      </c>
      <c r="C35" s="48">
        <f>IF($B35="","",COUNTIFS(Investments!$A$6:$A$1005,$B35))</f>
        <v/>
      </c>
      <c r="D35" s="49">
        <f>IF($B35="","",SUMIFS(Investments!$F$6:$F$1005,Investments!$A$6:$A$1005,$B35))</f>
        <v/>
      </c>
      <c r="E35" s="49">
        <f>IF($B35="","",SUMIFS(Investments!$G$6:$G$1005,Investments!$A$6:$A$1005,$B35))</f>
        <v/>
      </c>
      <c r="F35" s="49">
        <f>IF($B35="","",SUMIFS(Investments!$Q$6:$Q$1005,Investments!$A$6:$A$1005,$B35))</f>
        <v/>
      </c>
      <c r="G35" s="49">
        <f>IF($B35="","",SUMIFS(Investments!$I$6:$I$1005,Investments!$A$6:$A$1005,$B35)+SUMIFS(Investments!$J$6:$J$1005,Investments!$A$6:$A$1005,$B35)+SUMIFS(Investments!$K$6:$K$1005,Investments!$A$6:$A$1005,$B35))</f>
        <v/>
      </c>
      <c r="H35" s="49">
        <f>IF($B35="","",SUMIFS(Investments!$L$6:$L$1005,Investments!$A$6:$A$1005,$B35))</f>
        <v/>
      </c>
      <c r="I35" s="49">
        <f>IF($B35="","",($H35+$G35)-$F35)</f>
        <v/>
      </c>
      <c r="J35" s="26">
        <f>IF(OR($B35="",$F35=0),"",$I35/$F35)</f>
        <v/>
      </c>
      <c r="K35" s="26">
        <f>IF(OR($B35="",$H35=0),"",SUMPRODUCT((Investments!$A$6:$A$1005=$B35)*Investments!$L$6:$L$1005*Investments!$O$6:$O$1005)/$H35)</f>
        <v/>
      </c>
      <c r="L35" s="26">
        <f>IF(OR($B35="",$C$12=0),"",$H35/$C$12)</f>
        <v/>
      </c>
    </row>
    <row r="36">
      <c r="B36" s="27">
        <f>IF(Clients!$B21="","",Clients!$B21)</f>
        <v/>
      </c>
      <c r="C36" s="50">
        <f>IF($B36="","",COUNTIFS(Investments!$A$6:$A$1005,$B36))</f>
        <v/>
      </c>
      <c r="D36" s="39">
        <f>IF($B36="","",SUMIFS(Investments!$F$6:$F$1005,Investments!$A$6:$A$1005,$B36))</f>
        <v/>
      </c>
      <c r="E36" s="39">
        <f>IF($B36="","",SUMIFS(Investments!$G$6:$G$1005,Investments!$A$6:$A$1005,$B36))</f>
        <v/>
      </c>
      <c r="F36" s="39">
        <f>IF($B36="","",SUMIFS(Investments!$Q$6:$Q$1005,Investments!$A$6:$A$1005,$B36))</f>
        <v/>
      </c>
      <c r="G36" s="39">
        <f>IF($B36="","",SUMIFS(Investments!$I$6:$I$1005,Investments!$A$6:$A$1005,$B36)+SUMIFS(Investments!$J$6:$J$1005,Investments!$A$6:$A$1005,$B36)+SUMIFS(Investments!$K$6:$K$1005,Investments!$A$6:$A$1005,$B36))</f>
        <v/>
      </c>
      <c r="H36" s="39">
        <f>IF($B36="","",SUMIFS(Investments!$L$6:$L$1005,Investments!$A$6:$A$1005,$B36))</f>
        <v/>
      </c>
      <c r="I36" s="39">
        <f>IF($B36="","",($H36+$G36)-$F36)</f>
        <v/>
      </c>
      <c r="J36" s="31">
        <f>IF(OR($B36="",$F36=0),"",$I36/$F36)</f>
        <v/>
      </c>
      <c r="K36" s="31">
        <f>IF(OR($B36="",$H36=0),"",SUMPRODUCT((Investments!$A$6:$A$1005=$B36)*Investments!$L$6:$L$1005*Investments!$O$6:$O$1005)/$H36)</f>
        <v/>
      </c>
      <c r="L36" s="31">
        <f>IF(OR($B36="",$C$12=0),"",$H36/$C$12)</f>
        <v/>
      </c>
    </row>
    <row r="37">
      <c r="B37" s="22">
        <f>IF(Clients!$B22="","",Clients!$B22)</f>
        <v/>
      </c>
      <c r="C37" s="48">
        <f>IF($B37="","",COUNTIFS(Investments!$A$6:$A$1005,$B37))</f>
        <v/>
      </c>
      <c r="D37" s="49">
        <f>IF($B37="","",SUMIFS(Investments!$F$6:$F$1005,Investments!$A$6:$A$1005,$B37))</f>
        <v/>
      </c>
      <c r="E37" s="49">
        <f>IF($B37="","",SUMIFS(Investments!$G$6:$G$1005,Investments!$A$6:$A$1005,$B37))</f>
        <v/>
      </c>
      <c r="F37" s="49">
        <f>IF($B37="","",SUMIFS(Investments!$Q$6:$Q$1005,Investments!$A$6:$A$1005,$B37))</f>
        <v/>
      </c>
      <c r="G37" s="49">
        <f>IF($B37="","",SUMIFS(Investments!$I$6:$I$1005,Investments!$A$6:$A$1005,$B37)+SUMIFS(Investments!$J$6:$J$1005,Investments!$A$6:$A$1005,$B37)+SUMIFS(Investments!$K$6:$K$1005,Investments!$A$6:$A$1005,$B37))</f>
        <v/>
      </c>
      <c r="H37" s="49">
        <f>IF($B37="","",SUMIFS(Investments!$L$6:$L$1005,Investments!$A$6:$A$1005,$B37))</f>
        <v/>
      </c>
      <c r="I37" s="49">
        <f>IF($B37="","",($H37+$G37)-$F37)</f>
        <v/>
      </c>
      <c r="J37" s="26">
        <f>IF(OR($B37="",$F37=0),"",$I37/$F37)</f>
        <v/>
      </c>
      <c r="K37" s="26">
        <f>IF(OR($B37="",$H37=0),"",SUMPRODUCT((Investments!$A$6:$A$1005=$B37)*Investments!$L$6:$L$1005*Investments!$O$6:$O$1005)/$H37)</f>
        <v/>
      </c>
      <c r="L37" s="26">
        <f>IF(OR($B37="",$C$12=0),"",$H37/$C$12)</f>
        <v/>
      </c>
    </row>
    <row r="38">
      <c r="B38" s="27">
        <f>IF(Clients!$B23="","",Clients!$B23)</f>
        <v/>
      </c>
      <c r="C38" s="50">
        <f>IF($B38="","",COUNTIFS(Investments!$A$6:$A$1005,$B38))</f>
        <v/>
      </c>
      <c r="D38" s="39">
        <f>IF($B38="","",SUMIFS(Investments!$F$6:$F$1005,Investments!$A$6:$A$1005,$B38))</f>
        <v/>
      </c>
      <c r="E38" s="39">
        <f>IF($B38="","",SUMIFS(Investments!$G$6:$G$1005,Investments!$A$6:$A$1005,$B38))</f>
        <v/>
      </c>
      <c r="F38" s="39">
        <f>IF($B38="","",SUMIFS(Investments!$Q$6:$Q$1005,Investments!$A$6:$A$1005,$B38))</f>
        <v/>
      </c>
      <c r="G38" s="39">
        <f>IF($B38="","",SUMIFS(Investments!$I$6:$I$1005,Investments!$A$6:$A$1005,$B38)+SUMIFS(Investments!$J$6:$J$1005,Investments!$A$6:$A$1005,$B38)+SUMIFS(Investments!$K$6:$K$1005,Investments!$A$6:$A$1005,$B38))</f>
        <v/>
      </c>
      <c r="H38" s="39">
        <f>IF($B38="","",SUMIFS(Investments!$L$6:$L$1005,Investments!$A$6:$A$1005,$B38))</f>
        <v/>
      </c>
      <c r="I38" s="39">
        <f>IF($B38="","",($H38+$G38)-$F38)</f>
        <v/>
      </c>
      <c r="J38" s="31">
        <f>IF(OR($B38="",$F38=0),"",$I38/$F38)</f>
        <v/>
      </c>
      <c r="K38" s="31">
        <f>IF(OR($B38="",$H38=0),"",SUMPRODUCT((Investments!$A$6:$A$1005=$B38)*Investments!$L$6:$L$1005*Investments!$O$6:$O$1005)/$H38)</f>
        <v/>
      </c>
      <c r="L38" s="31">
        <f>IF(OR($B38="",$C$12=0),"",$H38/$C$12)</f>
        <v/>
      </c>
    </row>
    <row r="39">
      <c r="B39" s="22">
        <f>IF(Clients!$B24="","",Clients!$B24)</f>
        <v/>
      </c>
      <c r="C39" s="48">
        <f>IF($B39="","",COUNTIFS(Investments!$A$6:$A$1005,$B39))</f>
        <v/>
      </c>
      <c r="D39" s="49">
        <f>IF($B39="","",SUMIFS(Investments!$F$6:$F$1005,Investments!$A$6:$A$1005,$B39))</f>
        <v/>
      </c>
      <c r="E39" s="49">
        <f>IF($B39="","",SUMIFS(Investments!$G$6:$G$1005,Investments!$A$6:$A$1005,$B39))</f>
        <v/>
      </c>
      <c r="F39" s="49">
        <f>IF($B39="","",SUMIFS(Investments!$Q$6:$Q$1005,Investments!$A$6:$A$1005,$B39))</f>
        <v/>
      </c>
      <c r="G39" s="49">
        <f>IF($B39="","",SUMIFS(Investments!$I$6:$I$1005,Investments!$A$6:$A$1005,$B39)+SUMIFS(Investments!$J$6:$J$1005,Investments!$A$6:$A$1005,$B39)+SUMIFS(Investments!$K$6:$K$1005,Investments!$A$6:$A$1005,$B39))</f>
        <v/>
      </c>
      <c r="H39" s="49">
        <f>IF($B39="","",SUMIFS(Investments!$L$6:$L$1005,Investments!$A$6:$A$1005,$B39))</f>
        <v/>
      </c>
      <c r="I39" s="49">
        <f>IF($B39="","",($H39+$G39)-$F39)</f>
        <v/>
      </c>
      <c r="J39" s="26">
        <f>IF(OR($B39="",$F39=0),"",$I39/$F39)</f>
        <v/>
      </c>
      <c r="K39" s="26">
        <f>IF(OR($B39="",$H39=0),"",SUMPRODUCT((Investments!$A$6:$A$1005=$B39)*Investments!$L$6:$L$1005*Investments!$O$6:$O$1005)/$H39)</f>
        <v/>
      </c>
      <c r="L39" s="26">
        <f>IF(OR($B39="",$C$12=0),"",$H39/$C$12)</f>
        <v/>
      </c>
    </row>
    <row r="40">
      <c r="B40" s="27">
        <f>IF(Clients!$B25="","",Clients!$B25)</f>
        <v/>
      </c>
      <c r="C40" s="50">
        <f>IF($B40="","",COUNTIFS(Investments!$A$6:$A$1005,$B40))</f>
        <v/>
      </c>
      <c r="D40" s="39">
        <f>IF($B40="","",SUMIFS(Investments!$F$6:$F$1005,Investments!$A$6:$A$1005,$B40))</f>
        <v/>
      </c>
      <c r="E40" s="39">
        <f>IF($B40="","",SUMIFS(Investments!$G$6:$G$1005,Investments!$A$6:$A$1005,$B40))</f>
        <v/>
      </c>
      <c r="F40" s="39">
        <f>IF($B40="","",SUMIFS(Investments!$Q$6:$Q$1005,Investments!$A$6:$A$1005,$B40))</f>
        <v/>
      </c>
      <c r="G40" s="39">
        <f>IF($B40="","",SUMIFS(Investments!$I$6:$I$1005,Investments!$A$6:$A$1005,$B40)+SUMIFS(Investments!$J$6:$J$1005,Investments!$A$6:$A$1005,$B40)+SUMIFS(Investments!$K$6:$K$1005,Investments!$A$6:$A$1005,$B40))</f>
        <v/>
      </c>
      <c r="H40" s="39">
        <f>IF($B40="","",SUMIFS(Investments!$L$6:$L$1005,Investments!$A$6:$A$1005,$B40))</f>
        <v/>
      </c>
      <c r="I40" s="39">
        <f>IF($B40="","",($H40+$G40)-$F40)</f>
        <v/>
      </c>
      <c r="J40" s="31">
        <f>IF(OR($B40="",$F40=0),"",$I40/$F40)</f>
        <v/>
      </c>
      <c r="K40" s="31">
        <f>IF(OR($B40="",$H40=0),"",SUMPRODUCT((Investments!$A$6:$A$1005=$B40)*Investments!$L$6:$L$1005*Investments!$O$6:$O$1005)/$H40)</f>
        <v/>
      </c>
      <c r="L40" s="31">
        <f>IF(OR($B40="",$C$12=0),"",$H40/$C$12)</f>
        <v/>
      </c>
    </row>
    <row r="41">
      <c r="B41" s="22">
        <f>IF(Clients!$B26="","",Clients!$B26)</f>
        <v/>
      </c>
      <c r="C41" s="48">
        <f>IF($B41="","",COUNTIFS(Investments!$A$6:$A$1005,$B41))</f>
        <v/>
      </c>
      <c r="D41" s="49">
        <f>IF($B41="","",SUMIFS(Investments!$F$6:$F$1005,Investments!$A$6:$A$1005,$B41))</f>
        <v/>
      </c>
      <c r="E41" s="49">
        <f>IF($B41="","",SUMIFS(Investments!$G$6:$G$1005,Investments!$A$6:$A$1005,$B41))</f>
        <v/>
      </c>
      <c r="F41" s="49">
        <f>IF($B41="","",SUMIFS(Investments!$Q$6:$Q$1005,Investments!$A$6:$A$1005,$B41))</f>
        <v/>
      </c>
      <c r="G41" s="49">
        <f>IF($B41="","",SUMIFS(Investments!$I$6:$I$1005,Investments!$A$6:$A$1005,$B41)+SUMIFS(Investments!$J$6:$J$1005,Investments!$A$6:$A$1005,$B41)+SUMIFS(Investments!$K$6:$K$1005,Investments!$A$6:$A$1005,$B41))</f>
        <v/>
      </c>
      <c r="H41" s="49">
        <f>IF($B41="","",SUMIFS(Investments!$L$6:$L$1005,Investments!$A$6:$A$1005,$B41))</f>
        <v/>
      </c>
      <c r="I41" s="49">
        <f>IF($B41="","",($H41+$G41)-$F41)</f>
        <v/>
      </c>
      <c r="J41" s="26">
        <f>IF(OR($B41="",$F41=0),"",$I41/$F41)</f>
        <v/>
      </c>
      <c r="K41" s="26">
        <f>IF(OR($B41="",$H41=0),"",SUMPRODUCT((Investments!$A$6:$A$1005=$B41)*Investments!$L$6:$L$1005*Investments!$O$6:$O$1005)/$H41)</f>
        <v/>
      </c>
      <c r="L41" s="26">
        <f>IF(OR($B41="",$C$12=0),"",$H41/$C$12)</f>
        <v/>
      </c>
    </row>
    <row r="42">
      <c r="B42" s="27">
        <f>IF(Clients!$B27="","",Clients!$B27)</f>
        <v/>
      </c>
      <c r="C42" s="50">
        <f>IF($B42="","",COUNTIFS(Investments!$A$6:$A$1005,$B42))</f>
        <v/>
      </c>
      <c r="D42" s="39">
        <f>IF($B42="","",SUMIFS(Investments!$F$6:$F$1005,Investments!$A$6:$A$1005,$B42))</f>
        <v/>
      </c>
      <c r="E42" s="39">
        <f>IF($B42="","",SUMIFS(Investments!$G$6:$G$1005,Investments!$A$6:$A$1005,$B42))</f>
        <v/>
      </c>
      <c r="F42" s="39">
        <f>IF($B42="","",SUMIFS(Investments!$Q$6:$Q$1005,Investments!$A$6:$A$1005,$B42))</f>
        <v/>
      </c>
      <c r="G42" s="39">
        <f>IF($B42="","",SUMIFS(Investments!$I$6:$I$1005,Investments!$A$6:$A$1005,$B42)+SUMIFS(Investments!$J$6:$J$1005,Investments!$A$6:$A$1005,$B42)+SUMIFS(Investments!$K$6:$K$1005,Investments!$A$6:$A$1005,$B42))</f>
        <v/>
      </c>
      <c r="H42" s="39">
        <f>IF($B42="","",SUMIFS(Investments!$L$6:$L$1005,Investments!$A$6:$A$1005,$B42))</f>
        <v/>
      </c>
      <c r="I42" s="39">
        <f>IF($B42="","",($H42+$G42)-$F42)</f>
        <v/>
      </c>
      <c r="J42" s="31">
        <f>IF(OR($B42="",$F42=0),"",$I42/$F42)</f>
        <v/>
      </c>
      <c r="K42" s="31">
        <f>IF(OR($B42="",$H42=0),"",SUMPRODUCT((Investments!$A$6:$A$1005=$B42)*Investments!$L$6:$L$1005*Investments!$O$6:$O$1005)/$H42)</f>
        <v/>
      </c>
      <c r="L42" s="31">
        <f>IF(OR($B42="",$C$12=0),"",$H42/$C$12)</f>
        <v/>
      </c>
    </row>
    <row r="43">
      <c r="B43" s="22">
        <f>IF(Clients!$B28="","",Clients!$B28)</f>
        <v/>
      </c>
      <c r="C43" s="48">
        <f>IF($B43="","",COUNTIFS(Investments!$A$6:$A$1005,$B43))</f>
        <v/>
      </c>
      <c r="D43" s="49">
        <f>IF($B43="","",SUMIFS(Investments!$F$6:$F$1005,Investments!$A$6:$A$1005,$B43))</f>
        <v/>
      </c>
      <c r="E43" s="49">
        <f>IF($B43="","",SUMIFS(Investments!$G$6:$G$1005,Investments!$A$6:$A$1005,$B43))</f>
        <v/>
      </c>
      <c r="F43" s="49">
        <f>IF($B43="","",SUMIFS(Investments!$Q$6:$Q$1005,Investments!$A$6:$A$1005,$B43))</f>
        <v/>
      </c>
      <c r="G43" s="49">
        <f>IF($B43="","",SUMIFS(Investments!$I$6:$I$1005,Investments!$A$6:$A$1005,$B43)+SUMIFS(Investments!$J$6:$J$1005,Investments!$A$6:$A$1005,$B43)+SUMIFS(Investments!$K$6:$K$1005,Investments!$A$6:$A$1005,$B43))</f>
        <v/>
      </c>
      <c r="H43" s="49">
        <f>IF($B43="","",SUMIFS(Investments!$L$6:$L$1005,Investments!$A$6:$A$1005,$B43))</f>
        <v/>
      </c>
      <c r="I43" s="49">
        <f>IF($B43="","",($H43+$G43)-$F43)</f>
        <v/>
      </c>
      <c r="J43" s="26">
        <f>IF(OR($B43="",$F43=0),"",$I43/$F43)</f>
        <v/>
      </c>
      <c r="K43" s="26">
        <f>IF(OR($B43="",$H43=0),"",SUMPRODUCT((Investments!$A$6:$A$1005=$B43)*Investments!$L$6:$L$1005*Investments!$O$6:$O$1005)/$H43)</f>
        <v/>
      </c>
      <c r="L43" s="26">
        <f>IF(OR($B43="",$C$12=0),"",$H43/$C$12)</f>
        <v/>
      </c>
    </row>
    <row r="44">
      <c r="B44" s="27">
        <f>IF(Clients!$B29="","",Clients!$B29)</f>
        <v/>
      </c>
      <c r="C44" s="50">
        <f>IF($B44="","",COUNTIFS(Investments!$A$6:$A$1005,$B44))</f>
        <v/>
      </c>
      <c r="D44" s="39">
        <f>IF($B44="","",SUMIFS(Investments!$F$6:$F$1005,Investments!$A$6:$A$1005,$B44))</f>
        <v/>
      </c>
      <c r="E44" s="39">
        <f>IF($B44="","",SUMIFS(Investments!$G$6:$G$1005,Investments!$A$6:$A$1005,$B44))</f>
        <v/>
      </c>
      <c r="F44" s="39">
        <f>IF($B44="","",SUMIFS(Investments!$Q$6:$Q$1005,Investments!$A$6:$A$1005,$B44))</f>
        <v/>
      </c>
      <c r="G44" s="39">
        <f>IF($B44="","",SUMIFS(Investments!$I$6:$I$1005,Investments!$A$6:$A$1005,$B44)+SUMIFS(Investments!$J$6:$J$1005,Investments!$A$6:$A$1005,$B44)+SUMIFS(Investments!$K$6:$K$1005,Investments!$A$6:$A$1005,$B44))</f>
        <v/>
      </c>
      <c r="H44" s="39">
        <f>IF($B44="","",SUMIFS(Investments!$L$6:$L$1005,Investments!$A$6:$A$1005,$B44))</f>
        <v/>
      </c>
      <c r="I44" s="39">
        <f>IF($B44="","",($H44+$G44)-$F44)</f>
        <v/>
      </c>
      <c r="J44" s="31">
        <f>IF(OR($B44="",$F44=0),"",$I44/$F44)</f>
        <v/>
      </c>
      <c r="K44" s="31">
        <f>IF(OR($B44="",$H44=0),"",SUMPRODUCT((Investments!$A$6:$A$1005=$B44)*Investments!$L$6:$L$1005*Investments!$O$6:$O$1005)/$H44)</f>
        <v/>
      </c>
      <c r="L44" s="31">
        <f>IF(OR($B44="",$C$12=0),"",$H44/$C$12)</f>
        <v/>
      </c>
    </row>
    <row r="45">
      <c r="B45" s="22">
        <f>IF(Clients!$B30="","",Clients!$B30)</f>
        <v/>
      </c>
      <c r="C45" s="48">
        <f>IF($B45="","",COUNTIFS(Investments!$A$6:$A$1005,$B45))</f>
        <v/>
      </c>
      <c r="D45" s="49">
        <f>IF($B45="","",SUMIFS(Investments!$F$6:$F$1005,Investments!$A$6:$A$1005,$B45))</f>
        <v/>
      </c>
      <c r="E45" s="49">
        <f>IF($B45="","",SUMIFS(Investments!$G$6:$G$1005,Investments!$A$6:$A$1005,$B45))</f>
        <v/>
      </c>
      <c r="F45" s="49">
        <f>IF($B45="","",SUMIFS(Investments!$Q$6:$Q$1005,Investments!$A$6:$A$1005,$B45))</f>
        <v/>
      </c>
      <c r="G45" s="49">
        <f>IF($B45="","",SUMIFS(Investments!$I$6:$I$1005,Investments!$A$6:$A$1005,$B45)+SUMIFS(Investments!$J$6:$J$1005,Investments!$A$6:$A$1005,$B45)+SUMIFS(Investments!$K$6:$K$1005,Investments!$A$6:$A$1005,$B45))</f>
        <v/>
      </c>
      <c r="H45" s="49">
        <f>IF($B45="","",SUMIFS(Investments!$L$6:$L$1005,Investments!$A$6:$A$1005,$B45))</f>
        <v/>
      </c>
      <c r="I45" s="49">
        <f>IF($B45="","",($H45+$G45)-$F45)</f>
        <v/>
      </c>
      <c r="J45" s="26">
        <f>IF(OR($B45="",$F45=0),"",$I45/$F45)</f>
        <v/>
      </c>
      <c r="K45" s="26">
        <f>IF(OR($B45="",$H45=0),"",SUMPRODUCT((Investments!$A$6:$A$1005=$B45)*Investments!$L$6:$L$1005*Investments!$O$6:$O$1005)/$H45)</f>
        <v/>
      </c>
      <c r="L45" s="26">
        <f>IF(OR($B45="",$C$12=0),"",$H45/$C$12)</f>
        <v/>
      </c>
    </row>
    <row r="46">
      <c r="B46" s="27">
        <f>IF(Clients!$B31="","",Clients!$B31)</f>
        <v/>
      </c>
      <c r="C46" s="50">
        <f>IF($B46="","",COUNTIFS(Investments!$A$6:$A$1005,$B46))</f>
        <v/>
      </c>
      <c r="D46" s="39">
        <f>IF($B46="","",SUMIFS(Investments!$F$6:$F$1005,Investments!$A$6:$A$1005,$B46))</f>
        <v/>
      </c>
      <c r="E46" s="39">
        <f>IF($B46="","",SUMIFS(Investments!$G$6:$G$1005,Investments!$A$6:$A$1005,$B46))</f>
        <v/>
      </c>
      <c r="F46" s="39">
        <f>IF($B46="","",SUMIFS(Investments!$Q$6:$Q$1005,Investments!$A$6:$A$1005,$B46))</f>
        <v/>
      </c>
      <c r="G46" s="39">
        <f>IF($B46="","",SUMIFS(Investments!$I$6:$I$1005,Investments!$A$6:$A$1005,$B46)+SUMIFS(Investments!$J$6:$J$1005,Investments!$A$6:$A$1005,$B46)+SUMIFS(Investments!$K$6:$K$1005,Investments!$A$6:$A$1005,$B46))</f>
        <v/>
      </c>
      <c r="H46" s="39">
        <f>IF($B46="","",SUMIFS(Investments!$L$6:$L$1005,Investments!$A$6:$A$1005,$B46))</f>
        <v/>
      </c>
      <c r="I46" s="39">
        <f>IF($B46="","",($H46+$G46)-$F46)</f>
        <v/>
      </c>
      <c r="J46" s="31">
        <f>IF(OR($B46="",$F46=0),"",$I46/$F46)</f>
        <v/>
      </c>
      <c r="K46" s="31">
        <f>IF(OR($B46="",$H46=0),"",SUMPRODUCT((Investments!$A$6:$A$1005=$B46)*Investments!$L$6:$L$1005*Investments!$O$6:$O$1005)/$H46)</f>
        <v/>
      </c>
      <c r="L46" s="31">
        <f>IF(OR($B46="",$C$12=0),"",$H46/$C$12)</f>
        <v/>
      </c>
    </row>
    <row r="47">
      <c r="B47" s="22">
        <f>IF(Clients!$B32="","",Clients!$B32)</f>
        <v/>
      </c>
      <c r="C47" s="48">
        <f>IF($B47="","",COUNTIFS(Investments!$A$6:$A$1005,$B47))</f>
        <v/>
      </c>
      <c r="D47" s="49">
        <f>IF($B47="","",SUMIFS(Investments!$F$6:$F$1005,Investments!$A$6:$A$1005,$B47))</f>
        <v/>
      </c>
      <c r="E47" s="49">
        <f>IF($B47="","",SUMIFS(Investments!$G$6:$G$1005,Investments!$A$6:$A$1005,$B47))</f>
        <v/>
      </c>
      <c r="F47" s="49">
        <f>IF($B47="","",SUMIFS(Investments!$Q$6:$Q$1005,Investments!$A$6:$A$1005,$B47))</f>
        <v/>
      </c>
      <c r="G47" s="49">
        <f>IF($B47="","",SUMIFS(Investments!$I$6:$I$1005,Investments!$A$6:$A$1005,$B47)+SUMIFS(Investments!$J$6:$J$1005,Investments!$A$6:$A$1005,$B47)+SUMIFS(Investments!$K$6:$K$1005,Investments!$A$6:$A$1005,$B47))</f>
        <v/>
      </c>
      <c r="H47" s="49">
        <f>IF($B47="","",SUMIFS(Investments!$L$6:$L$1005,Investments!$A$6:$A$1005,$B47))</f>
        <v/>
      </c>
      <c r="I47" s="49">
        <f>IF($B47="","",($H47+$G47)-$F47)</f>
        <v/>
      </c>
      <c r="J47" s="26">
        <f>IF(OR($B47="",$F47=0),"",$I47/$F47)</f>
        <v/>
      </c>
      <c r="K47" s="26">
        <f>IF(OR($B47="",$H47=0),"",SUMPRODUCT((Investments!$A$6:$A$1005=$B47)*Investments!$L$6:$L$1005*Investments!$O$6:$O$1005)/$H47)</f>
        <v/>
      </c>
      <c r="L47" s="26">
        <f>IF(OR($B47="",$C$12=0),"",$H47/$C$12)</f>
        <v/>
      </c>
    </row>
    <row r="48">
      <c r="B48" s="27">
        <f>IF(Clients!$B33="","",Clients!$B33)</f>
        <v/>
      </c>
      <c r="C48" s="50">
        <f>IF($B48="","",COUNTIFS(Investments!$A$6:$A$1005,$B48))</f>
        <v/>
      </c>
      <c r="D48" s="39">
        <f>IF($B48="","",SUMIFS(Investments!$F$6:$F$1005,Investments!$A$6:$A$1005,$B48))</f>
        <v/>
      </c>
      <c r="E48" s="39">
        <f>IF($B48="","",SUMIFS(Investments!$G$6:$G$1005,Investments!$A$6:$A$1005,$B48))</f>
        <v/>
      </c>
      <c r="F48" s="39">
        <f>IF($B48="","",SUMIFS(Investments!$Q$6:$Q$1005,Investments!$A$6:$A$1005,$B48))</f>
        <v/>
      </c>
      <c r="G48" s="39">
        <f>IF($B48="","",SUMIFS(Investments!$I$6:$I$1005,Investments!$A$6:$A$1005,$B48)+SUMIFS(Investments!$J$6:$J$1005,Investments!$A$6:$A$1005,$B48)+SUMIFS(Investments!$K$6:$K$1005,Investments!$A$6:$A$1005,$B48))</f>
        <v/>
      </c>
      <c r="H48" s="39">
        <f>IF($B48="","",SUMIFS(Investments!$L$6:$L$1005,Investments!$A$6:$A$1005,$B48))</f>
        <v/>
      </c>
      <c r="I48" s="39">
        <f>IF($B48="","",($H48+$G48)-$F48)</f>
        <v/>
      </c>
      <c r="J48" s="31">
        <f>IF(OR($B48="",$F48=0),"",$I48/$F48)</f>
        <v/>
      </c>
      <c r="K48" s="31">
        <f>IF(OR($B48="",$H48=0),"",SUMPRODUCT((Investments!$A$6:$A$1005=$B48)*Investments!$L$6:$L$1005*Investments!$O$6:$O$1005)/$H48)</f>
        <v/>
      </c>
      <c r="L48" s="31">
        <f>IF(OR($B48="",$C$12=0),"",$H48/$C$12)</f>
        <v/>
      </c>
    </row>
    <row r="49">
      <c r="B49" s="22">
        <f>IF(Clients!$B34="","",Clients!$B34)</f>
        <v/>
      </c>
      <c r="C49" s="48">
        <f>IF($B49="","",COUNTIFS(Investments!$A$6:$A$1005,$B49))</f>
        <v/>
      </c>
      <c r="D49" s="49">
        <f>IF($B49="","",SUMIFS(Investments!$F$6:$F$1005,Investments!$A$6:$A$1005,$B49))</f>
        <v/>
      </c>
      <c r="E49" s="49">
        <f>IF($B49="","",SUMIFS(Investments!$G$6:$G$1005,Investments!$A$6:$A$1005,$B49))</f>
        <v/>
      </c>
      <c r="F49" s="49">
        <f>IF($B49="","",SUMIFS(Investments!$Q$6:$Q$1005,Investments!$A$6:$A$1005,$B49))</f>
        <v/>
      </c>
      <c r="G49" s="49">
        <f>IF($B49="","",SUMIFS(Investments!$I$6:$I$1005,Investments!$A$6:$A$1005,$B49)+SUMIFS(Investments!$J$6:$J$1005,Investments!$A$6:$A$1005,$B49)+SUMIFS(Investments!$K$6:$K$1005,Investments!$A$6:$A$1005,$B49))</f>
        <v/>
      </c>
      <c r="H49" s="49">
        <f>IF($B49="","",SUMIFS(Investments!$L$6:$L$1005,Investments!$A$6:$A$1005,$B49))</f>
        <v/>
      </c>
      <c r="I49" s="49">
        <f>IF($B49="","",($H49+$G49)-$F49)</f>
        <v/>
      </c>
      <c r="J49" s="26">
        <f>IF(OR($B49="",$F49=0),"",$I49/$F49)</f>
        <v/>
      </c>
      <c r="K49" s="26">
        <f>IF(OR($B49="",$H49=0),"",SUMPRODUCT((Investments!$A$6:$A$1005=$B49)*Investments!$L$6:$L$1005*Investments!$O$6:$O$1005)/$H49)</f>
        <v/>
      </c>
      <c r="L49" s="26">
        <f>IF(OR($B49="",$C$12=0),"",$H49/$C$12)</f>
        <v/>
      </c>
    </row>
    <row r="50">
      <c r="B50" s="27">
        <f>IF(Clients!$B35="","",Clients!$B35)</f>
        <v/>
      </c>
      <c r="C50" s="50">
        <f>IF($B50="","",COUNTIFS(Investments!$A$6:$A$1005,$B50))</f>
        <v/>
      </c>
      <c r="D50" s="39">
        <f>IF($B50="","",SUMIFS(Investments!$F$6:$F$1005,Investments!$A$6:$A$1005,$B50))</f>
        <v/>
      </c>
      <c r="E50" s="39">
        <f>IF($B50="","",SUMIFS(Investments!$G$6:$G$1005,Investments!$A$6:$A$1005,$B50))</f>
        <v/>
      </c>
      <c r="F50" s="39">
        <f>IF($B50="","",SUMIFS(Investments!$Q$6:$Q$1005,Investments!$A$6:$A$1005,$B50))</f>
        <v/>
      </c>
      <c r="G50" s="39">
        <f>IF($B50="","",SUMIFS(Investments!$I$6:$I$1005,Investments!$A$6:$A$1005,$B50)+SUMIFS(Investments!$J$6:$J$1005,Investments!$A$6:$A$1005,$B50)+SUMIFS(Investments!$K$6:$K$1005,Investments!$A$6:$A$1005,$B50))</f>
        <v/>
      </c>
      <c r="H50" s="39">
        <f>IF($B50="","",SUMIFS(Investments!$L$6:$L$1005,Investments!$A$6:$A$1005,$B50))</f>
        <v/>
      </c>
      <c r="I50" s="39">
        <f>IF($B50="","",($H50+$G50)-$F50)</f>
        <v/>
      </c>
      <c r="J50" s="31">
        <f>IF(OR($B50="",$F50=0),"",$I50/$F50)</f>
        <v/>
      </c>
      <c r="K50" s="31">
        <f>IF(OR($B50="",$H50=0),"",SUMPRODUCT((Investments!$A$6:$A$1005=$B50)*Investments!$L$6:$L$1005*Investments!$O$6:$O$1005)/$H50)</f>
        <v/>
      </c>
      <c r="L50" s="31">
        <f>IF(OR($B50="",$C$12=0),"",$H50/$C$12)</f>
        <v/>
      </c>
    </row>
    <row r="51">
      <c r="B51" s="22">
        <f>IF(Clients!$B36="","",Clients!$B36)</f>
        <v/>
      </c>
      <c r="C51" s="48">
        <f>IF($B51="","",COUNTIFS(Investments!$A$6:$A$1005,$B51))</f>
        <v/>
      </c>
      <c r="D51" s="49">
        <f>IF($B51="","",SUMIFS(Investments!$F$6:$F$1005,Investments!$A$6:$A$1005,$B51))</f>
        <v/>
      </c>
      <c r="E51" s="49">
        <f>IF($B51="","",SUMIFS(Investments!$G$6:$G$1005,Investments!$A$6:$A$1005,$B51))</f>
        <v/>
      </c>
      <c r="F51" s="49">
        <f>IF($B51="","",SUMIFS(Investments!$Q$6:$Q$1005,Investments!$A$6:$A$1005,$B51))</f>
        <v/>
      </c>
      <c r="G51" s="49">
        <f>IF($B51="","",SUMIFS(Investments!$I$6:$I$1005,Investments!$A$6:$A$1005,$B51)+SUMIFS(Investments!$J$6:$J$1005,Investments!$A$6:$A$1005,$B51)+SUMIFS(Investments!$K$6:$K$1005,Investments!$A$6:$A$1005,$B51))</f>
        <v/>
      </c>
      <c r="H51" s="49">
        <f>IF($B51="","",SUMIFS(Investments!$L$6:$L$1005,Investments!$A$6:$A$1005,$B51))</f>
        <v/>
      </c>
      <c r="I51" s="49">
        <f>IF($B51="","",($H51+$G51)-$F51)</f>
        <v/>
      </c>
      <c r="J51" s="26">
        <f>IF(OR($B51="",$F51=0),"",$I51/$F51)</f>
        <v/>
      </c>
      <c r="K51" s="26">
        <f>IF(OR($B51="",$H51=0),"",SUMPRODUCT((Investments!$A$6:$A$1005=$B51)*Investments!$L$6:$L$1005*Investments!$O$6:$O$1005)/$H51)</f>
        <v/>
      </c>
      <c r="L51" s="26">
        <f>IF(OR($B51="",$C$12=0),"",$H51/$C$12)</f>
        <v/>
      </c>
    </row>
    <row r="52">
      <c r="B52" s="27">
        <f>IF(Clients!$B37="","",Clients!$B37)</f>
        <v/>
      </c>
      <c r="C52" s="50">
        <f>IF($B52="","",COUNTIFS(Investments!$A$6:$A$1005,$B52))</f>
        <v/>
      </c>
      <c r="D52" s="39">
        <f>IF($B52="","",SUMIFS(Investments!$F$6:$F$1005,Investments!$A$6:$A$1005,$B52))</f>
        <v/>
      </c>
      <c r="E52" s="39">
        <f>IF($B52="","",SUMIFS(Investments!$G$6:$G$1005,Investments!$A$6:$A$1005,$B52))</f>
        <v/>
      </c>
      <c r="F52" s="39">
        <f>IF($B52="","",SUMIFS(Investments!$Q$6:$Q$1005,Investments!$A$6:$A$1005,$B52))</f>
        <v/>
      </c>
      <c r="G52" s="39">
        <f>IF($B52="","",SUMIFS(Investments!$I$6:$I$1005,Investments!$A$6:$A$1005,$B52)+SUMIFS(Investments!$J$6:$J$1005,Investments!$A$6:$A$1005,$B52)+SUMIFS(Investments!$K$6:$K$1005,Investments!$A$6:$A$1005,$B52))</f>
        <v/>
      </c>
      <c r="H52" s="39">
        <f>IF($B52="","",SUMIFS(Investments!$L$6:$L$1005,Investments!$A$6:$A$1005,$B52))</f>
        <v/>
      </c>
      <c r="I52" s="39">
        <f>IF($B52="","",($H52+$G52)-$F52)</f>
        <v/>
      </c>
      <c r="J52" s="31">
        <f>IF(OR($B52="",$F52=0),"",$I52/$F52)</f>
        <v/>
      </c>
      <c r="K52" s="31">
        <f>IF(OR($B52="",$H52=0),"",SUMPRODUCT((Investments!$A$6:$A$1005=$B52)*Investments!$L$6:$L$1005*Investments!$O$6:$O$1005)/$H52)</f>
        <v/>
      </c>
      <c r="L52" s="31">
        <f>IF(OR($B52="",$C$12=0),"",$H52/$C$12)</f>
        <v/>
      </c>
    </row>
    <row r="53">
      <c r="B53" s="22">
        <f>IF(Clients!$B38="","",Clients!$B38)</f>
        <v/>
      </c>
      <c r="C53" s="48">
        <f>IF($B53="","",COUNTIFS(Investments!$A$6:$A$1005,$B53))</f>
        <v/>
      </c>
      <c r="D53" s="49">
        <f>IF($B53="","",SUMIFS(Investments!$F$6:$F$1005,Investments!$A$6:$A$1005,$B53))</f>
        <v/>
      </c>
      <c r="E53" s="49">
        <f>IF($B53="","",SUMIFS(Investments!$G$6:$G$1005,Investments!$A$6:$A$1005,$B53))</f>
        <v/>
      </c>
      <c r="F53" s="49">
        <f>IF($B53="","",SUMIFS(Investments!$Q$6:$Q$1005,Investments!$A$6:$A$1005,$B53))</f>
        <v/>
      </c>
      <c r="G53" s="49">
        <f>IF($B53="","",SUMIFS(Investments!$I$6:$I$1005,Investments!$A$6:$A$1005,$B53)+SUMIFS(Investments!$J$6:$J$1005,Investments!$A$6:$A$1005,$B53)+SUMIFS(Investments!$K$6:$K$1005,Investments!$A$6:$A$1005,$B53))</f>
        <v/>
      </c>
      <c r="H53" s="49">
        <f>IF($B53="","",SUMIFS(Investments!$L$6:$L$1005,Investments!$A$6:$A$1005,$B53))</f>
        <v/>
      </c>
      <c r="I53" s="49">
        <f>IF($B53="","",($H53+$G53)-$F53)</f>
        <v/>
      </c>
      <c r="J53" s="26">
        <f>IF(OR($B53="",$F53=0),"",$I53/$F53)</f>
        <v/>
      </c>
      <c r="K53" s="26">
        <f>IF(OR($B53="",$H53=0),"",SUMPRODUCT((Investments!$A$6:$A$1005=$B53)*Investments!$L$6:$L$1005*Investments!$O$6:$O$1005)/$H53)</f>
        <v/>
      </c>
      <c r="L53" s="26">
        <f>IF(OR($B53="",$C$12=0),"",$H53/$C$12)</f>
        <v/>
      </c>
    </row>
    <row r="54">
      <c r="B54" s="27">
        <f>IF(Clients!$B39="","",Clients!$B39)</f>
        <v/>
      </c>
      <c r="C54" s="50">
        <f>IF($B54="","",COUNTIFS(Investments!$A$6:$A$1005,$B54))</f>
        <v/>
      </c>
      <c r="D54" s="39">
        <f>IF($B54="","",SUMIFS(Investments!$F$6:$F$1005,Investments!$A$6:$A$1005,$B54))</f>
        <v/>
      </c>
      <c r="E54" s="39">
        <f>IF($B54="","",SUMIFS(Investments!$G$6:$G$1005,Investments!$A$6:$A$1005,$B54))</f>
        <v/>
      </c>
      <c r="F54" s="39">
        <f>IF($B54="","",SUMIFS(Investments!$Q$6:$Q$1005,Investments!$A$6:$A$1005,$B54))</f>
        <v/>
      </c>
      <c r="G54" s="39">
        <f>IF($B54="","",SUMIFS(Investments!$I$6:$I$1005,Investments!$A$6:$A$1005,$B54)+SUMIFS(Investments!$J$6:$J$1005,Investments!$A$6:$A$1005,$B54)+SUMIFS(Investments!$K$6:$K$1005,Investments!$A$6:$A$1005,$B54))</f>
        <v/>
      </c>
      <c r="H54" s="39">
        <f>IF($B54="","",SUMIFS(Investments!$L$6:$L$1005,Investments!$A$6:$A$1005,$B54))</f>
        <v/>
      </c>
      <c r="I54" s="39">
        <f>IF($B54="","",($H54+$G54)-$F54)</f>
        <v/>
      </c>
      <c r="J54" s="31">
        <f>IF(OR($B54="",$F54=0),"",$I54/$F54)</f>
        <v/>
      </c>
      <c r="K54" s="31">
        <f>IF(OR($B54="",$H54=0),"",SUMPRODUCT((Investments!$A$6:$A$1005=$B54)*Investments!$L$6:$L$1005*Investments!$O$6:$O$1005)/$H54)</f>
        <v/>
      </c>
      <c r="L54" s="31">
        <f>IF(OR($B54="",$C$12=0),"",$H54/$C$12)</f>
        <v/>
      </c>
    </row>
    <row r="55">
      <c r="B55" s="22">
        <f>IF(Clients!$B40="","",Clients!$B40)</f>
        <v/>
      </c>
      <c r="C55" s="48">
        <f>IF($B55="","",COUNTIFS(Investments!$A$6:$A$1005,$B55))</f>
        <v/>
      </c>
      <c r="D55" s="49">
        <f>IF($B55="","",SUMIFS(Investments!$F$6:$F$1005,Investments!$A$6:$A$1005,$B55))</f>
        <v/>
      </c>
      <c r="E55" s="49">
        <f>IF($B55="","",SUMIFS(Investments!$G$6:$G$1005,Investments!$A$6:$A$1005,$B55))</f>
        <v/>
      </c>
      <c r="F55" s="49">
        <f>IF($B55="","",SUMIFS(Investments!$Q$6:$Q$1005,Investments!$A$6:$A$1005,$B55))</f>
        <v/>
      </c>
      <c r="G55" s="49">
        <f>IF($B55="","",SUMIFS(Investments!$I$6:$I$1005,Investments!$A$6:$A$1005,$B55)+SUMIFS(Investments!$J$6:$J$1005,Investments!$A$6:$A$1005,$B55)+SUMIFS(Investments!$K$6:$K$1005,Investments!$A$6:$A$1005,$B55))</f>
        <v/>
      </c>
      <c r="H55" s="49">
        <f>IF($B55="","",SUMIFS(Investments!$L$6:$L$1005,Investments!$A$6:$A$1005,$B55))</f>
        <v/>
      </c>
      <c r="I55" s="49">
        <f>IF($B55="","",($H55+$G55)-$F55)</f>
        <v/>
      </c>
      <c r="J55" s="26">
        <f>IF(OR($B55="",$F55=0),"",$I55/$F55)</f>
        <v/>
      </c>
      <c r="K55" s="26">
        <f>IF(OR($B55="",$H55=0),"",SUMPRODUCT((Investments!$A$6:$A$1005=$B55)*Investments!$L$6:$L$1005*Investments!$O$6:$O$1005)/$H55)</f>
        <v/>
      </c>
      <c r="L55" s="26">
        <f>IF(OR($B55="",$C$12=0),"",$H55/$C$12)</f>
        <v/>
      </c>
    </row>
    <row r="56">
      <c r="B56" s="27">
        <f>IF(Clients!$B41="","",Clients!$B41)</f>
        <v/>
      </c>
      <c r="C56" s="50">
        <f>IF($B56="","",COUNTIFS(Investments!$A$6:$A$1005,$B56))</f>
        <v/>
      </c>
      <c r="D56" s="39">
        <f>IF($B56="","",SUMIFS(Investments!$F$6:$F$1005,Investments!$A$6:$A$1005,$B56))</f>
        <v/>
      </c>
      <c r="E56" s="39">
        <f>IF($B56="","",SUMIFS(Investments!$G$6:$G$1005,Investments!$A$6:$A$1005,$B56))</f>
        <v/>
      </c>
      <c r="F56" s="39">
        <f>IF($B56="","",SUMIFS(Investments!$Q$6:$Q$1005,Investments!$A$6:$A$1005,$B56))</f>
        <v/>
      </c>
      <c r="G56" s="39">
        <f>IF($B56="","",SUMIFS(Investments!$I$6:$I$1005,Investments!$A$6:$A$1005,$B56)+SUMIFS(Investments!$J$6:$J$1005,Investments!$A$6:$A$1005,$B56)+SUMIFS(Investments!$K$6:$K$1005,Investments!$A$6:$A$1005,$B56))</f>
        <v/>
      </c>
      <c r="H56" s="39">
        <f>IF($B56="","",SUMIFS(Investments!$L$6:$L$1005,Investments!$A$6:$A$1005,$B56))</f>
        <v/>
      </c>
      <c r="I56" s="39">
        <f>IF($B56="","",($H56+$G56)-$F56)</f>
        <v/>
      </c>
      <c r="J56" s="31">
        <f>IF(OR($B56="",$F56=0),"",$I56/$F56)</f>
        <v/>
      </c>
      <c r="K56" s="31">
        <f>IF(OR($B56="",$H56=0),"",SUMPRODUCT((Investments!$A$6:$A$1005=$B56)*Investments!$L$6:$L$1005*Investments!$O$6:$O$1005)/$H56)</f>
        <v/>
      </c>
      <c r="L56" s="31">
        <f>IF(OR($B56="",$C$12=0),"",$H56/$C$12)</f>
        <v/>
      </c>
    </row>
    <row r="57">
      <c r="B57" s="22">
        <f>IF(Clients!$B42="","",Clients!$B42)</f>
        <v/>
      </c>
      <c r="C57" s="48">
        <f>IF($B57="","",COUNTIFS(Investments!$A$6:$A$1005,$B57))</f>
        <v/>
      </c>
      <c r="D57" s="49">
        <f>IF($B57="","",SUMIFS(Investments!$F$6:$F$1005,Investments!$A$6:$A$1005,$B57))</f>
        <v/>
      </c>
      <c r="E57" s="49">
        <f>IF($B57="","",SUMIFS(Investments!$G$6:$G$1005,Investments!$A$6:$A$1005,$B57))</f>
        <v/>
      </c>
      <c r="F57" s="49">
        <f>IF($B57="","",SUMIFS(Investments!$Q$6:$Q$1005,Investments!$A$6:$A$1005,$B57))</f>
        <v/>
      </c>
      <c r="G57" s="49">
        <f>IF($B57="","",SUMIFS(Investments!$I$6:$I$1005,Investments!$A$6:$A$1005,$B57)+SUMIFS(Investments!$J$6:$J$1005,Investments!$A$6:$A$1005,$B57)+SUMIFS(Investments!$K$6:$K$1005,Investments!$A$6:$A$1005,$B57))</f>
        <v/>
      </c>
      <c r="H57" s="49">
        <f>IF($B57="","",SUMIFS(Investments!$L$6:$L$1005,Investments!$A$6:$A$1005,$B57))</f>
        <v/>
      </c>
      <c r="I57" s="49">
        <f>IF($B57="","",($H57+$G57)-$F57)</f>
        <v/>
      </c>
      <c r="J57" s="26">
        <f>IF(OR($B57="",$F57=0),"",$I57/$F57)</f>
        <v/>
      </c>
      <c r="K57" s="26">
        <f>IF(OR($B57="",$H57=0),"",SUMPRODUCT((Investments!$A$6:$A$1005=$B57)*Investments!$L$6:$L$1005*Investments!$O$6:$O$1005)/$H57)</f>
        <v/>
      </c>
      <c r="L57" s="26">
        <f>IF(OR($B57="",$C$12=0),"",$H57/$C$12)</f>
        <v/>
      </c>
    </row>
    <row r="58">
      <c r="B58" s="27">
        <f>IF(Clients!$B43="","",Clients!$B43)</f>
        <v/>
      </c>
      <c r="C58" s="50">
        <f>IF($B58="","",COUNTIFS(Investments!$A$6:$A$1005,$B58))</f>
        <v/>
      </c>
      <c r="D58" s="39">
        <f>IF($B58="","",SUMIFS(Investments!$F$6:$F$1005,Investments!$A$6:$A$1005,$B58))</f>
        <v/>
      </c>
      <c r="E58" s="39">
        <f>IF($B58="","",SUMIFS(Investments!$G$6:$G$1005,Investments!$A$6:$A$1005,$B58))</f>
        <v/>
      </c>
      <c r="F58" s="39">
        <f>IF($B58="","",SUMIFS(Investments!$Q$6:$Q$1005,Investments!$A$6:$A$1005,$B58))</f>
        <v/>
      </c>
      <c r="G58" s="39">
        <f>IF($B58="","",SUMIFS(Investments!$I$6:$I$1005,Investments!$A$6:$A$1005,$B58)+SUMIFS(Investments!$J$6:$J$1005,Investments!$A$6:$A$1005,$B58)+SUMIFS(Investments!$K$6:$K$1005,Investments!$A$6:$A$1005,$B58))</f>
        <v/>
      </c>
      <c r="H58" s="39">
        <f>IF($B58="","",SUMIFS(Investments!$L$6:$L$1005,Investments!$A$6:$A$1005,$B58))</f>
        <v/>
      </c>
      <c r="I58" s="39">
        <f>IF($B58="","",($H58+$G58)-$F58)</f>
        <v/>
      </c>
      <c r="J58" s="31">
        <f>IF(OR($B58="",$F58=0),"",$I58/$F58)</f>
        <v/>
      </c>
      <c r="K58" s="31">
        <f>IF(OR($B58="",$H58=0),"",SUMPRODUCT((Investments!$A$6:$A$1005=$B58)*Investments!$L$6:$L$1005*Investments!$O$6:$O$1005)/$H58)</f>
        <v/>
      </c>
      <c r="L58" s="31">
        <f>IF(OR($B58="",$C$12=0),"",$H58/$C$12)</f>
        <v/>
      </c>
    </row>
    <row r="59">
      <c r="B59" s="22">
        <f>IF(Clients!$B44="","",Clients!$B44)</f>
        <v/>
      </c>
      <c r="C59" s="48">
        <f>IF($B59="","",COUNTIFS(Investments!$A$6:$A$1005,$B59))</f>
        <v/>
      </c>
      <c r="D59" s="49">
        <f>IF($B59="","",SUMIFS(Investments!$F$6:$F$1005,Investments!$A$6:$A$1005,$B59))</f>
        <v/>
      </c>
      <c r="E59" s="49">
        <f>IF($B59="","",SUMIFS(Investments!$G$6:$G$1005,Investments!$A$6:$A$1005,$B59))</f>
        <v/>
      </c>
      <c r="F59" s="49">
        <f>IF($B59="","",SUMIFS(Investments!$Q$6:$Q$1005,Investments!$A$6:$A$1005,$B59))</f>
        <v/>
      </c>
      <c r="G59" s="49">
        <f>IF($B59="","",SUMIFS(Investments!$I$6:$I$1005,Investments!$A$6:$A$1005,$B59)+SUMIFS(Investments!$J$6:$J$1005,Investments!$A$6:$A$1005,$B59)+SUMIFS(Investments!$K$6:$K$1005,Investments!$A$6:$A$1005,$B59))</f>
        <v/>
      </c>
      <c r="H59" s="49">
        <f>IF($B59="","",SUMIFS(Investments!$L$6:$L$1005,Investments!$A$6:$A$1005,$B59))</f>
        <v/>
      </c>
      <c r="I59" s="49">
        <f>IF($B59="","",($H59+$G59)-$F59)</f>
        <v/>
      </c>
      <c r="J59" s="26">
        <f>IF(OR($B59="",$F59=0),"",$I59/$F59)</f>
        <v/>
      </c>
      <c r="K59" s="26">
        <f>IF(OR($B59="",$H59=0),"",SUMPRODUCT((Investments!$A$6:$A$1005=$B59)*Investments!$L$6:$L$1005*Investments!$O$6:$O$1005)/$H59)</f>
        <v/>
      </c>
      <c r="L59" s="26">
        <f>IF(OR($B59="",$C$12=0),"",$H59/$C$12)</f>
        <v/>
      </c>
    </row>
    <row r="60">
      <c r="B60" s="27">
        <f>IF(Clients!$B45="","",Clients!$B45)</f>
        <v/>
      </c>
      <c r="C60" s="50">
        <f>IF($B60="","",COUNTIFS(Investments!$A$6:$A$1005,$B60))</f>
        <v/>
      </c>
      <c r="D60" s="39">
        <f>IF($B60="","",SUMIFS(Investments!$F$6:$F$1005,Investments!$A$6:$A$1005,$B60))</f>
        <v/>
      </c>
      <c r="E60" s="39">
        <f>IF($B60="","",SUMIFS(Investments!$G$6:$G$1005,Investments!$A$6:$A$1005,$B60))</f>
        <v/>
      </c>
      <c r="F60" s="39">
        <f>IF($B60="","",SUMIFS(Investments!$Q$6:$Q$1005,Investments!$A$6:$A$1005,$B60))</f>
        <v/>
      </c>
      <c r="G60" s="39">
        <f>IF($B60="","",SUMIFS(Investments!$I$6:$I$1005,Investments!$A$6:$A$1005,$B60)+SUMIFS(Investments!$J$6:$J$1005,Investments!$A$6:$A$1005,$B60)+SUMIFS(Investments!$K$6:$K$1005,Investments!$A$6:$A$1005,$B60))</f>
        <v/>
      </c>
      <c r="H60" s="39">
        <f>IF($B60="","",SUMIFS(Investments!$L$6:$L$1005,Investments!$A$6:$A$1005,$B60))</f>
        <v/>
      </c>
      <c r="I60" s="39">
        <f>IF($B60="","",($H60+$G60)-$F60)</f>
        <v/>
      </c>
      <c r="J60" s="31">
        <f>IF(OR($B60="",$F60=0),"",$I60/$F60)</f>
        <v/>
      </c>
      <c r="K60" s="31">
        <f>IF(OR($B60="",$H60=0),"",SUMPRODUCT((Investments!$A$6:$A$1005=$B60)*Investments!$L$6:$L$1005*Investments!$O$6:$O$1005)/$H60)</f>
        <v/>
      </c>
      <c r="L60" s="31">
        <f>IF(OR($B60="",$C$12=0),"",$H60/$C$12)</f>
        <v/>
      </c>
    </row>
    <row r="61">
      <c r="B61" s="22">
        <f>IF(Clients!$B46="","",Clients!$B46)</f>
        <v/>
      </c>
      <c r="C61" s="48">
        <f>IF($B61="","",COUNTIFS(Investments!$A$6:$A$1005,$B61))</f>
        <v/>
      </c>
      <c r="D61" s="49">
        <f>IF($B61="","",SUMIFS(Investments!$F$6:$F$1005,Investments!$A$6:$A$1005,$B61))</f>
        <v/>
      </c>
      <c r="E61" s="49">
        <f>IF($B61="","",SUMIFS(Investments!$G$6:$G$1005,Investments!$A$6:$A$1005,$B61))</f>
        <v/>
      </c>
      <c r="F61" s="49">
        <f>IF($B61="","",SUMIFS(Investments!$Q$6:$Q$1005,Investments!$A$6:$A$1005,$B61))</f>
        <v/>
      </c>
      <c r="G61" s="49">
        <f>IF($B61="","",SUMIFS(Investments!$I$6:$I$1005,Investments!$A$6:$A$1005,$B61)+SUMIFS(Investments!$J$6:$J$1005,Investments!$A$6:$A$1005,$B61)+SUMIFS(Investments!$K$6:$K$1005,Investments!$A$6:$A$1005,$B61))</f>
        <v/>
      </c>
      <c r="H61" s="49">
        <f>IF($B61="","",SUMIFS(Investments!$L$6:$L$1005,Investments!$A$6:$A$1005,$B61))</f>
        <v/>
      </c>
      <c r="I61" s="49">
        <f>IF($B61="","",($H61+$G61)-$F61)</f>
        <v/>
      </c>
      <c r="J61" s="26">
        <f>IF(OR($B61="",$F61=0),"",$I61/$F61)</f>
        <v/>
      </c>
      <c r="K61" s="26">
        <f>IF(OR($B61="",$H61=0),"",SUMPRODUCT((Investments!$A$6:$A$1005=$B61)*Investments!$L$6:$L$1005*Investments!$O$6:$O$1005)/$H61)</f>
        <v/>
      </c>
      <c r="L61" s="26">
        <f>IF(OR($B61="",$C$12=0),"",$H61/$C$12)</f>
        <v/>
      </c>
    </row>
    <row r="62">
      <c r="B62" s="27">
        <f>IF(Clients!$B47="","",Clients!$B47)</f>
        <v/>
      </c>
      <c r="C62" s="50">
        <f>IF($B62="","",COUNTIFS(Investments!$A$6:$A$1005,$B62))</f>
        <v/>
      </c>
      <c r="D62" s="39">
        <f>IF($B62="","",SUMIFS(Investments!$F$6:$F$1005,Investments!$A$6:$A$1005,$B62))</f>
        <v/>
      </c>
      <c r="E62" s="39">
        <f>IF($B62="","",SUMIFS(Investments!$G$6:$G$1005,Investments!$A$6:$A$1005,$B62))</f>
        <v/>
      </c>
      <c r="F62" s="39">
        <f>IF($B62="","",SUMIFS(Investments!$Q$6:$Q$1005,Investments!$A$6:$A$1005,$B62))</f>
        <v/>
      </c>
      <c r="G62" s="39">
        <f>IF($B62="","",SUMIFS(Investments!$I$6:$I$1005,Investments!$A$6:$A$1005,$B62)+SUMIFS(Investments!$J$6:$J$1005,Investments!$A$6:$A$1005,$B62)+SUMIFS(Investments!$K$6:$K$1005,Investments!$A$6:$A$1005,$B62))</f>
        <v/>
      </c>
      <c r="H62" s="39">
        <f>IF($B62="","",SUMIFS(Investments!$L$6:$L$1005,Investments!$A$6:$A$1005,$B62))</f>
        <v/>
      </c>
      <c r="I62" s="39">
        <f>IF($B62="","",($H62+$G62)-$F62)</f>
        <v/>
      </c>
      <c r="J62" s="31">
        <f>IF(OR($B62="",$F62=0),"",$I62/$F62)</f>
        <v/>
      </c>
      <c r="K62" s="31">
        <f>IF(OR($B62="",$H62=0),"",SUMPRODUCT((Investments!$A$6:$A$1005=$B62)*Investments!$L$6:$L$1005*Investments!$O$6:$O$1005)/$H62)</f>
        <v/>
      </c>
      <c r="L62" s="31">
        <f>IF(OR($B62="",$C$12=0),"",$H62/$C$12)</f>
        <v/>
      </c>
    </row>
    <row r="63">
      <c r="B63" s="22">
        <f>IF(Clients!$B48="","",Clients!$B48)</f>
        <v/>
      </c>
      <c r="C63" s="48">
        <f>IF($B63="","",COUNTIFS(Investments!$A$6:$A$1005,$B63))</f>
        <v/>
      </c>
      <c r="D63" s="49">
        <f>IF($B63="","",SUMIFS(Investments!$F$6:$F$1005,Investments!$A$6:$A$1005,$B63))</f>
        <v/>
      </c>
      <c r="E63" s="49">
        <f>IF($B63="","",SUMIFS(Investments!$G$6:$G$1005,Investments!$A$6:$A$1005,$B63))</f>
        <v/>
      </c>
      <c r="F63" s="49">
        <f>IF($B63="","",SUMIFS(Investments!$Q$6:$Q$1005,Investments!$A$6:$A$1005,$B63))</f>
        <v/>
      </c>
      <c r="G63" s="49">
        <f>IF($B63="","",SUMIFS(Investments!$I$6:$I$1005,Investments!$A$6:$A$1005,$B63)+SUMIFS(Investments!$J$6:$J$1005,Investments!$A$6:$A$1005,$B63)+SUMIFS(Investments!$K$6:$K$1005,Investments!$A$6:$A$1005,$B63))</f>
        <v/>
      </c>
      <c r="H63" s="49">
        <f>IF($B63="","",SUMIFS(Investments!$L$6:$L$1005,Investments!$A$6:$A$1005,$B63))</f>
        <v/>
      </c>
      <c r="I63" s="49">
        <f>IF($B63="","",($H63+$G63)-$F63)</f>
        <v/>
      </c>
      <c r="J63" s="26">
        <f>IF(OR($B63="",$F63=0),"",$I63/$F63)</f>
        <v/>
      </c>
      <c r="K63" s="26">
        <f>IF(OR($B63="",$H63=0),"",SUMPRODUCT((Investments!$A$6:$A$1005=$B63)*Investments!$L$6:$L$1005*Investments!$O$6:$O$1005)/$H63)</f>
        <v/>
      </c>
      <c r="L63" s="26">
        <f>IF(OR($B63="",$C$12=0),"",$H63/$C$12)</f>
        <v/>
      </c>
    </row>
    <row r="64">
      <c r="B64" s="27">
        <f>IF(Clients!$B49="","",Clients!$B49)</f>
        <v/>
      </c>
      <c r="C64" s="50">
        <f>IF($B64="","",COUNTIFS(Investments!$A$6:$A$1005,$B64))</f>
        <v/>
      </c>
      <c r="D64" s="39">
        <f>IF($B64="","",SUMIFS(Investments!$F$6:$F$1005,Investments!$A$6:$A$1005,$B64))</f>
        <v/>
      </c>
      <c r="E64" s="39">
        <f>IF($B64="","",SUMIFS(Investments!$G$6:$G$1005,Investments!$A$6:$A$1005,$B64))</f>
        <v/>
      </c>
      <c r="F64" s="39">
        <f>IF($B64="","",SUMIFS(Investments!$Q$6:$Q$1005,Investments!$A$6:$A$1005,$B64))</f>
        <v/>
      </c>
      <c r="G64" s="39">
        <f>IF($B64="","",SUMIFS(Investments!$I$6:$I$1005,Investments!$A$6:$A$1005,$B64)+SUMIFS(Investments!$J$6:$J$1005,Investments!$A$6:$A$1005,$B64)+SUMIFS(Investments!$K$6:$K$1005,Investments!$A$6:$A$1005,$B64))</f>
        <v/>
      </c>
      <c r="H64" s="39">
        <f>IF($B64="","",SUMIFS(Investments!$L$6:$L$1005,Investments!$A$6:$A$1005,$B64))</f>
        <v/>
      </c>
      <c r="I64" s="39">
        <f>IF($B64="","",($H64+$G64)-$F64)</f>
        <v/>
      </c>
      <c r="J64" s="31">
        <f>IF(OR($B64="",$F64=0),"",$I64/$F64)</f>
        <v/>
      </c>
      <c r="K64" s="31">
        <f>IF(OR($B64="",$H64=0),"",SUMPRODUCT((Investments!$A$6:$A$1005=$B64)*Investments!$L$6:$L$1005*Investments!$O$6:$O$1005)/$H64)</f>
        <v/>
      </c>
      <c r="L64" s="31">
        <f>IF(OR($B64="",$C$12=0),"",$H64/$C$12)</f>
        <v/>
      </c>
    </row>
    <row r="65">
      <c r="B65" s="22">
        <f>IF(Clients!$B50="","",Clients!$B50)</f>
        <v/>
      </c>
      <c r="C65" s="48">
        <f>IF($B65="","",COUNTIFS(Investments!$A$6:$A$1005,$B65))</f>
        <v/>
      </c>
      <c r="D65" s="49">
        <f>IF($B65="","",SUMIFS(Investments!$F$6:$F$1005,Investments!$A$6:$A$1005,$B65))</f>
        <v/>
      </c>
      <c r="E65" s="49">
        <f>IF($B65="","",SUMIFS(Investments!$G$6:$G$1005,Investments!$A$6:$A$1005,$B65))</f>
        <v/>
      </c>
      <c r="F65" s="49">
        <f>IF($B65="","",SUMIFS(Investments!$Q$6:$Q$1005,Investments!$A$6:$A$1005,$B65))</f>
        <v/>
      </c>
      <c r="G65" s="49">
        <f>IF($B65="","",SUMIFS(Investments!$I$6:$I$1005,Investments!$A$6:$A$1005,$B65)+SUMIFS(Investments!$J$6:$J$1005,Investments!$A$6:$A$1005,$B65)+SUMIFS(Investments!$K$6:$K$1005,Investments!$A$6:$A$1005,$B65))</f>
        <v/>
      </c>
      <c r="H65" s="49">
        <f>IF($B65="","",SUMIFS(Investments!$L$6:$L$1005,Investments!$A$6:$A$1005,$B65))</f>
        <v/>
      </c>
      <c r="I65" s="49">
        <f>IF($B65="","",($H65+$G65)-$F65)</f>
        <v/>
      </c>
      <c r="J65" s="26">
        <f>IF(OR($B65="",$F65=0),"",$I65/$F65)</f>
        <v/>
      </c>
      <c r="K65" s="26">
        <f>IF(OR($B65="",$H65=0),"",SUMPRODUCT((Investments!$A$6:$A$1005=$B65)*Investments!$L$6:$L$1005*Investments!$O$6:$O$1005)/$H65)</f>
        <v/>
      </c>
      <c r="L65" s="26">
        <f>IF(OR($B65="",$C$12=0),"",$H65/$C$12)</f>
        <v/>
      </c>
    </row>
    <row r="66">
      <c r="B66" s="27">
        <f>IF(Clients!$B51="","",Clients!$B51)</f>
        <v/>
      </c>
      <c r="C66" s="50">
        <f>IF($B66="","",COUNTIFS(Investments!$A$6:$A$1005,$B66))</f>
        <v/>
      </c>
      <c r="D66" s="39">
        <f>IF($B66="","",SUMIFS(Investments!$F$6:$F$1005,Investments!$A$6:$A$1005,$B66))</f>
        <v/>
      </c>
      <c r="E66" s="39">
        <f>IF($B66="","",SUMIFS(Investments!$G$6:$G$1005,Investments!$A$6:$A$1005,$B66))</f>
        <v/>
      </c>
      <c r="F66" s="39">
        <f>IF($B66="","",SUMIFS(Investments!$Q$6:$Q$1005,Investments!$A$6:$A$1005,$B66))</f>
        <v/>
      </c>
      <c r="G66" s="39">
        <f>IF($B66="","",SUMIFS(Investments!$I$6:$I$1005,Investments!$A$6:$A$1005,$B66)+SUMIFS(Investments!$J$6:$J$1005,Investments!$A$6:$A$1005,$B66)+SUMIFS(Investments!$K$6:$K$1005,Investments!$A$6:$A$1005,$B66))</f>
        <v/>
      </c>
      <c r="H66" s="39">
        <f>IF($B66="","",SUMIFS(Investments!$L$6:$L$1005,Investments!$A$6:$A$1005,$B66))</f>
        <v/>
      </c>
      <c r="I66" s="39">
        <f>IF($B66="","",($H66+$G66)-$F66)</f>
        <v/>
      </c>
      <c r="J66" s="31">
        <f>IF(OR($B66="",$F66=0),"",$I66/$F66)</f>
        <v/>
      </c>
      <c r="K66" s="31">
        <f>IF(OR($B66="",$H66=0),"",SUMPRODUCT((Investments!$A$6:$A$1005=$B66)*Investments!$L$6:$L$1005*Investments!$O$6:$O$1005)/$H66)</f>
        <v/>
      </c>
      <c r="L66" s="31">
        <f>IF(OR($B66="",$C$12=0),"",$H66/$C$12)</f>
        <v/>
      </c>
    </row>
    <row r="67">
      <c r="B67" s="22">
        <f>IF(Clients!$B52="","",Clients!$B52)</f>
        <v/>
      </c>
      <c r="C67" s="48">
        <f>IF($B67="","",COUNTIFS(Investments!$A$6:$A$1005,$B67))</f>
        <v/>
      </c>
      <c r="D67" s="49">
        <f>IF($B67="","",SUMIFS(Investments!$F$6:$F$1005,Investments!$A$6:$A$1005,$B67))</f>
        <v/>
      </c>
      <c r="E67" s="49">
        <f>IF($B67="","",SUMIFS(Investments!$G$6:$G$1005,Investments!$A$6:$A$1005,$B67))</f>
        <v/>
      </c>
      <c r="F67" s="49">
        <f>IF($B67="","",SUMIFS(Investments!$Q$6:$Q$1005,Investments!$A$6:$A$1005,$B67))</f>
        <v/>
      </c>
      <c r="G67" s="49">
        <f>IF($B67="","",SUMIFS(Investments!$I$6:$I$1005,Investments!$A$6:$A$1005,$B67)+SUMIFS(Investments!$J$6:$J$1005,Investments!$A$6:$A$1005,$B67)+SUMIFS(Investments!$K$6:$K$1005,Investments!$A$6:$A$1005,$B67))</f>
        <v/>
      </c>
      <c r="H67" s="49">
        <f>IF($B67="","",SUMIFS(Investments!$L$6:$L$1005,Investments!$A$6:$A$1005,$B67))</f>
        <v/>
      </c>
      <c r="I67" s="49">
        <f>IF($B67="","",($H67+$G67)-$F67)</f>
        <v/>
      </c>
      <c r="J67" s="26">
        <f>IF(OR($B67="",$F67=0),"",$I67/$F67)</f>
        <v/>
      </c>
      <c r="K67" s="26">
        <f>IF(OR($B67="",$H67=0),"",SUMPRODUCT((Investments!$A$6:$A$1005=$B67)*Investments!$L$6:$L$1005*Investments!$O$6:$O$1005)/$H67)</f>
        <v/>
      </c>
      <c r="L67" s="26">
        <f>IF(OR($B67="",$C$12=0),"",$H67/$C$12)</f>
        <v/>
      </c>
    </row>
    <row r="68">
      <c r="B68" s="27">
        <f>IF(Clients!$B53="","",Clients!$B53)</f>
        <v/>
      </c>
      <c r="C68" s="50">
        <f>IF($B68="","",COUNTIFS(Investments!$A$6:$A$1005,$B68))</f>
        <v/>
      </c>
      <c r="D68" s="39">
        <f>IF($B68="","",SUMIFS(Investments!$F$6:$F$1005,Investments!$A$6:$A$1005,$B68))</f>
        <v/>
      </c>
      <c r="E68" s="39">
        <f>IF($B68="","",SUMIFS(Investments!$G$6:$G$1005,Investments!$A$6:$A$1005,$B68))</f>
        <v/>
      </c>
      <c r="F68" s="39">
        <f>IF($B68="","",SUMIFS(Investments!$Q$6:$Q$1005,Investments!$A$6:$A$1005,$B68))</f>
        <v/>
      </c>
      <c r="G68" s="39">
        <f>IF($B68="","",SUMIFS(Investments!$I$6:$I$1005,Investments!$A$6:$A$1005,$B68)+SUMIFS(Investments!$J$6:$J$1005,Investments!$A$6:$A$1005,$B68)+SUMIFS(Investments!$K$6:$K$1005,Investments!$A$6:$A$1005,$B68))</f>
        <v/>
      </c>
      <c r="H68" s="39">
        <f>IF($B68="","",SUMIFS(Investments!$L$6:$L$1005,Investments!$A$6:$A$1005,$B68))</f>
        <v/>
      </c>
      <c r="I68" s="39">
        <f>IF($B68="","",($H68+$G68)-$F68)</f>
        <v/>
      </c>
      <c r="J68" s="31">
        <f>IF(OR($B68="",$F68=0),"",$I68/$F68)</f>
        <v/>
      </c>
      <c r="K68" s="31">
        <f>IF(OR($B68="",$H68=0),"",SUMPRODUCT((Investments!$A$6:$A$1005=$B68)*Investments!$L$6:$L$1005*Investments!$O$6:$O$1005)/$H68)</f>
        <v/>
      </c>
      <c r="L68" s="31">
        <f>IF(OR($B68="",$C$12=0),"",$H68/$C$12)</f>
        <v/>
      </c>
    </row>
    <row r="69">
      <c r="B69" s="22">
        <f>IF(Clients!$B54="","",Clients!$B54)</f>
        <v/>
      </c>
      <c r="C69" s="48">
        <f>IF($B69="","",COUNTIFS(Investments!$A$6:$A$1005,$B69))</f>
        <v/>
      </c>
      <c r="D69" s="49">
        <f>IF($B69="","",SUMIFS(Investments!$F$6:$F$1005,Investments!$A$6:$A$1005,$B69))</f>
        <v/>
      </c>
      <c r="E69" s="49">
        <f>IF($B69="","",SUMIFS(Investments!$G$6:$G$1005,Investments!$A$6:$A$1005,$B69))</f>
        <v/>
      </c>
      <c r="F69" s="49">
        <f>IF($B69="","",SUMIFS(Investments!$Q$6:$Q$1005,Investments!$A$6:$A$1005,$B69))</f>
        <v/>
      </c>
      <c r="G69" s="49">
        <f>IF($B69="","",SUMIFS(Investments!$I$6:$I$1005,Investments!$A$6:$A$1005,$B69)+SUMIFS(Investments!$J$6:$J$1005,Investments!$A$6:$A$1005,$B69)+SUMIFS(Investments!$K$6:$K$1005,Investments!$A$6:$A$1005,$B69))</f>
        <v/>
      </c>
      <c r="H69" s="49">
        <f>IF($B69="","",SUMIFS(Investments!$L$6:$L$1005,Investments!$A$6:$A$1005,$B69))</f>
        <v/>
      </c>
      <c r="I69" s="49">
        <f>IF($B69="","",($H69+$G69)-$F69)</f>
        <v/>
      </c>
      <c r="J69" s="26">
        <f>IF(OR($B69="",$F69=0),"",$I69/$F69)</f>
        <v/>
      </c>
      <c r="K69" s="26">
        <f>IF(OR($B69="",$H69=0),"",SUMPRODUCT((Investments!$A$6:$A$1005=$B69)*Investments!$L$6:$L$1005*Investments!$O$6:$O$1005)/$H69)</f>
        <v/>
      </c>
      <c r="L69" s="26">
        <f>IF(OR($B69="",$C$12=0),"",$H69/$C$12)</f>
        <v/>
      </c>
    </row>
    <row r="70">
      <c r="B70" s="27">
        <f>IF(Clients!$B55="","",Clients!$B55)</f>
        <v/>
      </c>
      <c r="C70" s="50">
        <f>IF($B70="","",COUNTIFS(Investments!$A$6:$A$1005,$B70))</f>
        <v/>
      </c>
      <c r="D70" s="39">
        <f>IF($B70="","",SUMIFS(Investments!$F$6:$F$1005,Investments!$A$6:$A$1005,$B70))</f>
        <v/>
      </c>
      <c r="E70" s="39">
        <f>IF($B70="","",SUMIFS(Investments!$G$6:$G$1005,Investments!$A$6:$A$1005,$B70))</f>
        <v/>
      </c>
      <c r="F70" s="39">
        <f>IF($B70="","",SUMIFS(Investments!$Q$6:$Q$1005,Investments!$A$6:$A$1005,$B70))</f>
        <v/>
      </c>
      <c r="G70" s="39">
        <f>IF($B70="","",SUMIFS(Investments!$I$6:$I$1005,Investments!$A$6:$A$1005,$B70)+SUMIFS(Investments!$J$6:$J$1005,Investments!$A$6:$A$1005,$B70)+SUMIFS(Investments!$K$6:$K$1005,Investments!$A$6:$A$1005,$B70))</f>
        <v/>
      </c>
      <c r="H70" s="39">
        <f>IF($B70="","",SUMIFS(Investments!$L$6:$L$1005,Investments!$A$6:$A$1005,$B70))</f>
        <v/>
      </c>
      <c r="I70" s="39">
        <f>IF($B70="","",($H70+$G70)-$F70)</f>
        <v/>
      </c>
      <c r="J70" s="31">
        <f>IF(OR($B70="",$F70=0),"",$I70/$F70)</f>
        <v/>
      </c>
      <c r="K70" s="31">
        <f>IF(OR($B70="",$H70=0),"",SUMPRODUCT((Investments!$A$6:$A$1005=$B70)*Investments!$L$6:$L$1005*Investments!$O$6:$O$1005)/$H70)</f>
        <v/>
      </c>
      <c r="L70" s="31">
        <f>IF(OR($B70="",$C$12=0),"",$H70/$C$12)</f>
        <v/>
      </c>
    </row>
    <row r="71">
      <c r="B71" s="22">
        <f>IF(Clients!$B56="","",Clients!$B56)</f>
        <v/>
      </c>
      <c r="C71" s="48">
        <f>IF($B71="","",COUNTIFS(Investments!$A$6:$A$1005,$B71))</f>
        <v/>
      </c>
      <c r="D71" s="49">
        <f>IF($B71="","",SUMIFS(Investments!$F$6:$F$1005,Investments!$A$6:$A$1005,$B71))</f>
        <v/>
      </c>
      <c r="E71" s="49">
        <f>IF($B71="","",SUMIFS(Investments!$G$6:$G$1005,Investments!$A$6:$A$1005,$B71))</f>
        <v/>
      </c>
      <c r="F71" s="49">
        <f>IF($B71="","",SUMIFS(Investments!$Q$6:$Q$1005,Investments!$A$6:$A$1005,$B71))</f>
        <v/>
      </c>
      <c r="G71" s="49">
        <f>IF($B71="","",SUMIFS(Investments!$I$6:$I$1005,Investments!$A$6:$A$1005,$B71)+SUMIFS(Investments!$J$6:$J$1005,Investments!$A$6:$A$1005,$B71)+SUMIFS(Investments!$K$6:$K$1005,Investments!$A$6:$A$1005,$B71))</f>
        <v/>
      </c>
      <c r="H71" s="49">
        <f>IF($B71="","",SUMIFS(Investments!$L$6:$L$1005,Investments!$A$6:$A$1005,$B71))</f>
        <v/>
      </c>
      <c r="I71" s="49">
        <f>IF($B71="","",($H71+$G71)-$F71)</f>
        <v/>
      </c>
      <c r="J71" s="26">
        <f>IF(OR($B71="",$F71=0),"",$I71/$F71)</f>
        <v/>
      </c>
      <c r="K71" s="26">
        <f>IF(OR($B71="",$H71=0),"",SUMPRODUCT((Investments!$A$6:$A$1005=$B71)*Investments!$L$6:$L$1005*Investments!$O$6:$O$1005)/$H71)</f>
        <v/>
      </c>
      <c r="L71" s="26">
        <f>IF(OR($B71="",$C$12=0),"",$H71/$C$12)</f>
        <v/>
      </c>
    </row>
    <row r="72">
      <c r="B72" s="27">
        <f>IF(Clients!$B57="","",Clients!$B57)</f>
        <v/>
      </c>
      <c r="C72" s="50">
        <f>IF($B72="","",COUNTIFS(Investments!$A$6:$A$1005,$B72))</f>
        <v/>
      </c>
      <c r="D72" s="39">
        <f>IF($B72="","",SUMIFS(Investments!$F$6:$F$1005,Investments!$A$6:$A$1005,$B72))</f>
        <v/>
      </c>
      <c r="E72" s="39">
        <f>IF($B72="","",SUMIFS(Investments!$G$6:$G$1005,Investments!$A$6:$A$1005,$B72))</f>
        <v/>
      </c>
      <c r="F72" s="39">
        <f>IF($B72="","",SUMIFS(Investments!$Q$6:$Q$1005,Investments!$A$6:$A$1005,$B72))</f>
        <v/>
      </c>
      <c r="G72" s="39">
        <f>IF($B72="","",SUMIFS(Investments!$I$6:$I$1005,Investments!$A$6:$A$1005,$B72)+SUMIFS(Investments!$J$6:$J$1005,Investments!$A$6:$A$1005,$B72)+SUMIFS(Investments!$K$6:$K$1005,Investments!$A$6:$A$1005,$B72))</f>
        <v/>
      </c>
      <c r="H72" s="39">
        <f>IF($B72="","",SUMIFS(Investments!$L$6:$L$1005,Investments!$A$6:$A$1005,$B72))</f>
        <v/>
      </c>
      <c r="I72" s="39">
        <f>IF($B72="","",($H72+$G72)-$F72)</f>
        <v/>
      </c>
      <c r="J72" s="31">
        <f>IF(OR($B72="",$F72=0),"",$I72/$F72)</f>
        <v/>
      </c>
      <c r="K72" s="31">
        <f>IF(OR($B72="",$H72=0),"",SUMPRODUCT((Investments!$A$6:$A$1005=$B72)*Investments!$L$6:$L$1005*Investments!$O$6:$O$1005)/$H72)</f>
        <v/>
      </c>
      <c r="L72" s="31">
        <f>IF(OR($B72="",$C$12=0),"",$H72/$C$12)</f>
        <v/>
      </c>
    </row>
    <row r="73">
      <c r="B73" s="22">
        <f>IF(Clients!$B58="","",Clients!$B58)</f>
        <v/>
      </c>
      <c r="C73" s="48">
        <f>IF($B73="","",COUNTIFS(Investments!$A$6:$A$1005,$B73))</f>
        <v/>
      </c>
      <c r="D73" s="49">
        <f>IF($B73="","",SUMIFS(Investments!$F$6:$F$1005,Investments!$A$6:$A$1005,$B73))</f>
        <v/>
      </c>
      <c r="E73" s="49">
        <f>IF($B73="","",SUMIFS(Investments!$G$6:$G$1005,Investments!$A$6:$A$1005,$B73))</f>
        <v/>
      </c>
      <c r="F73" s="49">
        <f>IF($B73="","",SUMIFS(Investments!$Q$6:$Q$1005,Investments!$A$6:$A$1005,$B73))</f>
        <v/>
      </c>
      <c r="G73" s="49">
        <f>IF($B73="","",SUMIFS(Investments!$I$6:$I$1005,Investments!$A$6:$A$1005,$B73)+SUMIFS(Investments!$J$6:$J$1005,Investments!$A$6:$A$1005,$B73)+SUMIFS(Investments!$K$6:$K$1005,Investments!$A$6:$A$1005,$B73))</f>
        <v/>
      </c>
      <c r="H73" s="49">
        <f>IF($B73="","",SUMIFS(Investments!$L$6:$L$1005,Investments!$A$6:$A$1005,$B73))</f>
        <v/>
      </c>
      <c r="I73" s="49">
        <f>IF($B73="","",($H73+$G73)-$F73)</f>
        <v/>
      </c>
      <c r="J73" s="26">
        <f>IF(OR($B73="",$F73=0),"",$I73/$F73)</f>
        <v/>
      </c>
      <c r="K73" s="26">
        <f>IF(OR($B73="",$H73=0),"",SUMPRODUCT((Investments!$A$6:$A$1005=$B73)*Investments!$L$6:$L$1005*Investments!$O$6:$O$1005)/$H73)</f>
        <v/>
      </c>
      <c r="L73" s="26">
        <f>IF(OR($B73="",$C$12=0),"",$H73/$C$12)</f>
        <v/>
      </c>
    </row>
    <row r="74">
      <c r="B74" s="27">
        <f>IF(Clients!$B59="","",Clients!$B59)</f>
        <v/>
      </c>
      <c r="C74" s="50">
        <f>IF($B74="","",COUNTIFS(Investments!$A$6:$A$1005,$B74))</f>
        <v/>
      </c>
      <c r="D74" s="39">
        <f>IF($B74="","",SUMIFS(Investments!$F$6:$F$1005,Investments!$A$6:$A$1005,$B74))</f>
        <v/>
      </c>
      <c r="E74" s="39">
        <f>IF($B74="","",SUMIFS(Investments!$G$6:$G$1005,Investments!$A$6:$A$1005,$B74))</f>
        <v/>
      </c>
      <c r="F74" s="39">
        <f>IF($B74="","",SUMIFS(Investments!$Q$6:$Q$1005,Investments!$A$6:$A$1005,$B74))</f>
        <v/>
      </c>
      <c r="G74" s="39">
        <f>IF($B74="","",SUMIFS(Investments!$I$6:$I$1005,Investments!$A$6:$A$1005,$B74)+SUMIFS(Investments!$J$6:$J$1005,Investments!$A$6:$A$1005,$B74)+SUMIFS(Investments!$K$6:$K$1005,Investments!$A$6:$A$1005,$B74))</f>
        <v/>
      </c>
      <c r="H74" s="39">
        <f>IF($B74="","",SUMIFS(Investments!$L$6:$L$1005,Investments!$A$6:$A$1005,$B74))</f>
        <v/>
      </c>
      <c r="I74" s="39">
        <f>IF($B74="","",($H74+$G74)-$F74)</f>
        <v/>
      </c>
      <c r="J74" s="31">
        <f>IF(OR($B74="",$F74=0),"",$I74/$F74)</f>
        <v/>
      </c>
      <c r="K74" s="31">
        <f>IF(OR($B74="",$H74=0),"",SUMPRODUCT((Investments!$A$6:$A$1005=$B74)*Investments!$L$6:$L$1005*Investments!$O$6:$O$1005)/$H74)</f>
        <v/>
      </c>
      <c r="L74" s="31">
        <f>IF(OR($B74="",$C$12=0),"",$H74/$C$12)</f>
        <v/>
      </c>
    </row>
    <row r="75">
      <c r="B75" s="22">
        <f>IF(Clients!$B60="","",Clients!$B60)</f>
        <v/>
      </c>
      <c r="C75" s="48">
        <f>IF($B75="","",COUNTIFS(Investments!$A$6:$A$1005,$B75))</f>
        <v/>
      </c>
      <c r="D75" s="49">
        <f>IF($B75="","",SUMIFS(Investments!$F$6:$F$1005,Investments!$A$6:$A$1005,$B75))</f>
        <v/>
      </c>
      <c r="E75" s="49">
        <f>IF($B75="","",SUMIFS(Investments!$G$6:$G$1005,Investments!$A$6:$A$1005,$B75))</f>
        <v/>
      </c>
      <c r="F75" s="49">
        <f>IF($B75="","",SUMIFS(Investments!$Q$6:$Q$1005,Investments!$A$6:$A$1005,$B75))</f>
        <v/>
      </c>
      <c r="G75" s="49">
        <f>IF($B75="","",SUMIFS(Investments!$I$6:$I$1005,Investments!$A$6:$A$1005,$B75)+SUMIFS(Investments!$J$6:$J$1005,Investments!$A$6:$A$1005,$B75)+SUMIFS(Investments!$K$6:$K$1005,Investments!$A$6:$A$1005,$B75))</f>
        <v/>
      </c>
      <c r="H75" s="49">
        <f>IF($B75="","",SUMIFS(Investments!$L$6:$L$1005,Investments!$A$6:$A$1005,$B75))</f>
        <v/>
      </c>
      <c r="I75" s="49">
        <f>IF($B75="","",($H75+$G75)-$F75)</f>
        <v/>
      </c>
      <c r="J75" s="26">
        <f>IF(OR($B75="",$F75=0),"",$I75/$F75)</f>
        <v/>
      </c>
      <c r="K75" s="26">
        <f>IF(OR($B75="",$H75=0),"",SUMPRODUCT((Investments!$A$6:$A$1005=$B75)*Investments!$L$6:$L$1005*Investments!$O$6:$O$1005)/$H75)</f>
        <v/>
      </c>
      <c r="L75" s="26">
        <f>IF(OR($B75="",$C$12=0),"",$H75/$C$12)</f>
        <v/>
      </c>
    </row>
    <row r="76">
      <c r="B76" s="27">
        <f>IF(Clients!$B61="","",Clients!$B61)</f>
        <v/>
      </c>
      <c r="C76" s="50">
        <f>IF($B76="","",COUNTIFS(Investments!$A$6:$A$1005,$B76))</f>
        <v/>
      </c>
      <c r="D76" s="39">
        <f>IF($B76="","",SUMIFS(Investments!$F$6:$F$1005,Investments!$A$6:$A$1005,$B76))</f>
        <v/>
      </c>
      <c r="E76" s="39">
        <f>IF($B76="","",SUMIFS(Investments!$G$6:$G$1005,Investments!$A$6:$A$1005,$B76))</f>
        <v/>
      </c>
      <c r="F76" s="39">
        <f>IF($B76="","",SUMIFS(Investments!$Q$6:$Q$1005,Investments!$A$6:$A$1005,$B76))</f>
        <v/>
      </c>
      <c r="G76" s="39">
        <f>IF($B76="","",SUMIFS(Investments!$I$6:$I$1005,Investments!$A$6:$A$1005,$B76)+SUMIFS(Investments!$J$6:$J$1005,Investments!$A$6:$A$1005,$B76)+SUMIFS(Investments!$K$6:$K$1005,Investments!$A$6:$A$1005,$B76))</f>
        <v/>
      </c>
      <c r="H76" s="39">
        <f>IF($B76="","",SUMIFS(Investments!$L$6:$L$1005,Investments!$A$6:$A$1005,$B76))</f>
        <v/>
      </c>
      <c r="I76" s="39">
        <f>IF($B76="","",($H76+$G76)-$F76)</f>
        <v/>
      </c>
      <c r="J76" s="31">
        <f>IF(OR($B76="",$F76=0),"",$I76/$F76)</f>
        <v/>
      </c>
      <c r="K76" s="31">
        <f>IF(OR($B76="",$H76=0),"",SUMPRODUCT((Investments!$A$6:$A$1005=$B76)*Investments!$L$6:$L$1005*Investments!$O$6:$O$1005)/$H76)</f>
        <v/>
      </c>
      <c r="L76" s="31">
        <f>IF(OR($B76="",$C$12=0),"",$H76/$C$12)</f>
        <v/>
      </c>
    </row>
    <row r="77">
      <c r="B77" s="22">
        <f>IF(Clients!$B62="","",Clients!$B62)</f>
        <v/>
      </c>
      <c r="C77" s="48">
        <f>IF($B77="","",COUNTIFS(Investments!$A$6:$A$1005,$B77))</f>
        <v/>
      </c>
      <c r="D77" s="49">
        <f>IF($B77="","",SUMIFS(Investments!$F$6:$F$1005,Investments!$A$6:$A$1005,$B77))</f>
        <v/>
      </c>
      <c r="E77" s="49">
        <f>IF($B77="","",SUMIFS(Investments!$G$6:$G$1005,Investments!$A$6:$A$1005,$B77))</f>
        <v/>
      </c>
      <c r="F77" s="49">
        <f>IF($B77="","",SUMIFS(Investments!$Q$6:$Q$1005,Investments!$A$6:$A$1005,$B77))</f>
        <v/>
      </c>
      <c r="G77" s="49">
        <f>IF($B77="","",SUMIFS(Investments!$I$6:$I$1005,Investments!$A$6:$A$1005,$B77)+SUMIFS(Investments!$J$6:$J$1005,Investments!$A$6:$A$1005,$B77)+SUMIFS(Investments!$K$6:$K$1005,Investments!$A$6:$A$1005,$B77))</f>
        <v/>
      </c>
      <c r="H77" s="49">
        <f>IF($B77="","",SUMIFS(Investments!$L$6:$L$1005,Investments!$A$6:$A$1005,$B77))</f>
        <v/>
      </c>
      <c r="I77" s="49">
        <f>IF($B77="","",($H77+$G77)-$F77)</f>
        <v/>
      </c>
      <c r="J77" s="26">
        <f>IF(OR($B77="",$F77=0),"",$I77/$F77)</f>
        <v/>
      </c>
      <c r="K77" s="26">
        <f>IF(OR($B77="",$H77=0),"",SUMPRODUCT((Investments!$A$6:$A$1005=$B77)*Investments!$L$6:$L$1005*Investments!$O$6:$O$1005)/$H77)</f>
        <v/>
      </c>
      <c r="L77" s="26">
        <f>IF(OR($B77="",$C$12=0),"",$H77/$C$12)</f>
        <v/>
      </c>
    </row>
    <row r="78">
      <c r="B78" s="27">
        <f>IF(Clients!$B63="","",Clients!$B63)</f>
        <v/>
      </c>
      <c r="C78" s="50">
        <f>IF($B78="","",COUNTIFS(Investments!$A$6:$A$1005,$B78))</f>
        <v/>
      </c>
      <c r="D78" s="39">
        <f>IF($B78="","",SUMIFS(Investments!$F$6:$F$1005,Investments!$A$6:$A$1005,$B78))</f>
        <v/>
      </c>
      <c r="E78" s="39">
        <f>IF($B78="","",SUMIFS(Investments!$G$6:$G$1005,Investments!$A$6:$A$1005,$B78))</f>
        <v/>
      </c>
      <c r="F78" s="39">
        <f>IF($B78="","",SUMIFS(Investments!$Q$6:$Q$1005,Investments!$A$6:$A$1005,$B78))</f>
        <v/>
      </c>
      <c r="G78" s="39">
        <f>IF($B78="","",SUMIFS(Investments!$I$6:$I$1005,Investments!$A$6:$A$1005,$B78)+SUMIFS(Investments!$J$6:$J$1005,Investments!$A$6:$A$1005,$B78)+SUMIFS(Investments!$K$6:$K$1005,Investments!$A$6:$A$1005,$B78))</f>
        <v/>
      </c>
      <c r="H78" s="39">
        <f>IF($B78="","",SUMIFS(Investments!$L$6:$L$1005,Investments!$A$6:$A$1005,$B78))</f>
        <v/>
      </c>
      <c r="I78" s="39">
        <f>IF($B78="","",($H78+$G78)-$F78)</f>
        <v/>
      </c>
      <c r="J78" s="31">
        <f>IF(OR($B78="",$F78=0),"",$I78/$F78)</f>
        <v/>
      </c>
      <c r="K78" s="31">
        <f>IF(OR($B78="",$H78=0),"",SUMPRODUCT((Investments!$A$6:$A$1005=$B78)*Investments!$L$6:$L$1005*Investments!$O$6:$O$1005)/$H78)</f>
        <v/>
      </c>
      <c r="L78" s="31">
        <f>IF(OR($B78="",$C$12=0),"",$H78/$C$12)</f>
        <v/>
      </c>
    </row>
    <row r="79">
      <c r="B79" s="22">
        <f>IF(Clients!$B64="","",Clients!$B64)</f>
        <v/>
      </c>
      <c r="C79" s="48">
        <f>IF($B79="","",COUNTIFS(Investments!$A$6:$A$1005,$B79))</f>
        <v/>
      </c>
      <c r="D79" s="49">
        <f>IF($B79="","",SUMIFS(Investments!$F$6:$F$1005,Investments!$A$6:$A$1005,$B79))</f>
        <v/>
      </c>
      <c r="E79" s="49">
        <f>IF($B79="","",SUMIFS(Investments!$G$6:$G$1005,Investments!$A$6:$A$1005,$B79))</f>
        <v/>
      </c>
      <c r="F79" s="49">
        <f>IF($B79="","",SUMIFS(Investments!$Q$6:$Q$1005,Investments!$A$6:$A$1005,$B79))</f>
        <v/>
      </c>
      <c r="G79" s="49">
        <f>IF($B79="","",SUMIFS(Investments!$I$6:$I$1005,Investments!$A$6:$A$1005,$B79)+SUMIFS(Investments!$J$6:$J$1005,Investments!$A$6:$A$1005,$B79)+SUMIFS(Investments!$K$6:$K$1005,Investments!$A$6:$A$1005,$B79))</f>
        <v/>
      </c>
      <c r="H79" s="49">
        <f>IF($B79="","",SUMIFS(Investments!$L$6:$L$1005,Investments!$A$6:$A$1005,$B79))</f>
        <v/>
      </c>
      <c r="I79" s="49">
        <f>IF($B79="","",($H79+$G79)-$F79)</f>
        <v/>
      </c>
      <c r="J79" s="26">
        <f>IF(OR($B79="",$F79=0),"",$I79/$F79)</f>
        <v/>
      </c>
      <c r="K79" s="26">
        <f>IF(OR($B79="",$H79=0),"",SUMPRODUCT((Investments!$A$6:$A$1005=$B79)*Investments!$L$6:$L$1005*Investments!$O$6:$O$1005)/$H79)</f>
        <v/>
      </c>
      <c r="L79" s="26">
        <f>IF(OR($B79="",$C$12=0),"",$H79/$C$12)</f>
        <v/>
      </c>
    </row>
    <row r="80">
      <c r="B80" s="27">
        <f>IF(Clients!$B65="","",Clients!$B65)</f>
        <v/>
      </c>
      <c r="C80" s="50">
        <f>IF($B80="","",COUNTIFS(Investments!$A$6:$A$1005,$B80))</f>
        <v/>
      </c>
      <c r="D80" s="39">
        <f>IF($B80="","",SUMIFS(Investments!$F$6:$F$1005,Investments!$A$6:$A$1005,$B80))</f>
        <v/>
      </c>
      <c r="E80" s="39">
        <f>IF($B80="","",SUMIFS(Investments!$G$6:$G$1005,Investments!$A$6:$A$1005,$B80))</f>
        <v/>
      </c>
      <c r="F80" s="39">
        <f>IF($B80="","",SUMIFS(Investments!$Q$6:$Q$1005,Investments!$A$6:$A$1005,$B80))</f>
        <v/>
      </c>
      <c r="G80" s="39">
        <f>IF($B80="","",SUMIFS(Investments!$I$6:$I$1005,Investments!$A$6:$A$1005,$B80)+SUMIFS(Investments!$J$6:$J$1005,Investments!$A$6:$A$1005,$B80)+SUMIFS(Investments!$K$6:$K$1005,Investments!$A$6:$A$1005,$B80))</f>
        <v/>
      </c>
      <c r="H80" s="39">
        <f>IF($B80="","",SUMIFS(Investments!$L$6:$L$1005,Investments!$A$6:$A$1005,$B80))</f>
        <v/>
      </c>
      <c r="I80" s="39">
        <f>IF($B80="","",($H80+$G80)-$F80)</f>
        <v/>
      </c>
      <c r="J80" s="31">
        <f>IF(OR($B80="",$F80=0),"",$I80/$F80)</f>
        <v/>
      </c>
      <c r="K80" s="31">
        <f>IF(OR($B80="",$H80=0),"",SUMPRODUCT((Investments!$A$6:$A$1005=$B80)*Investments!$L$6:$L$1005*Investments!$O$6:$O$1005)/$H80)</f>
        <v/>
      </c>
      <c r="L80" s="31">
        <f>IF(OR($B80="",$C$12=0),"",$H80/$C$12)</f>
        <v/>
      </c>
    </row>
    <row r="81">
      <c r="B81" s="22">
        <f>IF(Clients!$B66="","",Clients!$B66)</f>
        <v/>
      </c>
      <c r="C81" s="48">
        <f>IF($B81="","",COUNTIFS(Investments!$A$6:$A$1005,$B81))</f>
        <v/>
      </c>
      <c r="D81" s="49">
        <f>IF($B81="","",SUMIFS(Investments!$F$6:$F$1005,Investments!$A$6:$A$1005,$B81))</f>
        <v/>
      </c>
      <c r="E81" s="49">
        <f>IF($B81="","",SUMIFS(Investments!$G$6:$G$1005,Investments!$A$6:$A$1005,$B81))</f>
        <v/>
      </c>
      <c r="F81" s="49">
        <f>IF($B81="","",SUMIFS(Investments!$Q$6:$Q$1005,Investments!$A$6:$A$1005,$B81))</f>
        <v/>
      </c>
      <c r="G81" s="49">
        <f>IF($B81="","",SUMIFS(Investments!$I$6:$I$1005,Investments!$A$6:$A$1005,$B81)+SUMIFS(Investments!$J$6:$J$1005,Investments!$A$6:$A$1005,$B81)+SUMIFS(Investments!$K$6:$K$1005,Investments!$A$6:$A$1005,$B81))</f>
        <v/>
      </c>
      <c r="H81" s="49">
        <f>IF($B81="","",SUMIFS(Investments!$L$6:$L$1005,Investments!$A$6:$A$1005,$B81))</f>
        <v/>
      </c>
      <c r="I81" s="49">
        <f>IF($B81="","",($H81+$G81)-$F81)</f>
        <v/>
      </c>
      <c r="J81" s="26">
        <f>IF(OR($B81="",$F81=0),"",$I81/$F81)</f>
        <v/>
      </c>
      <c r="K81" s="26">
        <f>IF(OR($B81="",$H81=0),"",SUMPRODUCT((Investments!$A$6:$A$1005=$B81)*Investments!$L$6:$L$1005*Investments!$O$6:$O$1005)/$H81)</f>
        <v/>
      </c>
      <c r="L81" s="26">
        <f>IF(OR($B81="",$C$12=0),"",$H81/$C$12)</f>
        <v/>
      </c>
    </row>
    <row r="82">
      <c r="B82" s="27">
        <f>IF(Clients!$B67="","",Clients!$B67)</f>
        <v/>
      </c>
      <c r="C82" s="50">
        <f>IF($B82="","",COUNTIFS(Investments!$A$6:$A$1005,$B82))</f>
        <v/>
      </c>
      <c r="D82" s="39">
        <f>IF($B82="","",SUMIFS(Investments!$F$6:$F$1005,Investments!$A$6:$A$1005,$B82))</f>
        <v/>
      </c>
      <c r="E82" s="39">
        <f>IF($B82="","",SUMIFS(Investments!$G$6:$G$1005,Investments!$A$6:$A$1005,$B82))</f>
        <v/>
      </c>
      <c r="F82" s="39">
        <f>IF($B82="","",SUMIFS(Investments!$Q$6:$Q$1005,Investments!$A$6:$A$1005,$B82))</f>
        <v/>
      </c>
      <c r="G82" s="39">
        <f>IF($B82="","",SUMIFS(Investments!$I$6:$I$1005,Investments!$A$6:$A$1005,$B82)+SUMIFS(Investments!$J$6:$J$1005,Investments!$A$6:$A$1005,$B82)+SUMIFS(Investments!$K$6:$K$1005,Investments!$A$6:$A$1005,$B82))</f>
        <v/>
      </c>
      <c r="H82" s="39">
        <f>IF($B82="","",SUMIFS(Investments!$L$6:$L$1005,Investments!$A$6:$A$1005,$B82))</f>
        <v/>
      </c>
      <c r="I82" s="39">
        <f>IF($B82="","",($H82+$G82)-$F82)</f>
        <v/>
      </c>
      <c r="J82" s="31">
        <f>IF(OR($B82="",$F82=0),"",$I82/$F82)</f>
        <v/>
      </c>
      <c r="K82" s="31">
        <f>IF(OR($B82="",$H82=0),"",SUMPRODUCT((Investments!$A$6:$A$1005=$B82)*Investments!$L$6:$L$1005*Investments!$O$6:$O$1005)/$H82)</f>
        <v/>
      </c>
      <c r="L82" s="31">
        <f>IF(OR($B82="",$C$12=0),"",$H82/$C$12)</f>
        <v/>
      </c>
    </row>
    <row r="83">
      <c r="B83" s="22">
        <f>IF(Clients!$B68="","",Clients!$B68)</f>
        <v/>
      </c>
      <c r="C83" s="48">
        <f>IF($B83="","",COUNTIFS(Investments!$A$6:$A$1005,$B83))</f>
        <v/>
      </c>
      <c r="D83" s="49">
        <f>IF($B83="","",SUMIFS(Investments!$F$6:$F$1005,Investments!$A$6:$A$1005,$B83))</f>
        <v/>
      </c>
      <c r="E83" s="49">
        <f>IF($B83="","",SUMIFS(Investments!$G$6:$G$1005,Investments!$A$6:$A$1005,$B83))</f>
        <v/>
      </c>
      <c r="F83" s="49">
        <f>IF($B83="","",SUMIFS(Investments!$Q$6:$Q$1005,Investments!$A$6:$A$1005,$B83))</f>
        <v/>
      </c>
      <c r="G83" s="49">
        <f>IF($B83="","",SUMIFS(Investments!$I$6:$I$1005,Investments!$A$6:$A$1005,$B83)+SUMIFS(Investments!$J$6:$J$1005,Investments!$A$6:$A$1005,$B83)+SUMIFS(Investments!$K$6:$K$1005,Investments!$A$6:$A$1005,$B83))</f>
        <v/>
      </c>
      <c r="H83" s="49">
        <f>IF($B83="","",SUMIFS(Investments!$L$6:$L$1005,Investments!$A$6:$A$1005,$B83))</f>
        <v/>
      </c>
      <c r="I83" s="49">
        <f>IF($B83="","",($H83+$G83)-$F83)</f>
        <v/>
      </c>
      <c r="J83" s="26">
        <f>IF(OR($B83="",$F83=0),"",$I83/$F83)</f>
        <v/>
      </c>
      <c r="K83" s="26">
        <f>IF(OR($B83="",$H83=0),"",SUMPRODUCT((Investments!$A$6:$A$1005=$B83)*Investments!$L$6:$L$1005*Investments!$O$6:$O$1005)/$H83)</f>
        <v/>
      </c>
      <c r="L83" s="26">
        <f>IF(OR($B83="",$C$12=0),"",$H83/$C$12)</f>
        <v/>
      </c>
    </row>
    <row r="84">
      <c r="B84" s="27">
        <f>IF(Clients!$B69="","",Clients!$B69)</f>
        <v/>
      </c>
      <c r="C84" s="50">
        <f>IF($B84="","",COUNTIFS(Investments!$A$6:$A$1005,$B84))</f>
        <v/>
      </c>
      <c r="D84" s="39">
        <f>IF($B84="","",SUMIFS(Investments!$F$6:$F$1005,Investments!$A$6:$A$1005,$B84))</f>
        <v/>
      </c>
      <c r="E84" s="39">
        <f>IF($B84="","",SUMIFS(Investments!$G$6:$G$1005,Investments!$A$6:$A$1005,$B84))</f>
        <v/>
      </c>
      <c r="F84" s="39">
        <f>IF($B84="","",SUMIFS(Investments!$Q$6:$Q$1005,Investments!$A$6:$A$1005,$B84))</f>
        <v/>
      </c>
      <c r="G84" s="39">
        <f>IF($B84="","",SUMIFS(Investments!$I$6:$I$1005,Investments!$A$6:$A$1005,$B84)+SUMIFS(Investments!$J$6:$J$1005,Investments!$A$6:$A$1005,$B84)+SUMIFS(Investments!$K$6:$K$1005,Investments!$A$6:$A$1005,$B84))</f>
        <v/>
      </c>
      <c r="H84" s="39">
        <f>IF($B84="","",SUMIFS(Investments!$L$6:$L$1005,Investments!$A$6:$A$1005,$B84))</f>
        <v/>
      </c>
      <c r="I84" s="39">
        <f>IF($B84="","",($H84+$G84)-$F84)</f>
        <v/>
      </c>
      <c r="J84" s="31">
        <f>IF(OR($B84="",$F84=0),"",$I84/$F84)</f>
        <v/>
      </c>
      <c r="K84" s="31">
        <f>IF(OR($B84="",$H84=0),"",SUMPRODUCT((Investments!$A$6:$A$1005=$B84)*Investments!$L$6:$L$1005*Investments!$O$6:$O$1005)/$H84)</f>
        <v/>
      </c>
      <c r="L84" s="31">
        <f>IF(OR($B84="",$C$12=0),"",$H84/$C$12)</f>
        <v/>
      </c>
    </row>
    <row r="85">
      <c r="B85" s="22">
        <f>IF(Clients!$B70="","",Clients!$B70)</f>
        <v/>
      </c>
      <c r="C85" s="48">
        <f>IF($B85="","",COUNTIFS(Investments!$A$6:$A$1005,$B85))</f>
        <v/>
      </c>
      <c r="D85" s="49">
        <f>IF($B85="","",SUMIFS(Investments!$F$6:$F$1005,Investments!$A$6:$A$1005,$B85))</f>
        <v/>
      </c>
      <c r="E85" s="49">
        <f>IF($B85="","",SUMIFS(Investments!$G$6:$G$1005,Investments!$A$6:$A$1005,$B85))</f>
        <v/>
      </c>
      <c r="F85" s="49">
        <f>IF($B85="","",SUMIFS(Investments!$Q$6:$Q$1005,Investments!$A$6:$A$1005,$B85))</f>
        <v/>
      </c>
      <c r="G85" s="49">
        <f>IF($B85="","",SUMIFS(Investments!$I$6:$I$1005,Investments!$A$6:$A$1005,$B85)+SUMIFS(Investments!$J$6:$J$1005,Investments!$A$6:$A$1005,$B85)+SUMIFS(Investments!$K$6:$K$1005,Investments!$A$6:$A$1005,$B85))</f>
        <v/>
      </c>
      <c r="H85" s="49">
        <f>IF($B85="","",SUMIFS(Investments!$L$6:$L$1005,Investments!$A$6:$A$1005,$B85))</f>
        <v/>
      </c>
      <c r="I85" s="49">
        <f>IF($B85="","",($H85+$G85)-$F85)</f>
        <v/>
      </c>
      <c r="J85" s="26">
        <f>IF(OR($B85="",$F85=0),"",$I85/$F85)</f>
        <v/>
      </c>
      <c r="K85" s="26">
        <f>IF(OR($B85="",$H85=0),"",SUMPRODUCT((Investments!$A$6:$A$1005=$B85)*Investments!$L$6:$L$1005*Investments!$O$6:$O$1005)/$H85)</f>
        <v/>
      </c>
      <c r="L85" s="26">
        <f>IF(OR($B85="",$C$12=0),"",$H85/$C$12)</f>
        <v/>
      </c>
    </row>
    <row r="86">
      <c r="B86" s="27">
        <f>IF(Clients!$B71="","",Clients!$B71)</f>
        <v/>
      </c>
      <c r="C86" s="50">
        <f>IF($B86="","",COUNTIFS(Investments!$A$6:$A$1005,$B86))</f>
        <v/>
      </c>
      <c r="D86" s="39">
        <f>IF($B86="","",SUMIFS(Investments!$F$6:$F$1005,Investments!$A$6:$A$1005,$B86))</f>
        <v/>
      </c>
      <c r="E86" s="39">
        <f>IF($B86="","",SUMIFS(Investments!$G$6:$G$1005,Investments!$A$6:$A$1005,$B86))</f>
        <v/>
      </c>
      <c r="F86" s="39">
        <f>IF($B86="","",SUMIFS(Investments!$Q$6:$Q$1005,Investments!$A$6:$A$1005,$B86))</f>
        <v/>
      </c>
      <c r="G86" s="39">
        <f>IF($B86="","",SUMIFS(Investments!$I$6:$I$1005,Investments!$A$6:$A$1005,$B86)+SUMIFS(Investments!$J$6:$J$1005,Investments!$A$6:$A$1005,$B86)+SUMIFS(Investments!$K$6:$K$1005,Investments!$A$6:$A$1005,$B86))</f>
        <v/>
      </c>
      <c r="H86" s="39">
        <f>IF($B86="","",SUMIFS(Investments!$L$6:$L$1005,Investments!$A$6:$A$1005,$B86))</f>
        <v/>
      </c>
      <c r="I86" s="39">
        <f>IF($B86="","",($H86+$G86)-$F86)</f>
        <v/>
      </c>
      <c r="J86" s="31">
        <f>IF(OR($B86="",$F86=0),"",$I86/$F86)</f>
        <v/>
      </c>
      <c r="K86" s="31">
        <f>IF(OR($B86="",$H86=0),"",SUMPRODUCT((Investments!$A$6:$A$1005=$B86)*Investments!$L$6:$L$1005*Investments!$O$6:$O$1005)/$H86)</f>
        <v/>
      </c>
      <c r="L86" s="31">
        <f>IF(OR($B86="",$C$12=0),"",$H86/$C$12)</f>
        <v/>
      </c>
    </row>
    <row r="87">
      <c r="B87" s="22">
        <f>IF(Clients!$B72="","",Clients!$B72)</f>
        <v/>
      </c>
      <c r="C87" s="48">
        <f>IF($B87="","",COUNTIFS(Investments!$A$6:$A$1005,$B87))</f>
        <v/>
      </c>
      <c r="D87" s="49">
        <f>IF($B87="","",SUMIFS(Investments!$F$6:$F$1005,Investments!$A$6:$A$1005,$B87))</f>
        <v/>
      </c>
      <c r="E87" s="49">
        <f>IF($B87="","",SUMIFS(Investments!$G$6:$G$1005,Investments!$A$6:$A$1005,$B87))</f>
        <v/>
      </c>
      <c r="F87" s="49">
        <f>IF($B87="","",SUMIFS(Investments!$Q$6:$Q$1005,Investments!$A$6:$A$1005,$B87))</f>
        <v/>
      </c>
      <c r="G87" s="49">
        <f>IF($B87="","",SUMIFS(Investments!$I$6:$I$1005,Investments!$A$6:$A$1005,$B87)+SUMIFS(Investments!$J$6:$J$1005,Investments!$A$6:$A$1005,$B87)+SUMIFS(Investments!$K$6:$K$1005,Investments!$A$6:$A$1005,$B87))</f>
        <v/>
      </c>
      <c r="H87" s="49">
        <f>IF($B87="","",SUMIFS(Investments!$L$6:$L$1005,Investments!$A$6:$A$1005,$B87))</f>
        <v/>
      </c>
      <c r="I87" s="49">
        <f>IF($B87="","",($H87+$G87)-$F87)</f>
        <v/>
      </c>
      <c r="J87" s="26">
        <f>IF(OR($B87="",$F87=0),"",$I87/$F87)</f>
        <v/>
      </c>
      <c r="K87" s="26">
        <f>IF(OR($B87="",$H87=0),"",SUMPRODUCT((Investments!$A$6:$A$1005=$B87)*Investments!$L$6:$L$1005*Investments!$O$6:$O$1005)/$H87)</f>
        <v/>
      </c>
      <c r="L87" s="26">
        <f>IF(OR($B87="",$C$12=0),"",$H87/$C$12)</f>
        <v/>
      </c>
    </row>
    <row r="88">
      <c r="B88" s="27">
        <f>IF(Clients!$B73="","",Clients!$B73)</f>
        <v/>
      </c>
      <c r="C88" s="50">
        <f>IF($B88="","",COUNTIFS(Investments!$A$6:$A$1005,$B88))</f>
        <v/>
      </c>
      <c r="D88" s="39">
        <f>IF($B88="","",SUMIFS(Investments!$F$6:$F$1005,Investments!$A$6:$A$1005,$B88))</f>
        <v/>
      </c>
      <c r="E88" s="39">
        <f>IF($B88="","",SUMIFS(Investments!$G$6:$G$1005,Investments!$A$6:$A$1005,$B88))</f>
        <v/>
      </c>
      <c r="F88" s="39">
        <f>IF($B88="","",SUMIFS(Investments!$Q$6:$Q$1005,Investments!$A$6:$A$1005,$B88))</f>
        <v/>
      </c>
      <c r="G88" s="39">
        <f>IF($B88="","",SUMIFS(Investments!$I$6:$I$1005,Investments!$A$6:$A$1005,$B88)+SUMIFS(Investments!$J$6:$J$1005,Investments!$A$6:$A$1005,$B88)+SUMIFS(Investments!$K$6:$K$1005,Investments!$A$6:$A$1005,$B88))</f>
        <v/>
      </c>
      <c r="H88" s="39">
        <f>IF($B88="","",SUMIFS(Investments!$L$6:$L$1005,Investments!$A$6:$A$1005,$B88))</f>
        <v/>
      </c>
      <c r="I88" s="39">
        <f>IF($B88="","",($H88+$G88)-$F88)</f>
        <v/>
      </c>
      <c r="J88" s="31">
        <f>IF(OR($B88="",$F88=0),"",$I88/$F88)</f>
        <v/>
      </c>
      <c r="K88" s="31">
        <f>IF(OR($B88="",$H88=0),"",SUMPRODUCT((Investments!$A$6:$A$1005=$B88)*Investments!$L$6:$L$1005*Investments!$O$6:$O$1005)/$H88)</f>
        <v/>
      </c>
      <c r="L88" s="31">
        <f>IF(OR($B88="",$C$12=0),"",$H88/$C$12)</f>
        <v/>
      </c>
    </row>
    <row r="89">
      <c r="B89" s="22">
        <f>IF(Clients!$B74="","",Clients!$B74)</f>
        <v/>
      </c>
      <c r="C89" s="48">
        <f>IF($B89="","",COUNTIFS(Investments!$A$6:$A$1005,$B89))</f>
        <v/>
      </c>
      <c r="D89" s="49">
        <f>IF($B89="","",SUMIFS(Investments!$F$6:$F$1005,Investments!$A$6:$A$1005,$B89))</f>
        <v/>
      </c>
      <c r="E89" s="49">
        <f>IF($B89="","",SUMIFS(Investments!$G$6:$G$1005,Investments!$A$6:$A$1005,$B89))</f>
        <v/>
      </c>
      <c r="F89" s="49">
        <f>IF($B89="","",SUMIFS(Investments!$Q$6:$Q$1005,Investments!$A$6:$A$1005,$B89))</f>
        <v/>
      </c>
      <c r="G89" s="49">
        <f>IF($B89="","",SUMIFS(Investments!$I$6:$I$1005,Investments!$A$6:$A$1005,$B89)+SUMIFS(Investments!$J$6:$J$1005,Investments!$A$6:$A$1005,$B89)+SUMIFS(Investments!$K$6:$K$1005,Investments!$A$6:$A$1005,$B89))</f>
        <v/>
      </c>
      <c r="H89" s="49">
        <f>IF($B89="","",SUMIFS(Investments!$L$6:$L$1005,Investments!$A$6:$A$1005,$B89))</f>
        <v/>
      </c>
      <c r="I89" s="49">
        <f>IF($B89="","",($H89+$G89)-$F89)</f>
        <v/>
      </c>
      <c r="J89" s="26">
        <f>IF(OR($B89="",$F89=0),"",$I89/$F89)</f>
        <v/>
      </c>
      <c r="K89" s="26">
        <f>IF(OR($B89="",$H89=0),"",SUMPRODUCT((Investments!$A$6:$A$1005=$B89)*Investments!$L$6:$L$1005*Investments!$O$6:$O$1005)/$H89)</f>
        <v/>
      </c>
      <c r="L89" s="26">
        <f>IF(OR($B89="",$C$12=0),"",$H89/$C$12)</f>
        <v/>
      </c>
    </row>
    <row r="90">
      <c r="B90" s="27">
        <f>IF(Clients!$B75="","",Clients!$B75)</f>
        <v/>
      </c>
      <c r="C90" s="50">
        <f>IF($B90="","",COUNTIFS(Investments!$A$6:$A$1005,$B90))</f>
        <v/>
      </c>
      <c r="D90" s="39">
        <f>IF($B90="","",SUMIFS(Investments!$F$6:$F$1005,Investments!$A$6:$A$1005,$B90))</f>
        <v/>
      </c>
      <c r="E90" s="39">
        <f>IF($B90="","",SUMIFS(Investments!$G$6:$G$1005,Investments!$A$6:$A$1005,$B90))</f>
        <v/>
      </c>
      <c r="F90" s="39">
        <f>IF($B90="","",SUMIFS(Investments!$Q$6:$Q$1005,Investments!$A$6:$A$1005,$B90))</f>
        <v/>
      </c>
      <c r="G90" s="39">
        <f>IF($B90="","",SUMIFS(Investments!$I$6:$I$1005,Investments!$A$6:$A$1005,$B90)+SUMIFS(Investments!$J$6:$J$1005,Investments!$A$6:$A$1005,$B90)+SUMIFS(Investments!$K$6:$K$1005,Investments!$A$6:$A$1005,$B90))</f>
        <v/>
      </c>
      <c r="H90" s="39">
        <f>IF($B90="","",SUMIFS(Investments!$L$6:$L$1005,Investments!$A$6:$A$1005,$B90))</f>
        <v/>
      </c>
      <c r="I90" s="39">
        <f>IF($B90="","",($H90+$G90)-$F90)</f>
        <v/>
      </c>
      <c r="J90" s="31">
        <f>IF(OR($B90="",$F90=0),"",$I90/$F90)</f>
        <v/>
      </c>
      <c r="K90" s="31">
        <f>IF(OR($B90="",$H90=0),"",SUMPRODUCT((Investments!$A$6:$A$1005=$B90)*Investments!$L$6:$L$1005*Investments!$O$6:$O$1005)/$H90)</f>
        <v/>
      </c>
      <c r="L90" s="31">
        <f>IF(OR($B90="",$C$12=0),"",$H90/$C$12)</f>
        <v/>
      </c>
    </row>
    <row r="91">
      <c r="B91" s="22">
        <f>IF(Clients!$B76="","",Clients!$B76)</f>
        <v/>
      </c>
      <c r="C91" s="48">
        <f>IF($B91="","",COUNTIFS(Investments!$A$6:$A$1005,$B91))</f>
        <v/>
      </c>
      <c r="D91" s="49">
        <f>IF($B91="","",SUMIFS(Investments!$F$6:$F$1005,Investments!$A$6:$A$1005,$B91))</f>
        <v/>
      </c>
      <c r="E91" s="49">
        <f>IF($B91="","",SUMIFS(Investments!$G$6:$G$1005,Investments!$A$6:$A$1005,$B91))</f>
        <v/>
      </c>
      <c r="F91" s="49">
        <f>IF($B91="","",SUMIFS(Investments!$Q$6:$Q$1005,Investments!$A$6:$A$1005,$B91))</f>
        <v/>
      </c>
      <c r="G91" s="49">
        <f>IF($B91="","",SUMIFS(Investments!$I$6:$I$1005,Investments!$A$6:$A$1005,$B91)+SUMIFS(Investments!$J$6:$J$1005,Investments!$A$6:$A$1005,$B91)+SUMIFS(Investments!$K$6:$K$1005,Investments!$A$6:$A$1005,$B91))</f>
        <v/>
      </c>
      <c r="H91" s="49">
        <f>IF($B91="","",SUMIFS(Investments!$L$6:$L$1005,Investments!$A$6:$A$1005,$B91))</f>
        <v/>
      </c>
      <c r="I91" s="49">
        <f>IF($B91="","",($H91+$G91)-$F91)</f>
        <v/>
      </c>
      <c r="J91" s="26">
        <f>IF(OR($B91="",$F91=0),"",$I91/$F91)</f>
        <v/>
      </c>
      <c r="K91" s="26">
        <f>IF(OR($B91="",$H91=0),"",SUMPRODUCT((Investments!$A$6:$A$1005=$B91)*Investments!$L$6:$L$1005*Investments!$O$6:$O$1005)/$H91)</f>
        <v/>
      </c>
      <c r="L91" s="26">
        <f>IF(OR($B91="",$C$12=0),"",$H91/$C$12)</f>
        <v/>
      </c>
    </row>
    <row r="92">
      <c r="B92" s="27">
        <f>IF(Clients!$B77="","",Clients!$B77)</f>
        <v/>
      </c>
      <c r="C92" s="50">
        <f>IF($B92="","",COUNTIFS(Investments!$A$6:$A$1005,$B92))</f>
        <v/>
      </c>
      <c r="D92" s="39">
        <f>IF($B92="","",SUMIFS(Investments!$F$6:$F$1005,Investments!$A$6:$A$1005,$B92))</f>
        <v/>
      </c>
      <c r="E92" s="39">
        <f>IF($B92="","",SUMIFS(Investments!$G$6:$G$1005,Investments!$A$6:$A$1005,$B92))</f>
        <v/>
      </c>
      <c r="F92" s="39">
        <f>IF($B92="","",SUMIFS(Investments!$Q$6:$Q$1005,Investments!$A$6:$A$1005,$B92))</f>
        <v/>
      </c>
      <c r="G92" s="39">
        <f>IF($B92="","",SUMIFS(Investments!$I$6:$I$1005,Investments!$A$6:$A$1005,$B92)+SUMIFS(Investments!$J$6:$J$1005,Investments!$A$6:$A$1005,$B92)+SUMIFS(Investments!$K$6:$K$1005,Investments!$A$6:$A$1005,$B92))</f>
        <v/>
      </c>
      <c r="H92" s="39">
        <f>IF($B92="","",SUMIFS(Investments!$L$6:$L$1005,Investments!$A$6:$A$1005,$B92))</f>
        <v/>
      </c>
      <c r="I92" s="39">
        <f>IF($B92="","",($H92+$G92)-$F92)</f>
        <v/>
      </c>
      <c r="J92" s="31">
        <f>IF(OR($B92="",$F92=0),"",$I92/$F92)</f>
        <v/>
      </c>
      <c r="K92" s="31">
        <f>IF(OR($B92="",$H92=0),"",SUMPRODUCT((Investments!$A$6:$A$1005=$B92)*Investments!$L$6:$L$1005*Investments!$O$6:$O$1005)/$H92)</f>
        <v/>
      </c>
      <c r="L92" s="31">
        <f>IF(OR($B92="",$C$12=0),"",$H92/$C$12)</f>
        <v/>
      </c>
    </row>
    <row r="93">
      <c r="B93" s="22">
        <f>IF(Clients!$B78="","",Clients!$B78)</f>
        <v/>
      </c>
      <c r="C93" s="48">
        <f>IF($B93="","",COUNTIFS(Investments!$A$6:$A$1005,$B93))</f>
        <v/>
      </c>
      <c r="D93" s="49">
        <f>IF($B93="","",SUMIFS(Investments!$F$6:$F$1005,Investments!$A$6:$A$1005,$B93))</f>
        <v/>
      </c>
      <c r="E93" s="49">
        <f>IF($B93="","",SUMIFS(Investments!$G$6:$G$1005,Investments!$A$6:$A$1005,$B93))</f>
        <v/>
      </c>
      <c r="F93" s="49">
        <f>IF($B93="","",SUMIFS(Investments!$Q$6:$Q$1005,Investments!$A$6:$A$1005,$B93))</f>
        <v/>
      </c>
      <c r="G93" s="49">
        <f>IF($B93="","",SUMIFS(Investments!$I$6:$I$1005,Investments!$A$6:$A$1005,$B93)+SUMIFS(Investments!$J$6:$J$1005,Investments!$A$6:$A$1005,$B93)+SUMIFS(Investments!$K$6:$K$1005,Investments!$A$6:$A$1005,$B93))</f>
        <v/>
      </c>
      <c r="H93" s="49">
        <f>IF($B93="","",SUMIFS(Investments!$L$6:$L$1005,Investments!$A$6:$A$1005,$B93))</f>
        <v/>
      </c>
      <c r="I93" s="49">
        <f>IF($B93="","",($H93+$G93)-$F93)</f>
        <v/>
      </c>
      <c r="J93" s="26">
        <f>IF(OR($B93="",$F93=0),"",$I93/$F93)</f>
        <v/>
      </c>
      <c r="K93" s="26">
        <f>IF(OR($B93="",$H93=0),"",SUMPRODUCT((Investments!$A$6:$A$1005=$B93)*Investments!$L$6:$L$1005*Investments!$O$6:$O$1005)/$H93)</f>
        <v/>
      </c>
      <c r="L93" s="26">
        <f>IF(OR($B93="",$C$12=0),"",$H93/$C$12)</f>
        <v/>
      </c>
    </row>
    <row r="94">
      <c r="B94" s="27">
        <f>IF(Clients!$B79="","",Clients!$B79)</f>
        <v/>
      </c>
      <c r="C94" s="50">
        <f>IF($B94="","",COUNTIFS(Investments!$A$6:$A$1005,$B94))</f>
        <v/>
      </c>
      <c r="D94" s="39">
        <f>IF($B94="","",SUMIFS(Investments!$F$6:$F$1005,Investments!$A$6:$A$1005,$B94))</f>
        <v/>
      </c>
      <c r="E94" s="39">
        <f>IF($B94="","",SUMIFS(Investments!$G$6:$G$1005,Investments!$A$6:$A$1005,$B94))</f>
        <v/>
      </c>
      <c r="F94" s="39">
        <f>IF($B94="","",SUMIFS(Investments!$Q$6:$Q$1005,Investments!$A$6:$A$1005,$B94))</f>
        <v/>
      </c>
      <c r="G94" s="39">
        <f>IF($B94="","",SUMIFS(Investments!$I$6:$I$1005,Investments!$A$6:$A$1005,$B94)+SUMIFS(Investments!$J$6:$J$1005,Investments!$A$6:$A$1005,$B94)+SUMIFS(Investments!$K$6:$K$1005,Investments!$A$6:$A$1005,$B94))</f>
        <v/>
      </c>
      <c r="H94" s="39">
        <f>IF($B94="","",SUMIFS(Investments!$L$6:$L$1005,Investments!$A$6:$A$1005,$B94))</f>
        <v/>
      </c>
      <c r="I94" s="39">
        <f>IF($B94="","",($H94+$G94)-$F94)</f>
        <v/>
      </c>
      <c r="J94" s="31">
        <f>IF(OR($B94="",$F94=0),"",$I94/$F94)</f>
        <v/>
      </c>
      <c r="K94" s="31">
        <f>IF(OR($B94="",$H94=0),"",SUMPRODUCT((Investments!$A$6:$A$1005=$B94)*Investments!$L$6:$L$1005*Investments!$O$6:$O$1005)/$H94)</f>
        <v/>
      </c>
      <c r="L94" s="31">
        <f>IF(OR($B94="",$C$12=0),"",$H94/$C$12)</f>
        <v/>
      </c>
    </row>
    <row r="95">
      <c r="B95" s="22">
        <f>IF(Clients!$B80="","",Clients!$B80)</f>
        <v/>
      </c>
      <c r="C95" s="48">
        <f>IF($B95="","",COUNTIFS(Investments!$A$6:$A$1005,$B95))</f>
        <v/>
      </c>
      <c r="D95" s="49">
        <f>IF($B95="","",SUMIFS(Investments!$F$6:$F$1005,Investments!$A$6:$A$1005,$B95))</f>
        <v/>
      </c>
      <c r="E95" s="49">
        <f>IF($B95="","",SUMIFS(Investments!$G$6:$G$1005,Investments!$A$6:$A$1005,$B95))</f>
        <v/>
      </c>
      <c r="F95" s="49">
        <f>IF($B95="","",SUMIFS(Investments!$Q$6:$Q$1005,Investments!$A$6:$A$1005,$B95))</f>
        <v/>
      </c>
      <c r="G95" s="49">
        <f>IF($B95="","",SUMIFS(Investments!$I$6:$I$1005,Investments!$A$6:$A$1005,$B95)+SUMIFS(Investments!$J$6:$J$1005,Investments!$A$6:$A$1005,$B95)+SUMIFS(Investments!$K$6:$K$1005,Investments!$A$6:$A$1005,$B95))</f>
        <v/>
      </c>
      <c r="H95" s="49">
        <f>IF($B95="","",SUMIFS(Investments!$L$6:$L$1005,Investments!$A$6:$A$1005,$B95))</f>
        <v/>
      </c>
      <c r="I95" s="49">
        <f>IF($B95="","",($H95+$G95)-$F95)</f>
        <v/>
      </c>
      <c r="J95" s="26">
        <f>IF(OR($B95="",$F95=0),"",$I95/$F95)</f>
        <v/>
      </c>
      <c r="K95" s="26">
        <f>IF(OR($B95="",$H95=0),"",SUMPRODUCT((Investments!$A$6:$A$1005=$B95)*Investments!$L$6:$L$1005*Investments!$O$6:$O$1005)/$H95)</f>
        <v/>
      </c>
      <c r="L95" s="26">
        <f>IF(OR($B95="",$C$12=0),"",$H95/$C$12)</f>
        <v/>
      </c>
    </row>
    <row r="96">
      <c r="B96" s="27">
        <f>IF(Clients!$B81="","",Clients!$B81)</f>
        <v/>
      </c>
      <c r="C96" s="50">
        <f>IF($B96="","",COUNTIFS(Investments!$A$6:$A$1005,$B96))</f>
        <v/>
      </c>
      <c r="D96" s="39">
        <f>IF($B96="","",SUMIFS(Investments!$F$6:$F$1005,Investments!$A$6:$A$1005,$B96))</f>
        <v/>
      </c>
      <c r="E96" s="39">
        <f>IF($B96="","",SUMIFS(Investments!$G$6:$G$1005,Investments!$A$6:$A$1005,$B96))</f>
        <v/>
      </c>
      <c r="F96" s="39">
        <f>IF($B96="","",SUMIFS(Investments!$Q$6:$Q$1005,Investments!$A$6:$A$1005,$B96))</f>
        <v/>
      </c>
      <c r="G96" s="39">
        <f>IF($B96="","",SUMIFS(Investments!$I$6:$I$1005,Investments!$A$6:$A$1005,$B96)+SUMIFS(Investments!$J$6:$J$1005,Investments!$A$6:$A$1005,$B96)+SUMIFS(Investments!$K$6:$K$1005,Investments!$A$6:$A$1005,$B96))</f>
        <v/>
      </c>
      <c r="H96" s="39">
        <f>IF($B96="","",SUMIFS(Investments!$L$6:$L$1005,Investments!$A$6:$A$1005,$B96))</f>
        <v/>
      </c>
      <c r="I96" s="39">
        <f>IF($B96="","",($H96+$G96)-$F96)</f>
        <v/>
      </c>
      <c r="J96" s="31">
        <f>IF(OR($B96="",$F96=0),"",$I96/$F96)</f>
        <v/>
      </c>
      <c r="K96" s="31">
        <f>IF(OR($B96="",$H96=0),"",SUMPRODUCT((Investments!$A$6:$A$1005=$B96)*Investments!$L$6:$L$1005*Investments!$O$6:$O$1005)/$H96)</f>
        <v/>
      </c>
      <c r="L96" s="31">
        <f>IF(OR($B96="",$C$12=0),"",$H96/$C$12)</f>
        <v/>
      </c>
    </row>
    <row r="97">
      <c r="B97" s="22">
        <f>IF(Clients!$B82="","",Clients!$B82)</f>
        <v/>
      </c>
      <c r="C97" s="48">
        <f>IF($B97="","",COUNTIFS(Investments!$A$6:$A$1005,$B97))</f>
        <v/>
      </c>
      <c r="D97" s="49">
        <f>IF($B97="","",SUMIFS(Investments!$F$6:$F$1005,Investments!$A$6:$A$1005,$B97))</f>
        <v/>
      </c>
      <c r="E97" s="49">
        <f>IF($B97="","",SUMIFS(Investments!$G$6:$G$1005,Investments!$A$6:$A$1005,$B97))</f>
        <v/>
      </c>
      <c r="F97" s="49">
        <f>IF($B97="","",SUMIFS(Investments!$Q$6:$Q$1005,Investments!$A$6:$A$1005,$B97))</f>
        <v/>
      </c>
      <c r="G97" s="49">
        <f>IF($B97="","",SUMIFS(Investments!$I$6:$I$1005,Investments!$A$6:$A$1005,$B97)+SUMIFS(Investments!$J$6:$J$1005,Investments!$A$6:$A$1005,$B97)+SUMIFS(Investments!$K$6:$K$1005,Investments!$A$6:$A$1005,$B97))</f>
        <v/>
      </c>
      <c r="H97" s="49">
        <f>IF($B97="","",SUMIFS(Investments!$L$6:$L$1005,Investments!$A$6:$A$1005,$B97))</f>
        <v/>
      </c>
      <c r="I97" s="49">
        <f>IF($B97="","",($H97+$G97)-$F97)</f>
        <v/>
      </c>
      <c r="J97" s="26">
        <f>IF(OR($B97="",$F97=0),"",$I97/$F97)</f>
        <v/>
      </c>
      <c r="K97" s="26">
        <f>IF(OR($B97="",$H97=0),"",SUMPRODUCT((Investments!$A$6:$A$1005=$B97)*Investments!$L$6:$L$1005*Investments!$O$6:$O$1005)/$H97)</f>
        <v/>
      </c>
      <c r="L97" s="26">
        <f>IF(OR($B97="",$C$12=0),"",$H97/$C$12)</f>
        <v/>
      </c>
    </row>
    <row r="98">
      <c r="B98" s="27">
        <f>IF(Clients!$B83="","",Clients!$B83)</f>
        <v/>
      </c>
      <c r="C98" s="50">
        <f>IF($B98="","",COUNTIFS(Investments!$A$6:$A$1005,$B98))</f>
        <v/>
      </c>
      <c r="D98" s="39">
        <f>IF($B98="","",SUMIFS(Investments!$F$6:$F$1005,Investments!$A$6:$A$1005,$B98))</f>
        <v/>
      </c>
      <c r="E98" s="39">
        <f>IF($B98="","",SUMIFS(Investments!$G$6:$G$1005,Investments!$A$6:$A$1005,$B98))</f>
        <v/>
      </c>
      <c r="F98" s="39">
        <f>IF($B98="","",SUMIFS(Investments!$Q$6:$Q$1005,Investments!$A$6:$A$1005,$B98))</f>
        <v/>
      </c>
      <c r="G98" s="39">
        <f>IF($B98="","",SUMIFS(Investments!$I$6:$I$1005,Investments!$A$6:$A$1005,$B98)+SUMIFS(Investments!$J$6:$J$1005,Investments!$A$6:$A$1005,$B98)+SUMIFS(Investments!$K$6:$K$1005,Investments!$A$6:$A$1005,$B98))</f>
        <v/>
      </c>
      <c r="H98" s="39">
        <f>IF($B98="","",SUMIFS(Investments!$L$6:$L$1005,Investments!$A$6:$A$1005,$B98))</f>
        <v/>
      </c>
      <c r="I98" s="39">
        <f>IF($B98="","",($H98+$G98)-$F98)</f>
        <v/>
      </c>
      <c r="J98" s="31">
        <f>IF(OR($B98="",$F98=0),"",$I98/$F98)</f>
        <v/>
      </c>
      <c r="K98" s="31">
        <f>IF(OR($B98="",$H98=0),"",SUMPRODUCT((Investments!$A$6:$A$1005=$B98)*Investments!$L$6:$L$1005*Investments!$O$6:$O$1005)/$H98)</f>
        <v/>
      </c>
      <c r="L98" s="31">
        <f>IF(OR($B98="",$C$12=0),"",$H98/$C$12)</f>
        <v/>
      </c>
    </row>
    <row r="99">
      <c r="B99" s="22">
        <f>IF(Clients!$B84="","",Clients!$B84)</f>
        <v/>
      </c>
      <c r="C99" s="48">
        <f>IF($B99="","",COUNTIFS(Investments!$A$6:$A$1005,$B99))</f>
        <v/>
      </c>
      <c r="D99" s="49">
        <f>IF($B99="","",SUMIFS(Investments!$F$6:$F$1005,Investments!$A$6:$A$1005,$B99))</f>
        <v/>
      </c>
      <c r="E99" s="49">
        <f>IF($B99="","",SUMIFS(Investments!$G$6:$G$1005,Investments!$A$6:$A$1005,$B99))</f>
        <v/>
      </c>
      <c r="F99" s="49">
        <f>IF($B99="","",SUMIFS(Investments!$Q$6:$Q$1005,Investments!$A$6:$A$1005,$B99))</f>
        <v/>
      </c>
      <c r="G99" s="49">
        <f>IF($B99="","",SUMIFS(Investments!$I$6:$I$1005,Investments!$A$6:$A$1005,$B99)+SUMIFS(Investments!$J$6:$J$1005,Investments!$A$6:$A$1005,$B99)+SUMIFS(Investments!$K$6:$K$1005,Investments!$A$6:$A$1005,$B99))</f>
        <v/>
      </c>
      <c r="H99" s="49">
        <f>IF($B99="","",SUMIFS(Investments!$L$6:$L$1005,Investments!$A$6:$A$1005,$B99))</f>
        <v/>
      </c>
      <c r="I99" s="49">
        <f>IF($B99="","",($H99+$G99)-$F99)</f>
        <v/>
      </c>
      <c r="J99" s="26">
        <f>IF(OR($B99="",$F99=0),"",$I99/$F99)</f>
        <v/>
      </c>
      <c r="K99" s="26">
        <f>IF(OR($B99="",$H99=0),"",SUMPRODUCT((Investments!$A$6:$A$1005=$B99)*Investments!$L$6:$L$1005*Investments!$O$6:$O$1005)/$H99)</f>
        <v/>
      </c>
      <c r="L99" s="26">
        <f>IF(OR($B99="",$C$12=0),"",$H99/$C$12)</f>
        <v/>
      </c>
    </row>
    <row r="100">
      <c r="B100" s="27">
        <f>IF(Clients!$B85="","",Clients!$B85)</f>
        <v/>
      </c>
      <c r="C100" s="50">
        <f>IF($B100="","",COUNTIFS(Investments!$A$6:$A$1005,$B100))</f>
        <v/>
      </c>
      <c r="D100" s="39">
        <f>IF($B100="","",SUMIFS(Investments!$F$6:$F$1005,Investments!$A$6:$A$1005,$B100))</f>
        <v/>
      </c>
      <c r="E100" s="39">
        <f>IF($B100="","",SUMIFS(Investments!$G$6:$G$1005,Investments!$A$6:$A$1005,$B100))</f>
        <v/>
      </c>
      <c r="F100" s="39">
        <f>IF($B100="","",SUMIFS(Investments!$Q$6:$Q$1005,Investments!$A$6:$A$1005,$B100))</f>
        <v/>
      </c>
      <c r="G100" s="39">
        <f>IF($B100="","",SUMIFS(Investments!$I$6:$I$1005,Investments!$A$6:$A$1005,$B100)+SUMIFS(Investments!$J$6:$J$1005,Investments!$A$6:$A$1005,$B100)+SUMIFS(Investments!$K$6:$K$1005,Investments!$A$6:$A$1005,$B100))</f>
        <v/>
      </c>
      <c r="H100" s="39">
        <f>IF($B100="","",SUMIFS(Investments!$L$6:$L$1005,Investments!$A$6:$A$1005,$B100))</f>
        <v/>
      </c>
      <c r="I100" s="39">
        <f>IF($B100="","",($H100+$G100)-$F100)</f>
        <v/>
      </c>
      <c r="J100" s="31">
        <f>IF(OR($B100="",$F100=0),"",$I100/$F100)</f>
        <v/>
      </c>
      <c r="K100" s="31">
        <f>IF(OR($B100="",$H100=0),"",SUMPRODUCT((Investments!$A$6:$A$1005=$B100)*Investments!$L$6:$L$1005*Investments!$O$6:$O$1005)/$H100)</f>
        <v/>
      </c>
      <c r="L100" s="31">
        <f>IF(OR($B100="",$C$12=0),"",$H100/$C$12)</f>
        <v/>
      </c>
    </row>
    <row r="101">
      <c r="B101" s="22">
        <f>IF(Clients!$B86="","",Clients!$B86)</f>
        <v/>
      </c>
      <c r="C101" s="48">
        <f>IF($B101="","",COUNTIFS(Investments!$A$6:$A$1005,$B101))</f>
        <v/>
      </c>
      <c r="D101" s="49">
        <f>IF($B101="","",SUMIFS(Investments!$F$6:$F$1005,Investments!$A$6:$A$1005,$B101))</f>
        <v/>
      </c>
      <c r="E101" s="49">
        <f>IF($B101="","",SUMIFS(Investments!$G$6:$G$1005,Investments!$A$6:$A$1005,$B101))</f>
        <v/>
      </c>
      <c r="F101" s="49">
        <f>IF($B101="","",SUMIFS(Investments!$Q$6:$Q$1005,Investments!$A$6:$A$1005,$B101))</f>
        <v/>
      </c>
      <c r="G101" s="49">
        <f>IF($B101="","",SUMIFS(Investments!$I$6:$I$1005,Investments!$A$6:$A$1005,$B101)+SUMIFS(Investments!$J$6:$J$1005,Investments!$A$6:$A$1005,$B101)+SUMIFS(Investments!$K$6:$K$1005,Investments!$A$6:$A$1005,$B101))</f>
        <v/>
      </c>
      <c r="H101" s="49">
        <f>IF($B101="","",SUMIFS(Investments!$L$6:$L$1005,Investments!$A$6:$A$1005,$B101))</f>
        <v/>
      </c>
      <c r="I101" s="49">
        <f>IF($B101="","",($H101+$G101)-$F101)</f>
        <v/>
      </c>
      <c r="J101" s="26">
        <f>IF(OR($B101="",$F101=0),"",$I101/$F101)</f>
        <v/>
      </c>
      <c r="K101" s="26">
        <f>IF(OR($B101="",$H101=0),"",SUMPRODUCT((Investments!$A$6:$A$1005=$B101)*Investments!$L$6:$L$1005*Investments!$O$6:$O$1005)/$H101)</f>
        <v/>
      </c>
      <c r="L101" s="26">
        <f>IF(OR($B101="",$C$12=0),"",$H101/$C$12)</f>
        <v/>
      </c>
    </row>
    <row r="102">
      <c r="B102" s="27">
        <f>IF(Clients!$B87="","",Clients!$B87)</f>
        <v/>
      </c>
      <c r="C102" s="50">
        <f>IF($B102="","",COUNTIFS(Investments!$A$6:$A$1005,$B102))</f>
        <v/>
      </c>
      <c r="D102" s="39">
        <f>IF($B102="","",SUMIFS(Investments!$F$6:$F$1005,Investments!$A$6:$A$1005,$B102))</f>
        <v/>
      </c>
      <c r="E102" s="39">
        <f>IF($B102="","",SUMIFS(Investments!$G$6:$G$1005,Investments!$A$6:$A$1005,$B102))</f>
        <v/>
      </c>
      <c r="F102" s="39">
        <f>IF($B102="","",SUMIFS(Investments!$Q$6:$Q$1005,Investments!$A$6:$A$1005,$B102))</f>
        <v/>
      </c>
      <c r="G102" s="39">
        <f>IF($B102="","",SUMIFS(Investments!$I$6:$I$1005,Investments!$A$6:$A$1005,$B102)+SUMIFS(Investments!$J$6:$J$1005,Investments!$A$6:$A$1005,$B102)+SUMIFS(Investments!$K$6:$K$1005,Investments!$A$6:$A$1005,$B102))</f>
        <v/>
      </c>
      <c r="H102" s="39">
        <f>IF($B102="","",SUMIFS(Investments!$L$6:$L$1005,Investments!$A$6:$A$1005,$B102))</f>
        <v/>
      </c>
      <c r="I102" s="39">
        <f>IF($B102="","",($H102+$G102)-$F102)</f>
        <v/>
      </c>
      <c r="J102" s="31">
        <f>IF(OR($B102="",$F102=0),"",$I102/$F102)</f>
        <v/>
      </c>
      <c r="K102" s="31">
        <f>IF(OR($B102="",$H102=0),"",SUMPRODUCT((Investments!$A$6:$A$1005=$B102)*Investments!$L$6:$L$1005*Investments!$O$6:$O$1005)/$H102)</f>
        <v/>
      </c>
      <c r="L102" s="31">
        <f>IF(OR($B102="",$C$12=0),"",$H102/$C$12)</f>
        <v/>
      </c>
    </row>
    <row r="103">
      <c r="B103" s="22">
        <f>IF(Clients!$B88="","",Clients!$B88)</f>
        <v/>
      </c>
      <c r="C103" s="48">
        <f>IF($B103="","",COUNTIFS(Investments!$A$6:$A$1005,$B103))</f>
        <v/>
      </c>
      <c r="D103" s="49">
        <f>IF($B103="","",SUMIFS(Investments!$F$6:$F$1005,Investments!$A$6:$A$1005,$B103))</f>
        <v/>
      </c>
      <c r="E103" s="49">
        <f>IF($B103="","",SUMIFS(Investments!$G$6:$G$1005,Investments!$A$6:$A$1005,$B103))</f>
        <v/>
      </c>
      <c r="F103" s="49">
        <f>IF($B103="","",SUMIFS(Investments!$Q$6:$Q$1005,Investments!$A$6:$A$1005,$B103))</f>
        <v/>
      </c>
      <c r="G103" s="49">
        <f>IF($B103="","",SUMIFS(Investments!$I$6:$I$1005,Investments!$A$6:$A$1005,$B103)+SUMIFS(Investments!$J$6:$J$1005,Investments!$A$6:$A$1005,$B103)+SUMIFS(Investments!$K$6:$K$1005,Investments!$A$6:$A$1005,$B103))</f>
        <v/>
      </c>
      <c r="H103" s="49">
        <f>IF($B103="","",SUMIFS(Investments!$L$6:$L$1005,Investments!$A$6:$A$1005,$B103))</f>
        <v/>
      </c>
      <c r="I103" s="49">
        <f>IF($B103="","",($H103+$G103)-$F103)</f>
        <v/>
      </c>
      <c r="J103" s="26">
        <f>IF(OR($B103="",$F103=0),"",$I103/$F103)</f>
        <v/>
      </c>
      <c r="K103" s="26">
        <f>IF(OR($B103="",$H103=0),"",SUMPRODUCT((Investments!$A$6:$A$1005=$B103)*Investments!$L$6:$L$1005*Investments!$O$6:$O$1005)/$H103)</f>
        <v/>
      </c>
      <c r="L103" s="26">
        <f>IF(OR($B103="",$C$12=0),"",$H103/$C$12)</f>
        <v/>
      </c>
    </row>
    <row r="104">
      <c r="B104" s="27">
        <f>IF(Clients!$B89="","",Clients!$B89)</f>
        <v/>
      </c>
      <c r="C104" s="50">
        <f>IF($B104="","",COUNTIFS(Investments!$A$6:$A$1005,$B104))</f>
        <v/>
      </c>
      <c r="D104" s="39">
        <f>IF($B104="","",SUMIFS(Investments!$F$6:$F$1005,Investments!$A$6:$A$1005,$B104))</f>
        <v/>
      </c>
      <c r="E104" s="39">
        <f>IF($B104="","",SUMIFS(Investments!$G$6:$G$1005,Investments!$A$6:$A$1005,$B104))</f>
        <v/>
      </c>
      <c r="F104" s="39">
        <f>IF($B104="","",SUMIFS(Investments!$Q$6:$Q$1005,Investments!$A$6:$A$1005,$B104))</f>
        <v/>
      </c>
      <c r="G104" s="39">
        <f>IF($B104="","",SUMIFS(Investments!$I$6:$I$1005,Investments!$A$6:$A$1005,$B104)+SUMIFS(Investments!$J$6:$J$1005,Investments!$A$6:$A$1005,$B104)+SUMIFS(Investments!$K$6:$K$1005,Investments!$A$6:$A$1005,$B104))</f>
        <v/>
      </c>
      <c r="H104" s="39">
        <f>IF($B104="","",SUMIFS(Investments!$L$6:$L$1005,Investments!$A$6:$A$1005,$B104))</f>
        <v/>
      </c>
      <c r="I104" s="39">
        <f>IF($B104="","",($H104+$G104)-$F104)</f>
        <v/>
      </c>
      <c r="J104" s="31">
        <f>IF(OR($B104="",$F104=0),"",$I104/$F104)</f>
        <v/>
      </c>
      <c r="K104" s="31">
        <f>IF(OR($B104="",$H104=0),"",SUMPRODUCT((Investments!$A$6:$A$1005=$B104)*Investments!$L$6:$L$1005*Investments!$O$6:$O$1005)/$H104)</f>
        <v/>
      </c>
      <c r="L104" s="31">
        <f>IF(OR($B104="",$C$12=0),"",$H104/$C$12)</f>
        <v/>
      </c>
    </row>
    <row r="105">
      <c r="B105" s="22">
        <f>IF(Clients!$B90="","",Clients!$B90)</f>
        <v/>
      </c>
      <c r="C105" s="48">
        <f>IF($B105="","",COUNTIFS(Investments!$A$6:$A$1005,$B105))</f>
        <v/>
      </c>
      <c r="D105" s="49">
        <f>IF($B105="","",SUMIFS(Investments!$F$6:$F$1005,Investments!$A$6:$A$1005,$B105))</f>
        <v/>
      </c>
      <c r="E105" s="49">
        <f>IF($B105="","",SUMIFS(Investments!$G$6:$G$1005,Investments!$A$6:$A$1005,$B105))</f>
        <v/>
      </c>
      <c r="F105" s="49">
        <f>IF($B105="","",SUMIFS(Investments!$Q$6:$Q$1005,Investments!$A$6:$A$1005,$B105))</f>
        <v/>
      </c>
      <c r="G105" s="49">
        <f>IF($B105="","",SUMIFS(Investments!$I$6:$I$1005,Investments!$A$6:$A$1005,$B105)+SUMIFS(Investments!$J$6:$J$1005,Investments!$A$6:$A$1005,$B105)+SUMIFS(Investments!$K$6:$K$1005,Investments!$A$6:$A$1005,$B105))</f>
        <v/>
      </c>
      <c r="H105" s="49">
        <f>IF($B105="","",SUMIFS(Investments!$L$6:$L$1005,Investments!$A$6:$A$1005,$B105))</f>
        <v/>
      </c>
      <c r="I105" s="49">
        <f>IF($B105="","",($H105+$G105)-$F105)</f>
        <v/>
      </c>
      <c r="J105" s="26">
        <f>IF(OR($B105="",$F105=0),"",$I105/$F105)</f>
        <v/>
      </c>
      <c r="K105" s="26">
        <f>IF(OR($B105="",$H105=0),"",SUMPRODUCT((Investments!$A$6:$A$1005=$B105)*Investments!$L$6:$L$1005*Investments!$O$6:$O$1005)/$H105)</f>
        <v/>
      </c>
      <c r="L105" s="26">
        <f>IF(OR($B105="",$C$12=0),"",$H105/$C$12)</f>
        <v/>
      </c>
    </row>
    <row r="106">
      <c r="B106" s="27">
        <f>IF(Clients!$B91="","",Clients!$B91)</f>
        <v/>
      </c>
      <c r="C106" s="50">
        <f>IF($B106="","",COUNTIFS(Investments!$A$6:$A$1005,$B106))</f>
        <v/>
      </c>
      <c r="D106" s="39">
        <f>IF($B106="","",SUMIFS(Investments!$F$6:$F$1005,Investments!$A$6:$A$1005,$B106))</f>
        <v/>
      </c>
      <c r="E106" s="39">
        <f>IF($B106="","",SUMIFS(Investments!$G$6:$G$1005,Investments!$A$6:$A$1005,$B106))</f>
        <v/>
      </c>
      <c r="F106" s="39">
        <f>IF($B106="","",SUMIFS(Investments!$Q$6:$Q$1005,Investments!$A$6:$A$1005,$B106))</f>
        <v/>
      </c>
      <c r="G106" s="39">
        <f>IF($B106="","",SUMIFS(Investments!$I$6:$I$1005,Investments!$A$6:$A$1005,$B106)+SUMIFS(Investments!$J$6:$J$1005,Investments!$A$6:$A$1005,$B106)+SUMIFS(Investments!$K$6:$K$1005,Investments!$A$6:$A$1005,$B106))</f>
        <v/>
      </c>
      <c r="H106" s="39">
        <f>IF($B106="","",SUMIFS(Investments!$L$6:$L$1005,Investments!$A$6:$A$1005,$B106))</f>
        <v/>
      </c>
      <c r="I106" s="39">
        <f>IF($B106="","",($H106+$G106)-$F106)</f>
        <v/>
      </c>
      <c r="J106" s="31">
        <f>IF(OR($B106="",$F106=0),"",$I106/$F106)</f>
        <v/>
      </c>
      <c r="K106" s="31">
        <f>IF(OR($B106="",$H106=0),"",SUMPRODUCT((Investments!$A$6:$A$1005=$B106)*Investments!$L$6:$L$1005*Investments!$O$6:$O$1005)/$H106)</f>
        <v/>
      </c>
      <c r="L106" s="31">
        <f>IF(OR($B106="",$C$12=0),"",$H106/$C$12)</f>
        <v/>
      </c>
    </row>
    <row r="107">
      <c r="B107" s="22">
        <f>IF(Clients!$B92="","",Clients!$B92)</f>
        <v/>
      </c>
      <c r="C107" s="48">
        <f>IF($B107="","",COUNTIFS(Investments!$A$6:$A$1005,$B107))</f>
        <v/>
      </c>
      <c r="D107" s="49">
        <f>IF($B107="","",SUMIFS(Investments!$F$6:$F$1005,Investments!$A$6:$A$1005,$B107))</f>
        <v/>
      </c>
      <c r="E107" s="49">
        <f>IF($B107="","",SUMIFS(Investments!$G$6:$G$1005,Investments!$A$6:$A$1005,$B107))</f>
        <v/>
      </c>
      <c r="F107" s="49">
        <f>IF($B107="","",SUMIFS(Investments!$Q$6:$Q$1005,Investments!$A$6:$A$1005,$B107))</f>
        <v/>
      </c>
      <c r="G107" s="49">
        <f>IF($B107="","",SUMIFS(Investments!$I$6:$I$1005,Investments!$A$6:$A$1005,$B107)+SUMIFS(Investments!$J$6:$J$1005,Investments!$A$6:$A$1005,$B107)+SUMIFS(Investments!$K$6:$K$1005,Investments!$A$6:$A$1005,$B107))</f>
        <v/>
      </c>
      <c r="H107" s="49">
        <f>IF($B107="","",SUMIFS(Investments!$L$6:$L$1005,Investments!$A$6:$A$1005,$B107))</f>
        <v/>
      </c>
      <c r="I107" s="49">
        <f>IF($B107="","",($H107+$G107)-$F107)</f>
        <v/>
      </c>
      <c r="J107" s="26">
        <f>IF(OR($B107="",$F107=0),"",$I107/$F107)</f>
        <v/>
      </c>
      <c r="K107" s="26">
        <f>IF(OR($B107="",$H107=0),"",SUMPRODUCT((Investments!$A$6:$A$1005=$B107)*Investments!$L$6:$L$1005*Investments!$O$6:$O$1005)/$H107)</f>
        <v/>
      </c>
      <c r="L107" s="26">
        <f>IF(OR($B107="",$C$12=0),"",$H107/$C$12)</f>
        <v/>
      </c>
    </row>
    <row r="108">
      <c r="B108" s="27">
        <f>IF(Clients!$B93="","",Clients!$B93)</f>
        <v/>
      </c>
      <c r="C108" s="50">
        <f>IF($B108="","",COUNTIFS(Investments!$A$6:$A$1005,$B108))</f>
        <v/>
      </c>
      <c r="D108" s="39">
        <f>IF($B108="","",SUMIFS(Investments!$F$6:$F$1005,Investments!$A$6:$A$1005,$B108))</f>
        <v/>
      </c>
      <c r="E108" s="39">
        <f>IF($B108="","",SUMIFS(Investments!$G$6:$G$1005,Investments!$A$6:$A$1005,$B108))</f>
        <v/>
      </c>
      <c r="F108" s="39">
        <f>IF($B108="","",SUMIFS(Investments!$Q$6:$Q$1005,Investments!$A$6:$A$1005,$B108))</f>
        <v/>
      </c>
      <c r="G108" s="39">
        <f>IF($B108="","",SUMIFS(Investments!$I$6:$I$1005,Investments!$A$6:$A$1005,$B108)+SUMIFS(Investments!$J$6:$J$1005,Investments!$A$6:$A$1005,$B108)+SUMIFS(Investments!$K$6:$K$1005,Investments!$A$6:$A$1005,$B108))</f>
        <v/>
      </c>
      <c r="H108" s="39">
        <f>IF($B108="","",SUMIFS(Investments!$L$6:$L$1005,Investments!$A$6:$A$1005,$B108))</f>
        <v/>
      </c>
      <c r="I108" s="39">
        <f>IF($B108="","",($H108+$G108)-$F108)</f>
        <v/>
      </c>
      <c r="J108" s="31">
        <f>IF(OR($B108="",$F108=0),"",$I108/$F108)</f>
        <v/>
      </c>
      <c r="K108" s="31">
        <f>IF(OR($B108="",$H108=0),"",SUMPRODUCT((Investments!$A$6:$A$1005=$B108)*Investments!$L$6:$L$1005*Investments!$O$6:$O$1005)/$H108)</f>
        <v/>
      </c>
      <c r="L108" s="31">
        <f>IF(OR($B108="",$C$12=0),"",$H108/$C$12)</f>
        <v/>
      </c>
    </row>
    <row r="109">
      <c r="B109" s="22">
        <f>IF(Clients!$B94="","",Clients!$B94)</f>
        <v/>
      </c>
      <c r="C109" s="48">
        <f>IF($B109="","",COUNTIFS(Investments!$A$6:$A$1005,$B109))</f>
        <v/>
      </c>
      <c r="D109" s="49">
        <f>IF($B109="","",SUMIFS(Investments!$F$6:$F$1005,Investments!$A$6:$A$1005,$B109))</f>
        <v/>
      </c>
      <c r="E109" s="49">
        <f>IF($B109="","",SUMIFS(Investments!$G$6:$G$1005,Investments!$A$6:$A$1005,$B109))</f>
        <v/>
      </c>
      <c r="F109" s="49">
        <f>IF($B109="","",SUMIFS(Investments!$Q$6:$Q$1005,Investments!$A$6:$A$1005,$B109))</f>
        <v/>
      </c>
      <c r="G109" s="49">
        <f>IF($B109="","",SUMIFS(Investments!$I$6:$I$1005,Investments!$A$6:$A$1005,$B109)+SUMIFS(Investments!$J$6:$J$1005,Investments!$A$6:$A$1005,$B109)+SUMIFS(Investments!$K$6:$K$1005,Investments!$A$6:$A$1005,$B109))</f>
        <v/>
      </c>
      <c r="H109" s="49">
        <f>IF($B109="","",SUMIFS(Investments!$L$6:$L$1005,Investments!$A$6:$A$1005,$B109))</f>
        <v/>
      </c>
      <c r="I109" s="49">
        <f>IF($B109="","",($H109+$G109)-$F109)</f>
        <v/>
      </c>
      <c r="J109" s="26">
        <f>IF(OR($B109="",$F109=0),"",$I109/$F109)</f>
        <v/>
      </c>
      <c r="K109" s="26">
        <f>IF(OR($B109="",$H109=0),"",SUMPRODUCT((Investments!$A$6:$A$1005=$B109)*Investments!$L$6:$L$1005*Investments!$O$6:$O$1005)/$H109)</f>
        <v/>
      </c>
      <c r="L109" s="26">
        <f>IF(OR($B109="",$C$12=0),"",$H109/$C$12)</f>
        <v/>
      </c>
    </row>
    <row r="110">
      <c r="B110" s="27">
        <f>IF(Clients!$B95="","",Clients!$B95)</f>
        <v/>
      </c>
      <c r="C110" s="50">
        <f>IF($B110="","",COUNTIFS(Investments!$A$6:$A$1005,$B110))</f>
        <v/>
      </c>
      <c r="D110" s="39">
        <f>IF($B110="","",SUMIFS(Investments!$F$6:$F$1005,Investments!$A$6:$A$1005,$B110))</f>
        <v/>
      </c>
      <c r="E110" s="39">
        <f>IF($B110="","",SUMIFS(Investments!$G$6:$G$1005,Investments!$A$6:$A$1005,$B110))</f>
        <v/>
      </c>
      <c r="F110" s="39">
        <f>IF($B110="","",SUMIFS(Investments!$Q$6:$Q$1005,Investments!$A$6:$A$1005,$B110))</f>
        <v/>
      </c>
      <c r="G110" s="39">
        <f>IF($B110="","",SUMIFS(Investments!$I$6:$I$1005,Investments!$A$6:$A$1005,$B110)+SUMIFS(Investments!$J$6:$J$1005,Investments!$A$6:$A$1005,$B110)+SUMIFS(Investments!$K$6:$K$1005,Investments!$A$6:$A$1005,$B110))</f>
        <v/>
      </c>
      <c r="H110" s="39">
        <f>IF($B110="","",SUMIFS(Investments!$L$6:$L$1005,Investments!$A$6:$A$1005,$B110))</f>
        <v/>
      </c>
      <c r="I110" s="39">
        <f>IF($B110="","",($H110+$G110)-$F110)</f>
        <v/>
      </c>
      <c r="J110" s="31">
        <f>IF(OR($B110="",$F110=0),"",$I110/$F110)</f>
        <v/>
      </c>
      <c r="K110" s="31">
        <f>IF(OR($B110="",$H110=0),"",SUMPRODUCT((Investments!$A$6:$A$1005=$B110)*Investments!$L$6:$L$1005*Investments!$O$6:$O$1005)/$H110)</f>
        <v/>
      </c>
      <c r="L110" s="31">
        <f>IF(OR($B110="",$C$12=0),"",$H110/$C$12)</f>
        <v/>
      </c>
    </row>
    <row r="111">
      <c r="B111" s="22">
        <f>IF(Clients!$B96="","",Clients!$B96)</f>
        <v/>
      </c>
      <c r="C111" s="48">
        <f>IF($B111="","",COUNTIFS(Investments!$A$6:$A$1005,$B111))</f>
        <v/>
      </c>
      <c r="D111" s="49">
        <f>IF($B111="","",SUMIFS(Investments!$F$6:$F$1005,Investments!$A$6:$A$1005,$B111))</f>
        <v/>
      </c>
      <c r="E111" s="49">
        <f>IF($B111="","",SUMIFS(Investments!$G$6:$G$1005,Investments!$A$6:$A$1005,$B111))</f>
        <v/>
      </c>
      <c r="F111" s="49">
        <f>IF($B111="","",SUMIFS(Investments!$Q$6:$Q$1005,Investments!$A$6:$A$1005,$B111))</f>
        <v/>
      </c>
      <c r="G111" s="49">
        <f>IF($B111="","",SUMIFS(Investments!$I$6:$I$1005,Investments!$A$6:$A$1005,$B111)+SUMIFS(Investments!$J$6:$J$1005,Investments!$A$6:$A$1005,$B111)+SUMIFS(Investments!$K$6:$K$1005,Investments!$A$6:$A$1005,$B111))</f>
        <v/>
      </c>
      <c r="H111" s="49">
        <f>IF($B111="","",SUMIFS(Investments!$L$6:$L$1005,Investments!$A$6:$A$1005,$B111))</f>
        <v/>
      </c>
      <c r="I111" s="49">
        <f>IF($B111="","",($H111+$G111)-$F111)</f>
        <v/>
      </c>
      <c r="J111" s="26">
        <f>IF(OR($B111="",$F111=0),"",$I111/$F111)</f>
        <v/>
      </c>
      <c r="K111" s="26">
        <f>IF(OR($B111="",$H111=0),"",SUMPRODUCT((Investments!$A$6:$A$1005=$B111)*Investments!$L$6:$L$1005*Investments!$O$6:$O$1005)/$H111)</f>
        <v/>
      </c>
      <c r="L111" s="26">
        <f>IF(OR($B111="",$C$12=0),"",$H111/$C$12)</f>
        <v/>
      </c>
    </row>
    <row r="112">
      <c r="B112" s="27">
        <f>IF(Clients!$B97="","",Clients!$B97)</f>
        <v/>
      </c>
      <c r="C112" s="50">
        <f>IF($B112="","",COUNTIFS(Investments!$A$6:$A$1005,$B112))</f>
        <v/>
      </c>
      <c r="D112" s="39">
        <f>IF($B112="","",SUMIFS(Investments!$F$6:$F$1005,Investments!$A$6:$A$1005,$B112))</f>
        <v/>
      </c>
      <c r="E112" s="39">
        <f>IF($B112="","",SUMIFS(Investments!$G$6:$G$1005,Investments!$A$6:$A$1005,$B112))</f>
        <v/>
      </c>
      <c r="F112" s="39">
        <f>IF($B112="","",SUMIFS(Investments!$Q$6:$Q$1005,Investments!$A$6:$A$1005,$B112))</f>
        <v/>
      </c>
      <c r="G112" s="39">
        <f>IF($B112="","",SUMIFS(Investments!$I$6:$I$1005,Investments!$A$6:$A$1005,$B112)+SUMIFS(Investments!$J$6:$J$1005,Investments!$A$6:$A$1005,$B112)+SUMIFS(Investments!$K$6:$K$1005,Investments!$A$6:$A$1005,$B112))</f>
        <v/>
      </c>
      <c r="H112" s="39">
        <f>IF($B112="","",SUMIFS(Investments!$L$6:$L$1005,Investments!$A$6:$A$1005,$B112))</f>
        <v/>
      </c>
      <c r="I112" s="39">
        <f>IF($B112="","",($H112+$G112)-$F112)</f>
        <v/>
      </c>
      <c r="J112" s="31">
        <f>IF(OR($B112="",$F112=0),"",$I112/$F112)</f>
        <v/>
      </c>
      <c r="K112" s="31">
        <f>IF(OR($B112="",$H112=0),"",SUMPRODUCT((Investments!$A$6:$A$1005=$B112)*Investments!$L$6:$L$1005*Investments!$O$6:$O$1005)/$H112)</f>
        <v/>
      </c>
      <c r="L112" s="31">
        <f>IF(OR($B112="",$C$12=0),"",$H112/$C$12)</f>
        <v/>
      </c>
    </row>
    <row r="113">
      <c r="B113" s="22">
        <f>IF(Clients!$B98="","",Clients!$B98)</f>
        <v/>
      </c>
      <c r="C113" s="48">
        <f>IF($B113="","",COUNTIFS(Investments!$A$6:$A$1005,$B113))</f>
        <v/>
      </c>
      <c r="D113" s="49">
        <f>IF($B113="","",SUMIFS(Investments!$F$6:$F$1005,Investments!$A$6:$A$1005,$B113))</f>
        <v/>
      </c>
      <c r="E113" s="49">
        <f>IF($B113="","",SUMIFS(Investments!$G$6:$G$1005,Investments!$A$6:$A$1005,$B113))</f>
        <v/>
      </c>
      <c r="F113" s="49">
        <f>IF($B113="","",SUMIFS(Investments!$Q$6:$Q$1005,Investments!$A$6:$A$1005,$B113))</f>
        <v/>
      </c>
      <c r="G113" s="49">
        <f>IF($B113="","",SUMIFS(Investments!$I$6:$I$1005,Investments!$A$6:$A$1005,$B113)+SUMIFS(Investments!$J$6:$J$1005,Investments!$A$6:$A$1005,$B113)+SUMIFS(Investments!$K$6:$K$1005,Investments!$A$6:$A$1005,$B113))</f>
        <v/>
      </c>
      <c r="H113" s="49">
        <f>IF($B113="","",SUMIFS(Investments!$L$6:$L$1005,Investments!$A$6:$A$1005,$B113))</f>
        <v/>
      </c>
      <c r="I113" s="49">
        <f>IF($B113="","",($H113+$G113)-$F113)</f>
        <v/>
      </c>
      <c r="J113" s="26">
        <f>IF(OR($B113="",$F113=0),"",$I113/$F113)</f>
        <v/>
      </c>
      <c r="K113" s="26">
        <f>IF(OR($B113="",$H113=0),"",SUMPRODUCT((Investments!$A$6:$A$1005=$B113)*Investments!$L$6:$L$1005*Investments!$O$6:$O$1005)/$H113)</f>
        <v/>
      </c>
      <c r="L113" s="26">
        <f>IF(OR($B113="",$C$12=0),"",$H113/$C$12)</f>
        <v/>
      </c>
    </row>
    <row r="114">
      <c r="B114" s="27">
        <f>IF(Clients!$B99="","",Clients!$B99)</f>
        <v/>
      </c>
      <c r="C114" s="50">
        <f>IF($B114="","",COUNTIFS(Investments!$A$6:$A$1005,$B114))</f>
        <v/>
      </c>
      <c r="D114" s="39">
        <f>IF($B114="","",SUMIFS(Investments!$F$6:$F$1005,Investments!$A$6:$A$1005,$B114))</f>
        <v/>
      </c>
      <c r="E114" s="39">
        <f>IF($B114="","",SUMIFS(Investments!$G$6:$G$1005,Investments!$A$6:$A$1005,$B114))</f>
        <v/>
      </c>
      <c r="F114" s="39">
        <f>IF($B114="","",SUMIFS(Investments!$Q$6:$Q$1005,Investments!$A$6:$A$1005,$B114))</f>
        <v/>
      </c>
      <c r="G114" s="39">
        <f>IF($B114="","",SUMIFS(Investments!$I$6:$I$1005,Investments!$A$6:$A$1005,$B114)+SUMIFS(Investments!$J$6:$J$1005,Investments!$A$6:$A$1005,$B114)+SUMIFS(Investments!$K$6:$K$1005,Investments!$A$6:$A$1005,$B114))</f>
        <v/>
      </c>
      <c r="H114" s="39">
        <f>IF($B114="","",SUMIFS(Investments!$L$6:$L$1005,Investments!$A$6:$A$1005,$B114))</f>
        <v/>
      </c>
      <c r="I114" s="39">
        <f>IF($B114="","",($H114+$G114)-$F114)</f>
        <v/>
      </c>
      <c r="J114" s="31">
        <f>IF(OR($B114="",$F114=0),"",$I114/$F114)</f>
        <v/>
      </c>
      <c r="K114" s="31">
        <f>IF(OR($B114="",$H114=0),"",SUMPRODUCT((Investments!$A$6:$A$1005=$B114)*Investments!$L$6:$L$1005*Investments!$O$6:$O$1005)/$H114)</f>
        <v/>
      </c>
      <c r="L114" s="31">
        <f>IF(OR($B114="",$C$12=0),"",$H114/$C$12)</f>
        <v/>
      </c>
    </row>
    <row r="115">
      <c r="B115" s="22">
        <f>IF(Clients!$B100="","",Clients!$B100)</f>
        <v/>
      </c>
      <c r="C115" s="48">
        <f>IF($B115="","",COUNTIFS(Investments!$A$6:$A$1005,$B115))</f>
        <v/>
      </c>
      <c r="D115" s="49">
        <f>IF($B115="","",SUMIFS(Investments!$F$6:$F$1005,Investments!$A$6:$A$1005,$B115))</f>
        <v/>
      </c>
      <c r="E115" s="49">
        <f>IF($B115="","",SUMIFS(Investments!$G$6:$G$1005,Investments!$A$6:$A$1005,$B115))</f>
        <v/>
      </c>
      <c r="F115" s="49">
        <f>IF($B115="","",SUMIFS(Investments!$Q$6:$Q$1005,Investments!$A$6:$A$1005,$B115))</f>
        <v/>
      </c>
      <c r="G115" s="49">
        <f>IF($B115="","",SUMIFS(Investments!$I$6:$I$1005,Investments!$A$6:$A$1005,$B115)+SUMIFS(Investments!$J$6:$J$1005,Investments!$A$6:$A$1005,$B115)+SUMIFS(Investments!$K$6:$K$1005,Investments!$A$6:$A$1005,$B115))</f>
        <v/>
      </c>
      <c r="H115" s="49">
        <f>IF($B115="","",SUMIFS(Investments!$L$6:$L$1005,Investments!$A$6:$A$1005,$B115))</f>
        <v/>
      </c>
      <c r="I115" s="49">
        <f>IF($B115="","",($H115+$G115)-$F115)</f>
        <v/>
      </c>
      <c r="J115" s="26">
        <f>IF(OR($B115="",$F115=0),"",$I115/$F115)</f>
        <v/>
      </c>
      <c r="K115" s="26">
        <f>IF(OR($B115="",$H115=0),"",SUMPRODUCT((Investments!$A$6:$A$1005=$B115)*Investments!$L$6:$L$1005*Investments!$O$6:$O$1005)/$H115)</f>
        <v/>
      </c>
      <c r="L115" s="26">
        <f>IF(OR($B115="",$C$12=0),"",$H115/$C$12)</f>
        <v/>
      </c>
    </row>
    <row r="116">
      <c r="B116" s="27">
        <f>IF(Clients!$B101="","",Clients!$B101)</f>
        <v/>
      </c>
      <c r="C116" s="50">
        <f>IF($B116="","",COUNTIFS(Investments!$A$6:$A$1005,$B116))</f>
        <v/>
      </c>
      <c r="D116" s="39">
        <f>IF($B116="","",SUMIFS(Investments!$F$6:$F$1005,Investments!$A$6:$A$1005,$B116))</f>
        <v/>
      </c>
      <c r="E116" s="39">
        <f>IF($B116="","",SUMIFS(Investments!$G$6:$G$1005,Investments!$A$6:$A$1005,$B116))</f>
        <v/>
      </c>
      <c r="F116" s="39">
        <f>IF($B116="","",SUMIFS(Investments!$Q$6:$Q$1005,Investments!$A$6:$A$1005,$B116))</f>
        <v/>
      </c>
      <c r="G116" s="39">
        <f>IF($B116="","",SUMIFS(Investments!$I$6:$I$1005,Investments!$A$6:$A$1005,$B116)+SUMIFS(Investments!$J$6:$J$1005,Investments!$A$6:$A$1005,$B116)+SUMIFS(Investments!$K$6:$K$1005,Investments!$A$6:$A$1005,$B116))</f>
        <v/>
      </c>
      <c r="H116" s="39">
        <f>IF($B116="","",SUMIFS(Investments!$L$6:$L$1005,Investments!$A$6:$A$1005,$B116))</f>
        <v/>
      </c>
      <c r="I116" s="39">
        <f>IF($B116="","",($H116+$G116)-$F116)</f>
        <v/>
      </c>
      <c r="J116" s="31">
        <f>IF(OR($B116="",$F116=0),"",$I116/$F116)</f>
        <v/>
      </c>
      <c r="K116" s="31">
        <f>IF(OR($B116="",$H116=0),"",SUMPRODUCT((Investments!$A$6:$A$1005=$B116)*Investments!$L$6:$L$1005*Investments!$O$6:$O$1005)/$H116)</f>
        <v/>
      </c>
      <c r="L116" s="31">
        <f>IF(OR($B116="",$C$12=0),"",$H116/$C$12)</f>
        <v/>
      </c>
    </row>
    <row r="117">
      <c r="B117" s="22">
        <f>IF(Clients!$B102="","",Clients!$B102)</f>
        <v/>
      </c>
      <c r="C117" s="48">
        <f>IF($B117="","",COUNTIFS(Investments!$A$6:$A$1005,$B117))</f>
        <v/>
      </c>
      <c r="D117" s="49">
        <f>IF($B117="","",SUMIFS(Investments!$F$6:$F$1005,Investments!$A$6:$A$1005,$B117))</f>
        <v/>
      </c>
      <c r="E117" s="49">
        <f>IF($B117="","",SUMIFS(Investments!$G$6:$G$1005,Investments!$A$6:$A$1005,$B117))</f>
        <v/>
      </c>
      <c r="F117" s="49">
        <f>IF($B117="","",SUMIFS(Investments!$Q$6:$Q$1005,Investments!$A$6:$A$1005,$B117))</f>
        <v/>
      </c>
      <c r="G117" s="49">
        <f>IF($B117="","",SUMIFS(Investments!$I$6:$I$1005,Investments!$A$6:$A$1005,$B117)+SUMIFS(Investments!$J$6:$J$1005,Investments!$A$6:$A$1005,$B117)+SUMIFS(Investments!$K$6:$K$1005,Investments!$A$6:$A$1005,$B117))</f>
        <v/>
      </c>
      <c r="H117" s="49">
        <f>IF($B117="","",SUMIFS(Investments!$L$6:$L$1005,Investments!$A$6:$A$1005,$B117))</f>
        <v/>
      </c>
      <c r="I117" s="49">
        <f>IF($B117="","",($H117+$G117)-$F117)</f>
        <v/>
      </c>
      <c r="J117" s="26">
        <f>IF(OR($B117="",$F117=0),"",$I117/$F117)</f>
        <v/>
      </c>
      <c r="K117" s="26">
        <f>IF(OR($B117="",$H117=0),"",SUMPRODUCT((Investments!$A$6:$A$1005=$B117)*Investments!$L$6:$L$1005*Investments!$O$6:$O$1005)/$H117)</f>
        <v/>
      </c>
      <c r="L117" s="26">
        <f>IF(OR($B117="",$C$12=0),"",$H117/$C$12)</f>
        <v/>
      </c>
    </row>
    <row r="118">
      <c r="B118" s="27">
        <f>IF(Clients!$B103="","",Clients!$B103)</f>
        <v/>
      </c>
      <c r="C118" s="50">
        <f>IF($B118="","",COUNTIFS(Investments!$A$6:$A$1005,$B118))</f>
        <v/>
      </c>
      <c r="D118" s="39">
        <f>IF($B118="","",SUMIFS(Investments!$F$6:$F$1005,Investments!$A$6:$A$1005,$B118))</f>
        <v/>
      </c>
      <c r="E118" s="39">
        <f>IF($B118="","",SUMIFS(Investments!$G$6:$G$1005,Investments!$A$6:$A$1005,$B118))</f>
        <v/>
      </c>
      <c r="F118" s="39">
        <f>IF($B118="","",SUMIFS(Investments!$Q$6:$Q$1005,Investments!$A$6:$A$1005,$B118))</f>
        <v/>
      </c>
      <c r="G118" s="39">
        <f>IF($B118="","",SUMIFS(Investments!$I$6:$I$1005,Investments!$A$6:$A$1005,$B118)+SUMIFS(Investments!$J$6:$J$1005,Investments!$A$6:$A$1005,$B118)+SUMIFS(Investments!$K$6:$K$1005,Investments!$A$6:$A$1005,$B118))</f>
        <v/>
      </c>
      <c r="H118" s="39">
        <f>IF($B118="","",SUMIFS(Investments!$L$6:$L$1005,Investments!$A$6:$A$1005,$B118))</f>
        <v/>
      </c>
      <c r="I118" s="39">
        <f>IF($B118="","",($H118+$G118)-$F118)</f>
        <v/>
      </c>
      <c r="J118" s="31">
        <f>IF(OR($B118="",$F118=0),"",$I118/$F118)</f>
        <v/>
      </c>
      <c r="K118" s="31">
        <f>IF(OR($B118="",$H118=0),"",SUMPRODUCT((Investments!$A$6:$A$1005=$B118)*Investments!$L$6:$L$1005*Investments!$O$6:$O$1005)/$H118)</f>
        <v/>
      </c>
      <c r="L118" s="31">
        <f>IF(OR($B118="",$C$12=0),"",$H118/$C$12)</f>
        <v/>
      </c>
    </row>
    <row r="119">
      <c r="B119" s="22">
        <f>IF(Clients!$B104="","",Clients!$B104)</f>
        <v/>
      </c>
      <c r="C119" s="48">
        <f>IF($B119="","",COUNTIFS(Investments!$A$6:$A$1005,$B119))</f>
        <v/>
      </c>
      <c r="D119" s="49">
        <f>IF($B119="","",SUMIFS(Investments!$F$6:$F$1005,Investments!$A$6:$A$1005,$B119))</f>
        <v/>
      </c>
      <c r="E119" s="49">
        <f>IF($B119="","",SUMIFS(Investments!$G$6:$G$1005,Investments!$A$6:$A$1005,$B119))</f>
        <v/>
      </c>
      <c r="F119" s="49">
        <f>IF($B119="","",SUMIFS(Investments!$Q$6:$Q$1005,Investments!$A$6:$A$1005,$B119))</f>
        <v/>
      </c>
      <c r="G119" s="49">
        <f>IF($B119="","",SUMIFS(Investments!$I$6:$I$1005,Investments!$A$6:$A$1005,$B119)+SUMIFS(Investments!$J$6:$J$1005,Investments!$A$6:$A$1005,$B119)+SUMIFS(Investments!$K$6:$K$1005,Investments!$A$6:$A$1005,$B119))</f>
        <v/>
      </c>
      <c r="H119" s="49">
        <f>IF($B119="","",SUMIFS(Investments!$L$6:$L$1005,Investments!$A$6:$A$1005,$B119))</f>
        <v/>
      </c>
      <c r="I119" s="49">
        <f>IF($B119="","",($H119+$G119)-$F119)</f>
        <v/>
      </c>
      <c r="J119" s="26">
        <f>IF(OR($B119="",$F119=0),"",$I119/$F119)</f>
        <v/>
      </c>
      <c r="K119" s="26">
        <f>IF(OR($B119="",$H119=0),"",SUMPRODUCT((Investments!$A$6:$A$1005=$B119)*Investments!$L$6:$L$1005*Investments!$O$6:$O$1005)/$H119)</f>
        <v/>
      </c>
      <c r="L119" s="26">
        <f>IF(OR($B119="",$C$12=0),"",$H119/$C$12)</f>
        <v/>
      </c>
    </row>
    <row r="120">
      <c r="B120" s="27">
        <f>IF(Clients!$B105="","",Clients!$B105)</f>
        <v/>
      </c>
      <c r="C120" s="50">
        <f>IF($B120="","",COUNTIFS(Investments!$A$6:$A$1005,$B120))</f>
        <v/>
      </c>
      <c r="D120" s="39">
        <f>IF($B120="","",SUMIFS(Investments!$F$6:$F$1005,Investments!$A$6:$A$1005,$B120))</f>
        <v/>
      </c>
      <c r="E120" s="39">
        <f>IF($B120="","",SUMIFS(Investments!$G$6:$G$1005,Investments!$A$6:$A$1005,$B120))</f>
        <v/>
      </c>
      <c r="F120" s="39">
        <f>IF($B120="","",SUMIFS(Investments!$Q$6:$Q$1005,Investments!$A$6:$A$1005,$B120))</f>
        <v/>
      </c>
      <c r="G120" s="39">
        <f>IF($B120="","",SUMIFS(Investments!$I$6:$I$1005,Investments!$A$6:$A$1005,$B120)+SUMIFS(Investments!$J$6:$J$1005,Investments!$A$6:$A$1005,$B120)+SUMIFS(Investments!$K$6:$K$1005,Investments!$A$6:$A$1005,$B120))</f>
        <v/>
      </c>
      <c r="H120" s="39">
        <f>IF($B120="","",SUMIFS(Investments!$L$6:$L$1005,Investments!$A$6:$A$1005,$B120))</f>
        <v/>
      </c>
      <c r="I120" s="39">
        <f>IF($B120="","",($H120+$G120)-$F120)</f>
        <v/>
      </c>
      <c r="J120" s="31">
        <f>IF(OR($B120="",$F120=0),"",$I120/$F120)</f>
        <v/>
      </c>
      <c r="K120" s="31">
        <f>IF(OR($B120="",$H120=0),"",SUMPRODUCT((Investments!$A$6:$A$1005=$B120)*Investments!$L$6:$L$1005*Investments!$O$6:$O$1005)/$H120)</f>
        <v/>
      </c>
      <c r="L120" s="31">
        <f>IF(OR($B120="",$C$12=0),"",$H120/$C$12)</f>
        <v/>
      </c>
    </row>
    <row r="121">
      <c r="B121" s="22">
        <f>IF(Clients!$B106="","",Clients!$B106)</f>
        <v/>
      </c>
      <c r="C121" s="48">
        <f>IF($B121="","",COUNTIFS(Investments!$A$6:$A$1005,$B121))</f>
        <v/>
      </c>
      <c r="D121" s="49">
        <f>IF($B121="","",SUMIFS(Investments!$F$6:$F$1005,Investments!$A$6:$A$1005,$B121))</f>
        <v/>
      </c>
      <c r="E121" s="49">
        <f>IF($B121="","",SUMIFS(Investments!$G$6:$G$1005,Investments!$A$6:$A$1005,$B121))</f>
        <v/>
      </c>
      <c r="F121" s="49">
        <f>IF($B121="","",SUMIFS(Investments!$Q$6:$Q$1005,Investments!$A$6:$A$1005,$B121))</f>
        <v/>
      </c>
      <c r="G121" s="49">
        <f>IF($B121="","",SUMIFS(Investments!$I$6:$I$1005,Investments!$A$6:$A$1005,$B121)+SUMIFS(Investments!$J$6:$J$1005,Investments!$A$6:$A$1005,$B121)+SUMIFS(Investments!$K$6:$K$1005,Investments!$A$6:$A$1005,$B121))</f>
        <v/>
      </c>
      <c r="H121" s="49">
        <f>IF($B121="","",SUMIFS(Investments!$L$6:$L$1005,Investments!$A$6:$A$1005,$B121))</f>
        <v/>
      </c>
      <c r="I121" s="49">
        <f>IF($B121="","",($H121+$G121)-$F121)</f>
        <v/>
      </c>
      <c r="J121" s="26">
        <f>IF(OR($B121="",$F121=0),"",$I121/$F121)</f>
        <v/>
      </c>
      <c r="K121" s="26">
        <f>IF(OR($B121="",$H121=0),"",SUMPRODUCT((Investments!$A$6:$A$1005=$B121)*Investments!$L$6:$L$1005*Investments!$O$6:$O$1005)/$H121)</f>
        <v/>
      </c>
      <c r="L121" s="26">
        <f>IF(OR($B121="",$C$12=0),"",$H121/$C$12)</f>
        <v/>
      </c>
    </row>
    <row r="122">
      <c r="B122" s="27">
        <f>IF(Clients!$B107="","",Clients!$B107)</f>
        <v/>
      </c>
      <c r="C122" s="50">
        <f>IF($B122="","",COUNTIFS(Investments!$A$6:$A$1005,$B122))</f>
        <v/>
      </c>
      <c r="D122" s="39">
        <f>IF($B122="","",SUMIFS(Investments!$F$6:$F$1005,Investments!$A$6:$A$1005,$B122))</f>
        <v/>
      </c>
      <c r="E122" s="39">
        <f>IF($B122="","",SUMIFS(Investments!$G$6:$G$1005,Investments!$A$6:$A$1005,$B122))</f>
        <v/>
      </c>
      <c r="F122" s="39">
        <f>IF($B122="","",SUMIFS(Investments!$Q$6:$Q$1005,Investments!$A$6:$A$1005,$B122))</f>
        <v/>
      </c>
      <c r="G122" s="39">
        <f>IF($B122="","",SUMIFS(Investments!$I$6:$I$1005,Investments!$A$6:$A$1005,$B122)+SUMIFS(Investments!$J$6:$J$1005,Investments!$A$6:$A$1005,$B122)+SUMIFS(Investments!$K$6:$K$1005,Investments!$A$6:$A$1005,$B122))</f>
        <v/>
      </c>
      <c r="H122" s="39">
        <f>IF($B122="","",SUMIFS(Investments!$L$6:$L$1005,Investments!$A$6:$A$1005,$B122))</f>
        <v/>
      </c>
      <c r="I122" s="39">
        <f>IF($B122="","",($H122+$G122)-$F122)</f>
        <v/>
      </c>
      <c r="J122" s="31">
        <f>IF(OR($B122="",$F122=0),"",$I122/$F122)</f>
        <v/>
      </c>
      <c r="K122" s="31">
        <f>IF(OR($B122="",$H122=0),"",SUMPRODUCT((Investments!$A$6:$A$1005=$B122)*Investments!$L$6:$L$1005*Investments!$O$6:$O$1005)/$H122)</f>
        <v/>
      </c>
      <c r="L122" s="31">
        <f>IF(OR($B122="",$C$12=0),"",$H122/$C$12)</f>
        <v/>
      </c>
    </row>
    <row r="123">
      <c r="B123" s="22">
        <f>IF(Clients!$B108="","",Clients!$B108)</f>
        <v/>
      </c>
      <c r="C123" s="48">
        <f>IF($B123="","",COUNTIFS(Investments!$A$6:$A$1005,$B123))</f>
        <v/>
      </c>
      <c r="D123" s="49">
        <f>IF($B123="","",SUMIFS(Investments!$F$6:$F$1005,Investments!$A$6:$A$1005,$B123))</f>
        <v/>
      </c>
      <c r="E123" s="49">
        <f>IF($B123="","",SUMIFS(Investments!$G$6:$G$1005,Investments!$A$6:$A$1005,$B123))</f>
        <v/>
      </c>
      <c r="F123" s="49">
        <f>IF($B123="","",SUMIFS(Investments!$Q$6:$Q$1005,Investments!$A$6:$A$1005,$B123))</f>
        <v/>
      </c>
      <c r="G123" s="49">
        <f>IF($B123="","",SUMIFS(Investments!$I$6:$I$1005,Investments!$A$6:$A$1005,$B123)+SUMIFS(Investments!$J$6:$J$1005,Investments!$A$6:$A$1005,$B123)+SUMIFS(Investments!$K$6:$K$1005,Investments!$A$6:$A$1005,$B123))</f>
        <v/>
      </c>
      <c r="H123" s="49">
        <f>IF($B123="","",SUMIFS(Investments!$L$6:$L$1005,Investments!$A$6:$A$1005,$B123))</f>
        <v/>
      </c>
      <c r="I123" s="49">
        <f>IF($B123="","",($H123+$G123)-$F123)</f>
        <v/>
      </c>
      <c r="J123" s="26">
        <f>IF(OR($B123="",$F123=0),"",$I123/$F123)</f>
        <v/>
      </c>
      <c r="K123" s="26">
        <f>IF(OR($B123="",$H123=0),"",SUMPRODUCT((Investments!$A$6:$A$1005=$B123)*Investments!$L$6:$L$1005*Investments!$O$6:$O$1005)/$H123)</f>
        <v/>
      </c>
      <c r="L123" s="26">
        <f>IF(OR($B123="",$C$12=0),"",$H123/$C$12)</f>
        <v/>
      </c>
    </row>
    <row r="124">
      <c r="B124" s="27">
        <f>IF(Clients!$B109="","",Clients!$B109)</f>
        <v/>
      </c>
      <c r="C124" s="50">
        <f>IF($B124="","",COUNTIFS(Investments!$A$6:$A$1005,$B124))</f>
        <v/>
      </c>
      <c r="D124" s="39">
        <f>IF($B124="","",SUMIFS(Investments!$F$6:$F$1005,Investments!$A$6:$A$1005,$B124))</f>
        <v/>
      </c>
      <c r="E124" s="39">
        <f>IF($B124="","",SUMIFS(Investments!$G$6:$G$1005,Investments!$A$6:$A$1005,$B124))</f>
        <v/>
      </c>
      <c r="F124" s="39">
        <f>IF($B124="","",SUMIFS(Investments!$Q$6:$Q$1005,Investments!$A$6:$A$1005,$B124))</f>
        <v/>
      </c>
      <c r="G124" s="39">
        <f>IF($B124="","",SUMIFS(Investments!$I$6:$I$1005,Investments!$A$6:$A$1005,$B124)+SUMIFS(Investments!$J$6:$J$1005,Investments!$A$6:$A$1005,$B124)+SUMIFS(Investments!$K$6:$K$1005,Investments!$A$6:$A$1005,$B124))</f>
        <v/>
      </c>
      <c r="H124" s="39">
        <f>IF($B124="","",SUMIFS(Investments!$L$6:$L$1005,Investments!$A$6:$A$1005,$B124))</f>
        <v/>
      </c>
      <c r="I124" s="39">
        <f>IF($B124="","",($H124+$G124)-$F124)</f>
        <v/>
      </c>
      <c r="J124" s="31">
        <f>IF(OR($B124="",$F124=0),"",$I124/$F124)</f>
        <v/>
      </c>
      <c r="K124" s="31">
        <f>IF(OR($B124="",$H124=0),"",SUMPRODUCT((Investments!$A$6:$A$1005=$B124)*Investments!$L$6:$L$1005*Investments!$O$6:$O$1005)/$H124)</f>
        <v/>
      </c>
      <c r="L124" s="31">
        <f>IF(OR($B124="",$C$12=0),"",$H124/$C$12)</f>
        <v/>
      </c>
    </row>
    <row r="125">
      <c r="B125" s="22">
        <f>IF(Clients!$B110="","",Clients!$B110)</f>
        <v/>
      </c>
      <c r="C125" s="48">
        <f>IF($B125="","",COUNTIFS(Investments!$A$6:$A$1005,$B125))</f>
        <v/>
      </c>
      <c r="D125" s="49">
        <f>IF($B125="","",SUMIFS(Investments!$F$6:$F$1005,Investments!$A$6:$A$1005,$B125))</f>
        <v/>
      </c>
      <c r="E125" s="49">
        <f>IF($B125="","",SUMIFS(Investments!$G$6:$G$1005,Investments!$A$6:$A$1005,$B125))</f>
        <v/>
      </c>
      <c r="F125" s="49">
        <f>IF($B125="","",SUMIFS(Investments!$Q$6:$Q$1005,Investments!$A$6:$A$1005,$B125))</f>
        <v/>
      </c>
      <c r="G125" s="49">
        <f>IF($B125="","",SUMIFS(Investments!$I$6:$I$1005,Investments!$A$6:$A$1005,$B125)+SUMIFS(Investments!$J$6:$J$1005,Investments!$A$6:$A$1005,$B125)+SUMIFS(Investments!$K$6:$K$1005,Investments!$A$6:$A$1005,$B125))</f>
        <v/>
      </c>
      <c r="H125" s="49">
        <f>IF($B125="","",SUMIFS(Investments!$L$6:$L$1005,Investments!$A$6:$A$1005,$B125))</f>
        <v/>
      </c>
      <c r="I125" s="49">
        <f>IF($B125="","",($H125+$G125)-$F125)</f>
        <v/>
      </c>
      <c r="J125" s="26">
        <f>IF(OR($B125="",$F125=0),"",$I125/$F125)</f>
        <v/>
      </c>
      <c r="K125" s="26">
        <f>IF(OR($B125="",$H125=0),"",SUMPRODUCT((Investments!$A$6:$A$1005=$B125)*Investments!$L$6:$L$1005*Investments!$O$6:$O$1005)/$H125)</f>
        <v/>
      </c>
      <c r="L125" s="26">
        <f>IF(OR($B125="",$C$12=0),"",$H125/$C$12)</f>
        <v/>
      </c>
    </row>
    <row r="126">
      <c r="B126" s="27">
        <f>IF(Clients!$B111="","",Clients!$B111)</f>
        <v/>
      </c>
      <c r="C126" s="50">
        <f>IF($B126="","",COUNTIFS(Investments!$A$6:$A$1005,$B126))</f>
        <v/>
      </c>
      <c r="D126" s="39">
        <f>IF($B126="","",SUMIFS(Investments!$F$6:$F$1005,Investments!$A$6:$A$1005,$B126))</f>
        <v/>
      </c>
      <c r="E126" s="39">
        <f>IF($B126="","",SUMIFS(Investments!$G$6:$G$1005,Investments!$A$6:$A$1005,$B126))</f>
        <v/>
      </c>
      <c r="F126" s="39">
        <f>IF($B126="","",SUMIFS(Investments!$Q$6:$Q$1005,Investments!$A$6:$A$1005,$B126))</f>
        <v/>
      </c>
      <c r="G126" s="39">
        <f>IF($B126="","",SUMIFS(Investments!$I$6:$I$1005,Investments!$A$6:$A$1005,$B126)+SUMIFS(Investments!$J$6:$J$1005,Investments!$A$6:$A$1005,$B126)+SUMIFS(Investments!$K$6:$K$1005,Investments!$A$6:$A$1005,$B126))</f>
        <v/>
      </c>
      <c r="H126" s="39">
        <f>IF($B126="","",SUMIFS(Investments!$L$6:$L$1005,Investments!$A$6:$A$1005,$B126))</f>
        <v/>
      </c>
      <c r="I126" s="39">
        <f>IF($B126="","",($H126+$G126)-$F126)</f>
        <v/>
      </c>
      <c r="J126" s="31">
        <f>IF(OR($B126="",$F126=0),"",$I126/$F126)</f>
        <v/>
      </c>
      <c r="K126" s="31">
        <f>IF(OR($B126="",$H126=0),"",SUMPRODUCT((Investments!$A$6:$A$1005=$B126)*Investments!$L$6:$L$1005*Investments!$O$6:$O$1005)/$H126)</f>
        <v/>
      </c>
      <c r="L126" s="31">
        <f>IF(OR($B126="",$C$12=0),"",$H126/$C$12)</f>
        <v/>
      </c>
    </row>
    <row r="127">
      <c r="B127" s="22">
        <f>IF(Clients!$B112="","",Clients!$B112)</f>
        <v/>
      </c>
      <c r="C127" s="48">
        <f>IF($B127="","",COUNTIFS(Investments!$A$6:$A$1005,$B127))</f>
        <v/>
      </c>
      <c r="D127" s="49">
        <f>IF($B127="","",SUMIFS(Investments!$F$6:$F$1005,Investments!$A$6:$A$1005,$B127))</f>
        <v/>
      </c>
      <c r="E127" s="49">
        <f>IF($B127="","",SUMIFS(Investments!$G$6:$G$1005,Investments!$A$6:$A$1005,$B127))</f>
        <v/>
      </c>
      <c r="F127" s="49">
        <f>IF($B127="","",SUMIFS(Investments!$Q$6:$Q$1005,Investments!$A$6:$A$1005,$B127))</f>
        <v/>
      </c>
      <c r="G127" s="49">
        <f>IF($B127="","",SUMIFS(Investments!$I$6:$I$1005,Investments!$A$6:$A$1005,$B127)+SUMIFS(Investments!$J$6:$J$1005,Investments!$A$6:$A$1005,$B127)+SUMIFS(Investments!$K$6:$K$1005,Investments!$A$6:$A$1005,$B127))</f>
        <v/>
      </c>
      <c r="H127" s="49">
        <f>IF($B127="","",SUMIFS(Investments!$L$6:$L$1005,Investments!$A$6:$A$1005,$B127))</f>
        <v/>
      </c>
      <c r="I127" s="49">
        <f>IF($B127="","",($H127+$G127)-$F127)</f>
        <v/>
      </c>
      <c r="J127" s="26">
        <f>IF(OR($B127="",$F127=0),"",$I127/$F127)</f>
        <v/>
      </c>
      <c r="K127" s="26">
        <f>IF(OR($B127="",$H127=0),"",SUMPRODUCT((Investments!$A$6:$A$1005=$B127)*Investments!$L$6:$L$1005*Investments!$O$6:$O$1005)/$H127)</f>
        <v/>
      </c>
      <c r="L127" s="26">
        <f>IF(OR($B127="",$C$12=0),"",$H127/$C$12)</f>
        <v/>
      </c>
    </row>
    <row r="128">
      <c r="B128" s="27">
        <f>IF(Clients!$B113="","",Clients!$B113)</f>
        <v/>
      </c>
      <c r="C128" s="50">
        <f>IF($B128="","",COUNTIFS(Investments!$A$6:$A$1005,$B128))</f>
        <v/>
      </c>
      <c r="D128" s="39">
        <f>IF($B128="","",SUMIFS(Investments!$F$6:$F$1005,Investments!$A$6:$A$1005,$B128))</f>
        <v/>
      </c>
      <c r="E128" s="39">
        <f>IF($B128="","",SUMIFS(Investments!$G$6:$G$1005,Investments!$A$6:$A$1005,$B128))</f>
        <v/>
      </c>
      <c r="F128" s="39">
        <f>IF($B128="","",SUMIFS(Investments!$Q$6:$Q$1005,Investments!$A$6:$A$1005,$B128))</f>
        <v/>
      </c>
      <c r="G128" s="39">
        <f>IF($B128="","",SUMIFS(Investments!$I$6:$I$1005,Investments!$A$6:$A$1005,$B128)+SUMIFS(Investments!$J$6:$J$1005,Investments!$A$6:$A$1005,$B128)+SUMIFS(Investments!$K$6:$K$1005,Investments!$A$6:$A$1005,$B128))</f>
        <v/>
      </c>
      <c r="H128" s="39">
        <f>IF($B128="","",SUMIFS(Investments!$L$6:$L$1005,Investments!$A$6:$A$1005,$B128))</f>
        <v/>
      </c>
      <c r="I128" s="39">
        <f>IF($B128="","",($H128+$G128)-$F128)</f>
        <v/>
      </c>
      <c r="J128" s="31">
        <f>IF(OR($B128="",$F128=0),"",$I128/$F128)</f>
        <v/>
      </c>
      <c r="K128" s="31">
        <f>IF(OR($B128="",$H128=0),"",SUMPRODUCT((Investments!$A$6:$A$1005=$B128)*Investments!$L$6:$L$1005*Investments!$O$6:$O$1005)/$H128)</f>
        <v/>
      </c>
      <c r="L128" s="31">
        <f>IF(OR($B128="",$C$12=0),"",$H128/$C$12)</f>
        <v/>
      </c>
    </row>
    <row r="129">
      <c r="B129" s="22">
        <f>IF(Clients!$B114="","",Clients!$B114)</f>
        <v/>
      </c>
      <c r="C129" s="48">
        <f>IF($B129="","",COUNTIFS(Investments!$A$6:$A$1005,$B129))</f>
        <v/>
      </c>
      <c r="D129" s="49">
        <f>IF($B129="","",SUMIFS(Investments!$F$6:$F$1005,Investments!$A$6:$A$1005,$B129))</f>
        <v/>
      </c>
      <c r="E129" s="49">
        <f>IF($B129="","",SUMIFS(Investments!$G$6:$G$1005,Investments!$A$6:$A$1005,$B129))</f>
        <v/>
      </c>
      <c r="F129" s="49">
        <f>IF($B129="","",SUMIFS(Investments!$Q$6:$Q$1005,Investments!$A$6:$A$1005,$B129))</f>
        <v/>
      </c>
      <c r="G129" s="49">
        <f>IF($B129="","",SUMIFS(Investments!$I$6:$I$1005,Investments!$A$6:$A$1005,$B129)+SUMIFS(Investments!$J$6:$J$1005,Investments!$A$6:$A$1005,$B129)+SUMIFS(Investments!$K$6:$K$1005,Investments!$A$6:$A$1005,$B129))</f>
        <v/>
      </c>
      <c r="H129" s="49">
        <f>IF($B129="","",SUMIFS(Investments!$L$6:$L$1005,Investments!$A$6:$A$1005,$B129))</f>
        <v/>
      </c>
      <c r="I129" s="49">
        <f>IF($B129="","",($H129+$G129)-$F129)</f>
        <v/>
      </c>
      <c r="J129" s="26">
        <f>IF(OR($B129="",$F129=0),"",$I129/$F129)</f>
        <v/>
      </c>
      <c r="K129" s="26">
        <f>IF(OR($B129="",$H129=0),"",SUMPRODUCT((Investments!$A$6:$A$1005=$B129)*Investments!$L$6:$L$1005*Investments!$O$6:$O$1005)/$H129)</f>
        <v/>
      </c>
      <c r="L129" s="26">
        <f>IF(OR($B129="",$C$12=0),"",$H129/$C$12)</f>
        <v/>
      </c>
    </row>
    <row r="130">
      <c r="B130" s="27">
        <f>IF(Clients!$B115="","",Clients!$B115)</f>
        <v/>
      </c>
      <c r="C130" s="50">
        <f>IF($B130="","",COUNTIFS(Investments!$A$6:$A$1005,$B130))</f>
        <v/>
      </c>
      <c r="D130" s="39">
        <f>IF($B130="","",SUMIFS(Investments!$F$6:$F$1005,Investments!$A$6:$A$1005,$B130))</f>
        <v/>
      </c>
      <c r="E130" s="39">
        <f>IF($B130="","",SUMIFS(Investments!$G$6:$G$1005,Investments!$A$6:$A$1005,$B130))</f>
        <v/>
      </c>
      <c r="F130" s="39">
        <f>IF($B130="","",SUMIFS(Investments!$Q$6:$Q$1005,Investments!$A$6:$A$1005,$B130))</f>
        <v/>
      </c>
      <c r="G130" s="39">
        <f>IF($B130="","",SUMIFS(Investments!$I$6:$I$1005,Investments!$A$6:$A$1005,$B130)+SUMIFS(Investments!$J$6:$J$1005,Investments!$A$6:$A$1005,$B130)+SUMIFS(Investments!$K$6:$K$1005,Investments!$A$6:$A$1005,$B130))</f>
        <v/>
      </c>
      <c r="H130" s="39">
        <f>IF($B130="","",SUMIFS(Investments!$L$6:$L$1005,Investments!$A$6:$A$1005,$B130))</f>
        <v/>
      </c>
      <c r="I130" s="39">
        <f>IF($B130="","",($H130+$G130)-$F130)</f>
        <v/>
      </c>
      <c r="J130" s="31">
        <f>IF(OR($B130="",$F130=0),"",$I130/$F130)</f>
        <v/>
      </c>
      <c r="K130" s="31">
        <f>IF(OR($B130="",$H130=0),"",SUMPRODUCT((Investments!$A$6:$A$1005=$B130)*Investments!$L$6:$L$1005*Investments!$O$6:$O$1005)/$H130)</f>
        <v/>
      </c>
      <c r="L130" s="31">
        <f>IF(OR($B130="",$C$12=0),"",$H130/$C$12)</f>
        <v/>
      </c>
    </row>
    <row r="131">
      <c r="B131" s="22">
        <f>IF(Clients!$B116="","",Clients!$B116)</f>
        <v/>
      </c>
      <c r="C131" s="48">
        <f>IF($B131="","",COUNTIFS(Investments!$A$6:$A$1005,$B131))</f>
        <v/>
      </c>
      <c r="D131" s="49">
        <f>IF($B131="","",SUMIFS(Investments!$F$6:$F$1005,Investments!$A$6:$A$1005,$B131))</f>
        <v/>
      </c>
      <c r="E131" s="49">
        <f>IF($B131="","",SUMIFS(Investments!$G$6:$G$1005,Investments!$A$6:$A$1005,$B131))</f>
        <v/>
      </c>
      <c r="F131" s="49">
        <f>IF($B131="","",SUMIFS(Investments!$Q$6:$Q$1005,Investments!$A$6:$A$1005,$B131))</f>
        <v/>
      </c>
      <c r="G131" s="49">
        <f>IF($B131="","",SUMIFS(Investments!$I$6:$I$1005,Investments!$A$6:$A$1005,$B131)+SUMIFS(Investments!$J$6:$J$1005,Investments!$A$6:$A$1005,$B131)+SUMIFS(Investments!$K$6:$K$1005,Investments!$A$6:$A$1005,$B131))</f>
        <v/>
      </c>
      <c r="H131" s="49">
        <f>IF($B131="","",SUMIFS(Investments!$L$6:$L$1005,Investments!$A$6:$A$1005,$B131))</f>
        <v/>
      </c>
      <c r="I131" s="49">
        <f>IF($B131="","",($H131+$G131)-$F131)</f>
        <v/>
      </c>
      <c r="J131" s="26">
        <f>IF(OR($B131="",$F131=0),"",$I131/$F131)</f>
        <v/>
      </c>
      <c r="K131" s="26">
        <f>IF(OR($B131="",$H131=0),"",SUMPRODUCT((Investments!$A$6:$A$1005=$B131)*Investments!$L$6:$L$1005*Investments!$O$6:$O$1005)/$H131)</f>
        <v/>
      </c>
      <c r="L131" s="26">
        <f>IF(OR($B131="",$C$12=0),"",$H131/$C$12)</f>
        <v/>
      </c>
    </row>
    <row r="132">
      <c r="B132" s="27">
        <f>IF(Clients!$B117="","",Clients!$B117)</f>
        <v/>
      </c>
      <c r="C132" s="50">
        <f>IF($B132="","",COUNTIFS(Investments!$A$6:$A$1005,$B132))</f>
        <v/>
      </c>
      <c r="D132" s="39">
        <f>IF($B132="","",SUMIFS(Investments!$F$6:$F$1005,Investments!$A$6:$A$1005,$B132))</f>
        <v/>
      </c>
      <c r="E132" s="39">
        <f>IF($B132="","",SUMIFS(Investments!$G$6:$G$1005,Investments!$A$6:$A$1005,$B132))</f>
        <v/>
      </c>
      <c r="F132" s="39">
        <f>IF($B132="","",SUMIFS(Investments!$Q$6:$Q$1005,Investments!$A$6:$A$1005,$B132))</f>
        <v/>
      </c>
      <c r="G132" s="39">
        <f>IF($B132="","",SUMIFS(Investments!$I$6:$I$1005,Investments!$A$6:$A$1005,$B132)+SUMIFS(Investments!$J$6:$J$1005,Investments!$A$6:$A$1005,$B132)+SUMIFS(Investments!$K$6:$K$1005,Investments!$A$6:$A$1005,$B132))</f>
        <v/>
      </c>
      <c r="H132" s="39">
        <f>IF($B132="","",SUMIFS(Investments!$L$6:$L$1005,Investments!$A$6:$A$1005,$B132))</f>
        <v/>
      </c>
      <c r="I132" s="39">
        <f>IF($B132="","",($H132+$G132)-$F132)</f>
        <v/>
      </c>
      <c r="J132" s="31">
        <f>IF(OR($B132="",$F132=0),"",$I132/$F132)</f>
        <v/>
      </c>
      <c r="K132" s="31">
        <f>IF(OR($B132="",$H132=0),"",SUMPRODUCT((Investments!$A$6:$A$1005=$B132)*Investments!$L$6:$L$1005*Investments!$O$6:$O$1005)/$H132)</f>
        <v/>
      </c>
      <c r="L132" s="31">
        <f>IF(OR($B132="",$C$12=0),"",$H132/$C$12)</f>
        <v/>
      </c>
    </row>
    <row r="133">
      <c r="B133" s="22">
        <f>IF(Clients!$B118="","",Clients!$B118)</f>
        <v/>
      </c>
      <c r="C133" s="48">
        <f>IF($B133="","",COUNTIFS(Investments!$A$6:$A$1005,$B133))</f>
        <v/>
      </c>
      <c r="D133" s="49">
        <f>IF($B133="","",SUMIFS(Investments!$F$6:$F$1005,Investments!$A$6:$A$1005,$B133))</f>
        <v/>
      </c>
      <c r="E133" s="49">
        <f>IF($B133="","",SUMIFS(Investments!$G$6:$G$1005,Investments!$A$6:$A$1005,$B133))</f>
        <v/>
      </c>
      <c r="F133" s="49">
        <f>IF($B133="","",SUMIFS(Investments!$Q$6:$Q$1005,Investments!$A$6:$A$1005,$B133))</f>
        <v/>
      </c>
      <c r="G133" s="49">
        <f>IF($B133="","",SUMIFS(Investments!$I$6:$I$1005,Investments!$A$6:$A$1005,$B133)+SUMIFS(Investments!$J$6:$J$1005,Investments!$A$6:$A$1005,$B133)+SUMIFS(Investments!$K$6:$K$1005,Investments!$A$6:$A$1005,$B133))</f>
        <v/>
      </c>
      <c r="H133" s="49">
        <f>IF($B133="","",SUMIFS(Investments!$L$6:$L$1005,Investments!$A$6:$A$1005,$B133))</f>
        <v/>
      </c>
      <c r="I133" s="49">
        <f>IF($B133="","",($H133+$G133)-$F133)</f>
        <v/>
      </c>
      <c r="J133" s="26">
        <f>IF(OR($B133="",$F133=0),"",$I133/$F133)</f>
        <v/>
      </c>
      <c r="K133" s="26">
        <f>IF(OR($B133="",$H133=0),"",SUMPRODUCT((Investments!$A$6:$A$1005=$B133)*Investments!$L$6:$L$1005*Investments!$O$6:$O$1005)/$H133)</f>
        <v/>
      </c>
      <c r="L133" s="26">
        <f>IF(OR($B133="",$C$12=0),"",$H133/$C$12)</f>
        <v/>
      </c>
    </row>
    <row r="134">
      <c r="B134" s="27">
        <f>IF(Clients!$B119="","",Clients!$B119)</f>
        <v/>
      </c>
      <c r="C134" s="50">
        <f>IF($B134="","",COUNTIFS(Investments!$A$6:$A$1005,$B134))</f>
        <v/>
      </c>
      <c r="D134" s="39">
        <f>IF($B134="","",SUMIFS(Investments!$F$6:$F$1005,Investments!$A$6:$A$1005,$B134))</f>
        <v/>
      </c>
      <c r="E134" s="39">
        <f>IF($B134="","",SUMIFS(Investments!$G$6:$G$1005,Investments!$A$6:$A$1005,$B134))</f>
        <v/>
      </c>
      <c r="F134" s="39">
        <f>IF($B134="","",SUMIFS(Investments!$Q$6:$Q$1005,Investments!$A$6:$A$1005,$B134))</f>
        <v/>
      </c>
      <c r="G134" s="39">
        <f>IF($B134="","",SUMIFS(Investments!$I$6:$I$1005,Investments!$A$6:$A$1005,$B134)+SUMIFS(Investments!$J$6:$J$1005,Investments!$A$6:$A$1005,$B134)+SUMIFS(Investments!$K$6:$K$1005,Investments!$A$6:$A$1005,$B134))</f>
        <v/>
      </c>
      <c r="H134" s="39">
        <f>IF($B134="","",SUMIFS(Investments!$L$6:$L$1005,Investments!$A$6:$A$1005,$B134))</f>
        <v/>
      </c>
      <c r="I134" s="39">
        <f>IF($B134="","",($H134+$G134)-$F134)</f>
        <v/>
      </c>
      <c r="J134" s="31">
        <f>IF(OR($B134="",$F134=0),"",$I134/$F134)</f>
        <v/>
      </c>
      <c r="K134" s="31">
        <f>IF(OR($B134="",$H134=0),"",SUMPRODUCT((Investments!$A$6:$A$1005=$B134)*Investments!$L$6:$L$1005*Investments!$O$6:$O$1005)/$H134)</f>
        <v/>
      </c>
      <c r="L134" s="31">
        <f>IF(OR($B134="",$C$12=0),"",$H134/$C$12)</f>
        <v/>
      </c>
    </row>
    <row r="135">
      <c r="B135" s="22">
        <f>IF(Clients!$B120="","",Clients!$B120)</f>
        <v/>
      </c>
      <c r="C135" s="48">
        <f>IF($B135="","",COUNTIFS(Investments!$A$6:$A$1005,$B135))</f>
        <v/>
      </c>
      <c r="D135" s="49">
        <f>IF($B135="","",SUMIFS(Investments!$F$6:$F$1005,Investments!$A$6:$A$1005,$B135))</f>
        <v/>
      </c>
      <c r="E135" s="49">
        <f>IF($B135="","",SUMIFS(Investments!$G$6:$G$1005,Investments!$A$6:$A$1005,$B135))</f>
        <v/>
      </c>
      <c r="F135" s="49">
        <f>IF($B135="","",SUMIFS(Investments!$Q$6:$Q$1005,Investments!$A$6:$A$1005,$B135))</f>
        <v/>
      </c>
      <c r="G135" s="49">
        <f>IF($B135="","",SUMIFS(Investments!$I$6:$I$1005,Investments!$A$6:$A$1005,$B135)+SUMIFS(Investments!$J$6:$J$1005,Investments!$A$6:$A$1005,$B135)+SUMIFS(Investments!$K$6:$K$1005,Investments!$A$6:$A$1005,$B135))</f>
        <v/>
      </c>
      <c r="H135" s="49">
        <f>IF($B135="","",SUMIFS(Investments!$L$6:$L$1005,Investments!$A$6:$A$1005,$B135))</f>
        <v/>
      </c>
      <c r="I135" s="49">
        <f>IF($B135="","",($H135+$G135)-$F135)</f>
        <v/>
      </c>
      <c r="J135" s="26">
        <f>IF(OR($B135="",$F135=0),"",$I135/$F135)</f>
        <v/>
      </c>
      <c r="K135" s="26">
        <f>IF(OR($B135="",$H135=0),"",SUMPRODUCT((Investments!$A$6:$A$1005=$B135)*Investments!$L$6:$L$1005*Investments!$O$6:$O$1005)/$H135)</f>
        <v/>
      </c>
      <c r="L135" s="26">
        <f>IF(OR($B135="",$C$12=0),"",$H135/$C$12)</f>
        <v/>
      </c>
    </row>
    <row r="136">
      <c r="B136" s="27">
        <f>IF(Clients!$B121="","",Clients!$B121)</f>
        <v/>
      </c>
      <c r="C136" s="50">
        <f>IF($B136="","",COUNTIFS(Investments!$A$6:$A$1005,$B136))</f>
        <v/>
      </c>
      <c r="D136" s="39">
        <f>IF($B136="","",SUMIFS(Investments!$F$6:$F$1005,Investments!$A$6:$A$1005,$B136))</f>
        <v/>
      </c>
      <c r="E136" s="39">
        <f>IF($B136="","",SUMIFS(Investments!$G$6:$G$1005,Investments!$A$6:$A$1005,$B136))</f>
        <v/>
      </c>
      <c r="F136" s="39">
        <f>IF($B136="","",SUMIFS(Investments!$Q$6:$Q$1005,Investments!$A$6:$A$1005,$B136))</f>
        <v/>
      </c>
      <c r="G136" s="39">
        <f>IF($B136="","",SUMIFS(Investments!$I$6:$I$1005,Investments!$A$6:$A$1005,$B136)+SUMIFS(Investments!$J$6:$J$1005,Investments!$A$6:$A$1005,$B136)+SUMIFS(Investments!$K$6:$K$1005,Investments!$A$6:$A$1005,$B136))</f>
        <v/>
      </c>
      <c r="H136" s="39">
        <f>IF($B136="","",SUMIFS(Investments!$L$6:$L$1005,Investments!$A$6:$A$1005,$B136))</f>
        <v/>
      </c>
      <c r="I136" s="39">
        <f>IF($B136="","",($H136+$G136)-$F136)</f>
        <v/>
      </c>
      <c r="J136" s="31">
        <f>IF(OR($B136="",$F136=0),"",$I136/$F136)</f>
        <v/>
      </c>
      <c r="K136" s="31">
        <f>IF(OR($B136="",$H136=0),"",SUMPRODUCT((Investments!$A$6:$A$1005=$B136)*Investments!$L$6:$L$1005*Investments!$O$6:$O$1005)/$H136)</f>
        <v/>
      </c>
      <c r="L136" s="31">
        <f>IF(OR($B136="",$C$12=0),"",$H136/$C$12)</f>
        <v/>
      </c>
    </row>
    <row r="137">
      <c r="B137" s="22">
        <f>IF(Clients!$B122="","",Clients!$B122)</f>
        <v/>
      </c>
      <c r="C137" s="48">
        <f>IF($B137="","",COUNTIFS(Investments!$A$6:$A$1005,$B137))</f>
        <v/>
      </c>
      <c r="D137" s="49">
        <f>IF($B137="","",SUMIFS(Investments!$F$6:$F$1005,Investments!$A$6:$A$1005,$B137))</f>
        <v/>
      </c>
      <c r="E137" s="49">
        <f>IF($B137="","",SUMIFS(Investments!$G$6:$G$1005,Investments!$A$6:$A$1005,$B137))</f>
        <v/>
      </c>
      <c r="F137" s="49">
        <f>IF($B137="","",SUMIFS(Investments!$Q$6:$Q$1005,Investments!$A$6:$A$1005,$B137))</f>
        <v/>
      </c>
      <c r="G137" s="49">
        <f>IF($B137="","",SUMIFS(Investments!$I$6:$I$1005,Investments!$A$6:$A$1005,$B137)+SUMIFS(Investments!$J$6:$J$1005,Investments!$A$6:$A$1005,$B137)+SUMIFS(Investments!$K$6:$K$1005,Investments!$A$6:$A$1005,$B137))</f>
        <v/>
      </c>
      <c r="H137" s="49">
        <f>IF($B137="","",SUMIFS(Investments!$L$6:$L$1005,Investments!$A$6:$A$1005,$B137))</f>
        <v/>
      </c>
      <c r="I137" s="49">
        <f>IF($B137="","",($H137+$G137)-$F137)</f>
        <v/>
      </c>
      <c r="J137" s="26">
        <f>IF(OR($B137="",$F137=0),"",$I137/$F137)</f>
        <v/>
      </c>
      <c r="K137" s="26">
        <f>IF(OR($B137="",$H137=0),"",SUMPRODUCT((Investments!$A$6:$A$1005=$B137)*Investments!$L$6:$L$1005*Investments!$O$6:$O$1005)/$H137)</f>
        <v/>
      </c>
      <c r="L137" s="26">
        <f>IF(OR($B137="",$C$12=0),"",$H137/$C$12)</f>
        <v/>
      </c>
    </row>
    <row r="138">
      <c r="B138" s="27">
        <f>IF(Clients!$B123="","",Clients!$B123)</f>
        <v/>
      </c>
      <c r="C138" s="50">
        <f>IF($B138="","",COUNTIFS(Investments!$A$6:$A$1005,$B138))</f>
        <v/>
      </c>
      <c r="D138" s="39">
        <f>IF($B138="","",SUMIFS(Investments!$F$6:$F$1005,Investments!$A$6:$A$1005,$B138))</f>
        <v/>
      </c>
      <c r="E138" s="39">
        <f>IF($B138="","",SUMIFS(Investments!$G$6:$G$1005,Investments!$A$6:$A$1005,$B138))</f>
        <v/>
      </c>
      <c r="F138" s="39">
        <f>IF($B138="","",SUMIFS(Investments!$Q$6:$Q$1005,Investments!$A$6:$A$1005,$B138))</f>
        <v/>
      </c>
      <c r="G138" s="39">
        <f>IF($B138="","",SUMIFS(Investments!$I$6:$I$1005,Investments!$A$6:$A$1005,$B138)+SUMIFS(Investments!$J$6:$J$1005,Investments!$A$6:$A$1005,$B138)+SUMIFS(Investments!$K$6:$K$1005,Investments!$A$6:$A$1005,$B138))</f>
        <v/>
      </c>
      <c r="H138" s="39">
        <f>IF($B138="","",SUMIFS(Investments!$L$6:$L$1005,Investments!$A$6:$A$1005,$B138))</f>
        <v/>
      </c>
      <c r="I138" s="39">
        <f>IF($B138="","",($H138+$G138)-$F138)</f>
        <v/>
      </c>
      <c r="J138" s="31">
        <f>IF(OR($B138="",$F138=0),"",$I138/$F138)</f>
        <v/>
      </c>
      <c r="K138" s="31">
        <f>IF(OR($B138="",$H138=0),"",SUMPRODUCT((Investments!$A$6:$A$1005=$B138)*Investments!$L$6:$L$1005*Investments!$O$6:$O$1005)/$H138)</f>
        <v/>
      </c>
      <c r="L138" s="31">
        <f>IF(OR($B138="",$C$12=0),"",$H138/$C$12)</f>
        <v/>
      </c>
    </row>
    <row r="139">
      <c r="B139" s="22">
        <f>IF(Clients!$B124="","",Clients!$B124)</f>
        <v/>
      </c>
      <c r="C139" s="48">
        <f>IF($B139="","",COUNTIFS(Investments!$A$6:$A$1005,$B139))</f>
        <v/>
      </c>
      <c r="D139" s="49">
        <f>IF($B139="","",SUMIFS(Investments!$F$6:$F$1005,Investments!$A$6:$A$1005,$B139))</f>
        <v/>
      </c>
      <c r="E139" s="49">
        <f>IF($B139="","",SUMIFS(Investments!$G$6:$G$1005,Investments!$A$6:$A$1005,$B139))</f>
        <v/>
      </c>
      <c r="F139" s="49">
        <f>IF($B139="","",SUMIFS(Investments!$Q$6:$Q$1005,Investments!$A$6:$A$1005,$B139))</f>
        <v/>
      </c>
      <c r="G139" s="49">
        <f>IF($B139="","",SUMIFS(Investments!$I$6:$I$1005,Investments!$A$6:$A$1005,$B139)+SUMIFS(Investments!$J$6:$J$1005,Investments!$A$6:$A$1005,$B139)+SUMIFS(Investments!$K$6:$K$1005,Investments!$A$6:$A$1005,$B139))</f>
        <v/>
      </c>
      <c r="H139" s="49">
        <f>IF($B139="","",SUMIFS(Investments!$L$6:$L$1005,Investments!$A$6:$A$1005,$B139))</f>
        <v/>
      </c>
      <c r="I139" s="49">
        <f>IF($B139="","",($H139+$G139)-$F139)</f>
        <v/>
      </c>
      <c r="J139" s="26">
        <f>IF(OR($B139="",$F139=0),"",$I139/$F139)</f>
        <v/>
      </c>
      <c r="K139" s="26">
        <f>IF(OR($B139="",$H139=0),"",SUMPRODUCT((Investments!$A$6:$A$1005=$B139)*Investments!$L$6:$L$1005*Investments!$O$6:$O$1005)/$H139)</f>
        <v/>
      </c>
      <c r="L139" s="26">
        <f>IF(OR($B139="",$C$12=0),"",$H139/$C$12)</f>
        <v/>
      </c>
    </row>
    <row r="140">
      <c r="B140" s="27">
        <f>IF(Clients!$B125="","",Clients!$B125)</f>
        <v/>
      </c>
      <c r="C140" s="50">
        <f>IF($B140="","",COUNTIFS(Investments!$A$6:$A$1005,$B140))</f>
        <v/>
      </c>
      <c r="D140" s="39">
        <f>IF($B140="","",SUMIFS(Investments!$F$6:$F$1005,Investments!$A$6:$A$1005,$B140))</f>
        <v/>
      </c>
      <c r="E140" s="39">
        <f>IF($B140="","",SUMIFS(Investments!$G$6:$G$1005,Investments!$A$6:$A$1005,$B140))</f>
        <v/>
      </c>
      <c r="F140" s="39">
        <f>IF($B140="","",SUMIFS(Investments!$Q$6:$Q$1005,Investments!$A$6:$A$1005,$B140))</f>
        <v/>
      </c>
      <c r="G140" s="39">
        <f>IF($B140="","",SUMIFS(Investments!$I$6:$I$1005,Investments!$A$6:$A$1005,$B140)+SUMIFS(Investments!$J$6:$J$1005,Investments!$A$6:$A$1005,$B140)+SUMIFS(Investments!$K$6:$K$1005,Investments!$A$6:$A$1005,$B140))</f>
        <v/>
      </c>
      <c r="H140" s="39">
        <f>IF($B140="","",SUMIFS(Investments!$L$6:$L$1005,Investments!$A$6:$A$1005,$B140))</f>
        <v/>
      </c>
      <c r="I140" s="39">
        <f>IF($B140="","",($H140+$G140)-$F140)</f>
        <v/>
      </c>
      <c r="J140" s="31">
        <f>IF(OR($B140="",$F140=0),"",$I140/$F140)</f>
        <v/>
      </c>
      <c r="K140" s="31">
        <f>IF(OR($B140="",$H140=0),"",SUMPRODUCT((Investments!$A$6:$A$1005=$B140)*Investments!$L$6:$L$1005*Investments!$O$6:$O$1005)/$H140)</f>
        <v/>
      </c>
      <c r="L140" s="31">
        <f>IF(OR($B140="",$C$12=0),"",$H140/$C$12)</f>
        <v/>
      </c>
    </row>
    <row r="141">
      <c r="B141" s="22">
        <f>IF(Clients!$B126="","",Clients!$B126)</f>
        <v/>
      </c>
      <c r="C141" s="48">
        <f>IF($B141="","",COUNTIFS(Investments!$A$6:$A$1005,$B141))</f>
        <v/>
      </c>
      <c r="D141" s="49">
        <f>IF($B141="","",SUMIFS(Investments!$F$6:$F$1005,Investments!$A$6:$A$1005,$B141))</f>
        <v/>
      </c>
      <c r="E141" s="49">
        <f>IF($B141="","",SUMIFS(Investments!$G$6:$G$1005,Investments!$A$6:$A$1005,$B141))</f>
        <v/>
      </c>
      <c r="F141" s="49">
        <f>IF($B141="","",SUMIFS(Investments!$Q$6:$Q$1005,Investments!$A$6:$A$1005,$B141))</f>
        <v/>
      </c>
      <c r="G141" s="49">
        <f>IF($B141="","",SUMIFS(Investments!$I$6:$I$1005,Investments!$A$6:$A$1005,$B141)+SUMIFS(Investments!$J$6:$J$1005,Investments!$A$6:$A$1005,$B141)+SUMIFS(Investments!$K$6:$K$1005,Investments!$A$6:$A$1005,$B141))</f>
        <v/>
      </c>
      <c r="H141" s="49">
        <f>IF($B141="","",SUMIFS(Investments!$L$6:$L$1005,Investments!$A$6:$A$1005,$B141))</f>
        <v/>
      </c>
      <c r="I141" s="49">
        <f>IF($B141="","",($H141+$G141)-$F141)</f>
        <v/>
      </c>
      <c r="J141" s="26">
        <f>IF(OR($B141="",$F141=0),"",$I141/$F141)</f>
        <v/>
      </c>
      <c r="K141" s="26">
        <f>IF(OR($B141="",$H141=0),"",SUMPRODUCT((Investments!$A$6:$A$1005=$B141)*Investments!$L$6:$L$1005*Investments!$O$6:$O$1005)/$H141)</f>
        <v/>
      </c>
      <c r="L141" s="26">
        <f>IF(OR($B141="",$C$12=0),"",$H141/$C$12)</f>
        <v/>
      </c>
    </row>
    <row r="142">
      <c r="B142" s="27">
        <f>IF(Clients!$B127="","",Clients!$B127)</f>
        <v/>
      </c>
      <c r="C142" s="50">
        <f>IF($B142="","",COUNTIFS(Investments!$A$6:$A$1005,$B142))</f>
        <v/>
      </c>
      <c r="D142" s="39">
        <f>IF($B142="","",SUMIFS(Investments!$F$6:$F$1005,Investments!$A$6:$A$1005,$B142))</f>
        <v/>
      </c>
      <c r="E142" s="39">
        <f>IF($B142="","",SUMIFS(Investments!$G$6:$G$1005,Investments!$A$6:$A$1005,$B142))</f>
        <v/>
      </c>
      <c r="F142" s="39">
        <f>IF($B142="","",SUMIFS(Investments!$Q$6:$Q$1005,Investments!$A$6:$A$1005,$B142))</f>
        <v/>
      </c>
      <c r="G142" s="39">
        <f>IF($B142="","",SUMIFS(Investments!$I$6:$I$1005,Investments!$A$6:$A$1005,$B142)+SUMIFS(Investments!$J$6:$J$1005,Investments!$A$6:$A$1005,$B142)+SUMIFS(Investments!$K$6:$K$1005,Investments!$A$6:$A$1005,$B142))</f>
        <v/>
      </c>
      <c r="H142" s="39">
        <f>IF($B142="","",SUMIFS(Investments!$L$6:$L$1005,Investments!$A$6:$A$1005,$B142))</f>
        <v/>
      </c>
      <c r="I142" s="39">
        <f>IF($B142="","",($H142+$G142)-$F142)</f>
        <v/>
      </c>
      <c r="J142" s="31">
        <f>IF(OR($B142="",$F142=0),"",$I142/$F142)</f>
        <v/>
      </c>
      <c r="K142" s="31">
        <f>IF(OR($B142="",$H142=0),"",SUMPRODUCT((Investments!$A$6:$A$1005=$B142)*Investments!$L$6:$L$1005*Investments!$O$6:$O$1005)/$H142)</f>
        <v/>
      </c>
      <c r="L142" s="31">
        <f>IF(OR($B142="",$C$12=0),"",$H142/$C$12)</f>
        <v/>
      </c>
    </row>
    <row r="143">
      <c r="B143" s="22">
        <f>IF(Clients!$B128="","",Clients!$B128)</f>
        <v/>
      </c>
      <c r="C143" s="48">
        <f>IF($B143="","",COUNTIFS(Investments!$A$6:$A$1005,$B143))</f>
        <v/>
      </c>
      <c r="D143" s="49">
        <f>IF($B143="","",SUMIFS(Investments!$F$6:$F$1005,Investments!$A$6:$A$1005,$B143))</f>
        <v/>
      </c>
      <c r="E143" s="49">
        <f>IF($B143="","",SUMIFS(Investments!$G$6:$G$1005,Investments!$A$6:$A$1005,$B143))</f>
        <v/>
      </c>
      <c r="F143" s="49">
        <f>IF($B143="","",SUMIFS(Investments!$Q$6:$Q$1005,Investments!$A$6:$A$1005,$B143))</f>
        <v/>
      </c>
      <c r="G143" s="49">
        <f>IF($B143="","",SUMIFS(Investments!$I$6:$I$1005,Investments!$A$6:$A$1005,$B143)+SUMIFS(Investments!$J$6:$J$1005,Investments!$A$6:$A$1005,$B143)+SUMIFS(Investments!$K$6:$K$1005,Investments!$A$6:$A$1005,$B143))</f>
        <v/>
      </c>
      <c r="H143" s="49">
        <f>IF($B143="","",SUMIFS(Investments!$L$6:$L$1005,Investments!$A$6:$A$1005,$B143))</f>
        <v/>
      </c>
      <c r="I143" s="49">
        <f>IF($B143="","",($H143+$G143)-$F143)</f>
        <v/>
      </c>
      <c r="J143" s="26">
        <f>IF(OR($B143="",$F143=0),"",$I143/$F143)</f>
        <v/>
      </c>
      <c r="K143" s="26">
        <f>IF(OR($B143="",$H143=0),"",SUMPRODUCT((Investments!$A$6:$A$1005=$B143)*Investments!$L$6:$L$1005*Investments!$O$6:$O$1005)/$H143)</f>
        <v/>
      </c>
      <c r="L143" s="26">
        <f>IF(OR($B143="",$C$12=0),"",$H143/$C$12)</f>
        <v/>
      </c>
    </row>
    <row r="144">
      <c r="B144" s="27">
        <f>IF(Clients!$B129="","",Clients!$B129)</f>
        <v/>
      </c>
      <c r="C144" s="50">
        <f>IF($B144="","",COUNTIFS(Investments!$A$6:$A$1005,$B144))</f>
        <v/>
      </c>
      <c r="D144" s="39">
        <f>IF($B144="","",SUMIFS(Investments!$F$6:$F$1005,Investments!$A$6:$A$1005,$B144))</f>
        <v/>
      </c>
      <c r="E144" s="39">
        <f>IF($B144="","",SUMIFS(Investments!$G$6:$G$1005,Investments!$A$6:$A$1005,$B144))</f>
        <v/>
      </c>
      <c r="F144" s="39">
        <f>IF($B144="","",SUMIFS(Investments!$Q$6:$Q$1005,Investments!$A$6:$A$1005,$B144))</f>
        <v/>
      </c>
      <c r="G144" s="39">
        <f>IF($B144="","",SUMIFS(Investments!$I$6:$I$1005,Investments!$A$6:$A$1005,$B144)+SUMIFS(Investments!$J$6:$J$1005,Investments!$A$6:$A$1005,$B144)+SUMIFS(Investments!$K$6:$K$1005,Investments!$A$6:$A$1005,$B144))</f>
        <v/>
      </c>
      <c r="H144" s="39">
        <f>IF($B144="","",SUMIFS(Investments!$L$6:$L$1005,Investments!$A$6:$A$1005,$B144))</f>
        <v/>
      </c>
      <c r="I144" s="39">
        <f>IF($B144="","",($H144+$G144)-$F144)</f>
        <v/>
      </c>
      <c r="J144" s="31">
        <f>IF(OR($B144="",$F144=0),"",$I144/$F144)</f>
        <v/>
      </c>
      <c r="K144" s="31">
        <f>IF(OR($B144="",$H144=0),"",SUMPRODUCT((Investments!$A$6:$A$1005=$B144)*Investments!$L$6:$L$1005*Investments!$O$6:$O$1005)/$H144)</f>
        <v/>
      </c>
      <c r="L144" s="31">
        <f>IF(OR($B144="",$C$12=0),"",$H144/$C$12)</f>
        <v/>
      </c>
    </row>
    <row r="145">
      <c r="B145" s="22">
        <f>IF(Clients!$B130="","",Clients!$B130)</f>
        <v/>
      </c>
      <c r="C145" s="48">
        <f>IF($B145="","",COUNTIFS(Investments!$A$6:$A$1005,$B145))</f>
        <v/>
      </c>
      <c r="D145" s="49">
        <f>IF($B145="","",SUMIFS(Investments!$F$6:$F$1005,Investments!$A$6:$A$1005,$B145))</f>
        <v/>
      </c>
      <c r="E145" s="49">
        <f>IF($B145="","",SUMIFS(Investments!$G$6:$G$1005,Investments!$A$6:$A$1005,$B145))</f>
        <v/>
      </c>
      <c r="F145" s="49">
        <f>IF($B145="","",SUMIFS(Investments!$Q$6:$Q$1005,Investments!$A$6:$A$1005,$B145))</f>
        <v/>
      </c>
      <c r="G145" s="49">
        <f>IF($B145="","",SUMIFS(Investments!$I$6:$I$1005,Investments!$A$6:$A$1005,$B145)+SUMIFS(Investments!$J$6:$J$1005,Investments!$A$6:$A$1005,$B145)+SUMIFS(Investments!$K$6:$K$1005,Investments!$A$6:$A$1005,$B145))</f>
        <v/>
      </c>
      <c r="H145" s="49">
        <f>IF($B145="","",SUMIFS(Investments!$L$6:$L$1005,Investments!$A$6:$A$1005,$B145))</f>
        <v/>
      </c>
      <c r="I145" s="49">
        <f>IF($B145="","",($H145+$G145)-$F145)</f>
        <v/>
      </c>
      <c r="J145" s="26">
        <f>IF(OR($B145="",$F145=0),"",$I145/$F145)</f>
        <v/>
      </c>
      <c r="K145" s="26">
        <f>IF(OR($B145="",$H145=0),"",SUMPRODUCT((Investments!$A$6:$A$1005=$B145)*Investments!$L$6:$L$1005*Investments!$O$6:$O$1005)/$H145)</f>
        <v/>
      </c>
      <c r="L145" s="26">
        <f>IF(OR($B145="",$C$12=0),"",$H145/$C$12)</f>
        <v/>
      </c>
    </row>
    <row r="146">
      <c r="B146" s="27">
        <f>IF(Clients!$B131="","",Clients!$B131)</f>
        <v/>
      </c>
      <c r="C146" s="50">
        <f>IF($B146="","",COUNTIFS(Investments!$A$6:$A$1005,$B146))</f>
        <v/>
      </c>
      <c r="D146" s="39">
        <f>IF($B146="","",SUMIFS(Investments!$F$6:$F$1005,Investments!$A$6:$A$1005,$B146))</f>
        <v/>
      </c>
      <c r="E146" s="39">
        <f>IF($B146="","",SUMIFS(Investments!$G$6:$G$1005,Investments!$A$6:$A$1005,$B146))</f>
        <v/>
      </c>
      <c r="F146" s="39">
        <f>IF($B146="","",SUMIFS(Investments!$Q$6:$Q$1005,Investments!$A$6:$A$1005,$B146))</f>
        <v/>
      </c>
      <c r="G146" s="39">
        <f>IF($B146="","",SUMIFS(Investments!$I$6:$I$1005,Investments!$A$6:$A$1005,$B146)+SUMIFS(Investments!$J$6:$J$1005,Investments!$A$6:$A$1005,$B146)+SUMIFS(Investments!$K$6:$K$1005,Investments!$A$6:$A$1005,$B146))</f>
        <v/>
      </c>
      <c r="H146" s="39">
        <f>IF($B146="","",SUMIFS(Investments!$L$6:$L$1005,Investments!$A$6:$A$1005,$B146))</f>
        <v/>
      </c>
      <c r="I146" s="39">
        <f>IF($B146="","",($H146+$G146)-$F146)</f>
        <v/>
      </c>
      <c r="J146" s="31">
        <f>IF(OR($B146="",$F146=0),"",$I146/$F146)</f>
        <v/>
      </c>
      <c r="K146" s="31">
        <f>IF(OR($B146="",$H146=0),"",SUMPRODUCT((Investments!$A$6:$A$1005=$B146)*Investments!$L$6:$L$1005*Investments!$O$6:$O$1005)/$H146)</f>
        <v/>
      </c>
      <c r="L146" s="31">
        <f>IF(OR($B146="",$C$12=0),"",$H146/$C$12)</f>
        <v/>
      </c>
    </row>
    <row r="147">
      <c r="B147" s="22">
        <f>IF(Clients!$B132="","",Clients!$B132)</f>
        <v/>
      </c>
      <c r="C147" s="48">
        <f>IF($B147="","",COUNTIFS(Investments!$A$6:$A$1005,$B147))</f>
        <v/>
      </c>
      <c r="D147" s="49">
        <f>IF($B147="","",SUMIFS(Investments!$F$6:$F$1005,Investments!$A$6:$A$1005,$B147))</f>
        <v/>
      </c>
      <c r="E147" s="49">
        <f>IF($B147="","",SUMIFS(Investments!$G$6:$G$1005,Investments!$A$6:$A$1005,$B147))</f>
        <v/>
      </c>
      <c r="F147" s="49">
        <f>IF($B147="","",SUMIFS(Investments!$Q$6:$Q$1005,Investments!$A$6:$A$1005,$B147))</f>
        <v/>
      </c>
      <c r="G147" s="49">
        <f>IF($B147="","",SUMIFS(Investments!$I$6:$I$1005,Investments!$A$6:$A$1005,$B147)+SUMIFS(Investments!$J$6:$J$1005,Investments!$A$6:$A$1005,$B147)+SUMIFS(Investments!$K$6:$K$1005,Investments!$A$6:$A$1005,$B147))</f>
        <v/>
      </c>
      <c r="H147" s="49">
        <f>IF($B147="","",SUMIFS(Investments!$L$6:$L$1005,Investments!$A$6:$A$1005,$B147))</f>
        <v/>
      </c>
      <c r="I147" s="49">
        <f>IF($B147="","",($H147+$G147)-$F147)</f>
        <v/>
      </c>
      <c r="J147" s="26">
        <f>IF(OR($B147="",$F147=0),"",$I147/$F147)</f>
        <v/>
      </c>
      <c r="K147" s="26">
        <f>IF(OR($B147="",$H147=0),"",SUMPRODUCT((Investments!$A$6:$A$1005=$B147)*Investments!$L$6:$L$1005*Investments!$O$6:$O$1005)/$H147)</f>
        <v/>
      </c>
      <c r="L147" s="26">
        <f>IF(OR($B147="",$C$12=0),"",$H147/$C$12)</f>
        <v/>
      </c>
    </row>
    <row r="148">
      <c r="B148" s="27">
        <f>IF(Clients!$B133="","",Clients!$B133)</f>
        <v/>
      </c>
      <c r="C148" s="50">
        <f>IF($B148="","",COUNTIFS(Investments!$A$6:$A$1005,$B148))</f>
        <v/>
      </c>
      <c r="D148" s="39">
        <f>IF($B148="","",SUMIFS(Investments!$F$6:$F$1005,Investments!$A$6:$A$1005,$B148))</f>
        <v/>
      </c>
      <c r="E148" s="39">
        <f>IF($B148="","",SUMIFS(Investments!$G$6:$G$1005,Investments!$A$6:$A$1005,$B148))</f>
        <v/>
      </c>
      <c r="F148" s="39">
        <f>IF($B148="","",SUMIFS(Investments!$Q$6:$Q$1005,Investments!$A$6:$A$1005,$B148))</f>
        <v/>
      </c>
      <c r="G148" s="39">
        <f>IF($B148="","",SUMIFS(Investments!$I$6:$I$1005,Investments!$A$6:$A$1005,$B148)+SUMIFS(Investments!$J$6:$J$1005,Investments!$A$6:$A$1005,$B148)+SUMIFS(Investments!$K$6:$K$1005,Investments!$A$6:$A$1005,$B148))</f>
        <v/>
      </c>
      <c r="H148" s="39">
        <f>IF($B148="","",SUMIFS(Investments!$L$6:$L$1005,Investments!$A$6:$A$1005,$B148))</f>
        <v/>
      </c>
      <c r="I148" s="39">
        <f>IF($B148="","",($H148+$G148)-$F148)</f>
        <v/>
      </c>
      <c r="J148" s="31">
        <f>IF(OR($B148="",$F148=0),"",$I148/$F148)</f>
        <v/>
      </c>
      <c r="K148" s="31">
        <f>IF(OR($B148="",$H148=0),"",SUMPRODUCT((Investments!$A$6:$A$1005=$B148)*Investments!$L$6:$L$1005*Investments!$O$6:$O$1005)/$H148)</f>
        <v/>
      </c>
      <c r="L148" s="31">
        <f>IF(OR($B148="",$C$12=0),"",$H148/$C$12)</f>
        <v/>
      </c>
    </row>
    <row r="149">
      <c r="B149" s="22">
        <f>IF(Clients!$B134="","",Clients!$B134)</f>
        <v/>
      </c>
      <c r="C149" s="48">
        <f>IF($B149="","",COUNTIFS(Investments!$A$6:$A$1005,$B149))</f>
        <v/>
      </c>
      <c r="D149" s="49">
        <f>IF($B149="","",SUMIFS(Investments!$F$6:$F$1005,Investments!$A$6:$A$1005,$B149))</f>
        <v/>
      </c>
      <c r="E149" s="49">
        <f>IF($B149="","",SUMIFS(Investments!$G$6:$G$1005,Investments!$A$6:$A$1005,$B149))</f>
        <v/>
      </c>
      <c r="F149" s="49">
        <f>IF($B149="","",SUMIFS(Investments!$Q$6:$Q$1005,Investments!$A$6:$A$1005,$B149))</f>
        <v/>
      </c>
      <c r="G149" s="49">
        <f>IF($B149="","",SUMIFS(Investments!$I$6:$I$1005,Investments!$A$6:$A$1005,$B149)+SUMIFS(Investments!$J$6:$J$1005,Investments!$A$6:$A$1005,$B149)+SUMIFS(Investments!$K$6:$K$1005,Investments!$A$6:$A$1005,$B149))</f>
        <v/>
      </c>
      <c r="H149" s="49">
        <f>IF($B149="","",SUMIFS(Investments!$L$6:$L$1005,Investments!$A$6:$A$1005,$B149))</f>
        <v/>
      </c>
      <c r="I149" s="49">
        <f>IF($B149="","",($H149+$G149)-$F149)</f>
        <v/>
      </c>
      <c r="J149" s="26">
        <f>IF(OR($B149="",$F149=0),"",$I149/$F149)</f>
        <v/>
      </c>
      <c r="K149" s="26">
        <f>IF(OR($B149="",$H149=0),"",SUMPRODUCT((Investments!$A$6:$A$1005=$B149)*Investments!$L$6:$L$1005*Investments!$O$6:$O$1005)/$H149)</f>
        <v/>
      </c>
      <c r="L149" s="26">
        <f>IF(OR($B149="",$C$12=0),"",$H149/$C$12)</f>
        <v/>
      </c>
    </row>
    <row r="150">
      <c r="B150" s="27">
        <f>IF(Clients!$B135="","",Clients!$B135)</f>
        <v/>
      </c>
      <c r="C150" s="50">
        <f>IF($B150="","",COUNTIFS(Investments!$A$6:$A$1005,$B150))</f>
        <v/>
      </c>
      <c r="D150" s="39">
        <f>IF($B150="","",SUMIFS(Investments!$F$6:$F$1005,Investments!$A$6:$A$1005,$B150))</f>
        <v/>
      </c>
      <c r="E150" s="39">
        <f>IF($B150="","",SUMIFS(Investments!$G$6:$G$1005,Investments!$A$6:$A$1005,$B150))</f>
        <v/>
      </c>
      <c r="F150" s="39">
        <f>IF($B150="","",SUMIFS(Investments!$Q$6:$Q$1005,Investments!$A$6:$A$1005,$B150))</f>
        <v/>
      </c>
      <c r="G150" s="39">
        <f>IF($B150="","",SUMIFS(Investments!$I$6:$I$1005,Investments!$A$6:$A$1005,$B150)+SUMIFS(Investments!$J$6:$J$1005,Investments!$A$6:$A$1005,$B150)+SUMIFS(Investments!$K$6:$K$1005,Investments!$A$6:$A$1005,$B150))</f>
        <v/>
      </c>
      <c r="H150" s="39">
        <f>IF($B150="","",SUMIFS(Investments!$L$6:$L$1005,Investments!$A$6:$A$1005,$B150))</f>
        <v/>
      </c>
      <c r="I150" s="39">
        <f>IF($B150="","",($H150+$G150)-$F150)</f>
        <v/>
      </c>
      <c r="J150" s="31">
        <f>IF(OR($B150="",$F150=0),"",$I150/$F150)</f>
        <v/>
      </c>
      <c r="K150" s="31">
        <f>IF(OR($B150="",$H150=0),"",SUMPRODUCT((Investments!$A$6:$A$1005=$B150)*Investments!$L$6:$L$1005*Investments!$O$6:$O$1005)/$H150)</f>
        <v/>
      </c>
      <c r="L150" s="31">
        <f>IF(OR($B150="",$C$12=0),"",$H150/$C$12)</f>
        <v/>
      </c>
    </row>
    <row r="151">
      <c r="B151" s="22">
        <f>IF(Clients!$B136="","",Clients!$B136)</f>
        <v/>
      </c>
      <c r="C151" s="48">
        <f>IF($B151="","",COUNTIFS(Investments!$A$6:$A$1005,$B151))</f>
        <v/>
      </c>
      <c r="D151" s="49">
        <f>IF($B151="","",SUMIFS(Investments!$F$6:$F$1005,Investments!$A$6:$A$1005,$B151))</f>
        <v/>
      </c>
      <c r="E151" s="49">
        <f>IF($B151="","",SUMIFS(Investments!$G$6:$G$1005,Investments!$A$6:$A$1005,$B151))</f>
        <v/>
      </c>
      <c r="F151" s="49">
        <f>IF($B151="","",SUMIFS(Investments!$Q$6:$Q$1005,Investments!$A$6:$A$1005,$B151))</f>
        <v/>
      </c>
      <c r="G151" s="49">
        <f>IF($B151="","",SUMIFS(Investments!$I$6:$I$1005,Investments!$A$6:$A$1005,$B151)+SUMIFS(Investments!$J$6:$J$1005,Investments!$A$6:$A$1005,$B151)+SUMIFS(Investments!$K$6:$K$1005,Investments!$A$6:$A$1005,$B151))</f>
        <v/>
      </c>
      <c r="H151" s="49">
        <f>IF($B151="","",SUMIFS(Investments!$L$6:$L$1005,Investments!$A$6:$A$1005,$B151))</f>
        <v/>
      </c>
      <c r="I151" s="49">
        <f>IF($B151="","",($H151+$G151)-$F151)</f>
        <v/>
      </c>
      <c r="J151" s="26">
        <f>IF(OR($B151="",$F151=0),"",$I151/$F151)</f>
        <v/>
      </c>
      <c r="K151" s="26">
        <f>IF(OR($B151="",$H151=0),"",SUMPRODUCT((Investments!$A$6:$A$1005=$B151)*Investments!$L$6:$L$1005*Investments!$O$6:$O$1005)/$H151)</f>
        <v/>
      </c>
      <c r="L151" s="26">
        <f>IF(OR($B151="",$C$12=0),"",$H151/$C$12)</f>
        <v/>
      </c>
    </row>
    <row r="152">
      <c r="B152" s="27">
        <f>IF(Clients!$B137="","",Clients!$B137)</f>
        <v/>
      </c>
      <c r="C152" s="50">
        <f>IF($B152="","",COUNTIFS(Investments!$A$6:$A$1005,$B152))</f>
        <v/>
      </c>
      <c r="D152" s="39">
        <f>IF($B152="","",SUMIFS(Investments!$F$6:$F$1005,Investments!$A$6:$A$1005,$B152))</f>
        <v/>
      </c>
      <c r="E152" s="39">
        <f>IF($B152="","",SUMIFS(Investments!$G$6:$G$1005,Investments!$A$6:$A$1005,$B152))</f>
        <v/>
      </c>
      <c r="F152" s="39">
        <f>IF($B152="","",SUMIFS(Investments!$Q$6:$Q$1005,Investments!$A$6:$A$1005,$B152))</f>
        <v/>
      </c>
      <c r="G152" s="39">
        <f>IF($B152="","",SUMIFS(Investments!$I$6:$I$1005,Investments!$A$6:$A$1005,$B152)+SUMIFS(Investments!$J$6:$J$1005,Investments!$A$6:$A$1005,$B152)+SUMIFS(Investments!$K$6:$K$1005,Investments!$A$6:$A$1005,$B152))</f>
        <v/>
      </c>
      <c r="H152" s="39">
        <f>IF($B152="","",SUMIFS(Investments!$L$6:$L$1005,Investments!$A$6:$A$1005,$B152))</f>
        <v/>
      </c>
      <c r="I152" s="39">
        <f>IF($B152="","",($H152+$G152)-$F152)</f>
        <v/>
      </c>
      <c r="J152" s="31">
        <f>IF(OR($B152="",$F152=0),"",$I152/$F152)</f>
        <v/>
      </c>
      <c r="K152" s="31">
        <f>IF(OR($B152="",$H152=0),"",SUMPRODUCT((Investments!$A$6:$A$1005=$B152)*Investments!$L$6:$L$1005*Investments!$O$6:$O$1005)/$H152)</f>
        <v/>
      </c>
      <c r="L152" s="31">
        <f>IF(OR($B152="",$C$12=0),"",$H152/$C$12)</f>
        <v/>
      </c>
    </row>
    <row r="153">
      <c r="B153" s="22">
        <f>IF(Clients!$B138="","",Clients!$B138)</f>
        <v/>
      </c>
      <c r="C153" s="48">
        <f>IF($B153="","",COUNTIFS(Investments!$A$6:$A$1005,$B153))</f>
        <v/>
      </c>
      <c r="D153" s="49">
        <f>IF($B153="","",SUMIFS(Investments!$F$6:$F$1005,Investments!$A$6:$A$1005,$B153))</f>
        <v/>
      </c>
      <c r="E153" s="49">
        <f>IF($B153="","",SUMIFS(Investments!$G$6:$G$1005,Investments!$A$6:$A$1005,$B153))</f>
        <v/>
      </c>
      <c r="F153" s="49">
        <f>IF($B153="","",SUMIFS(Investments!$Q$6:$Q$1005,Investments!$A$6:$A$1005,$B153))</f>
        <v/>
      </c>
      <c r="G153" s="49">
        <f>IF($B153="","",SUMIFS(Investments!$I$6:$I$1005,Investments!$A$6:$A$1005,$B153)+SUMIFS(Investments!$J$6:$J$1005,Investments!$A$6:$A$1005,$B153)+SUMIFS(Investments!$K$6:$K$1005,Investments!$A$6:$A$1005,$B153))</f>
        <v/>
      </c>
      <c r="H153" s="49">
        <f>IF($B153="","",SUMIFS(Investments!$L$6:$L$1005,Investments!$A$6:$A$1005,$B153))</f>
        <v/>
      </c>
      <c r="I153" s="49">
        <f>IF($B153="","",($H153+$G153)-$F153)</f>
        <v/>
      </c>
      <c r="J153" s="26">
        <f>IF(OR($B153="",$F153=0),"",$I153/$F153)</f>
        <v/>
      </c>
      <c r="K153" s="26">
        <f>IF(OR($B153="",$H153=0),"",SUMPRODUCT((Investments!$A$6:$A$1005=$B153)*Investments!$L$6:$L$1005*Investments!$O$6:$O$1005)/$H153)</f>
        <v/>
      </c>
      <c r="L153" s="26">
        <f>IF(OR($B153="",$C$12=0),"",$H153/$C$12)</f>
        <v/>
      </c>
    </row>
    <row r="154">
      <c r="B154" s="27">
        <f>IF(Clients!$B139="","",Clients!$B139)</f>
        <v/>
      </c>
      <c r="C154" s="50">
        <f>IF($B154="","",COUNTIFS(Investments!$A$6:$A$1005,$B154))</f>
        <v/>
      </c>
      <c r="D154" s="39">
        <f>IF($B154="","",SUMIFS(Investments!$F$6:$F$1005,Investments!$A$6:$A$1005,$B154))</f>
        <v/>
      </c>
      <c r="E154" s="39">
        <f>IF($B154="","",SUMIFS(Investments!$G$6:$G$1005,Investments!$A$6:$A$1005,$B154))</f>
        <v/>
      </c>
      <c r="F154" s="39">
        <f>IF($B154="","",SUMIFS(Investments!$Q$6:$Q$1005,Investments!$A$6:$A$1005,$B154))</f>
        <v/>
      </c>
      <c r="G154" s="39">
        <f>IF($B154="","",SUMIFS(Investments!$I$6:$I$1005,Investments!$A$6:$A$1005,$B154)+SUMIFS(Investments!$J$6:$J$1005,Investments!$A$6:$A$1005,$B154)+SUMIFS(Investments!$K$6:$K$1005,Investments!$A$6:$A$1005,$B154))</f>
        <v/>
      </c>
      <c r="H154" s="39">
        <f>IF($B154="","",SUMIFS(Investments!$L$6:$L$1005,Investments!$A$6:$A$1005,$B154))</f>
        <v/>
      </c>
      <c r="I154" s="39">
        <f>IF($B154="","",($H154+$G154)-$F154)</f>
        <v/>
      </c>
      <c r="J154" s="31">
        <f>IF(OR($B154="",$F154=0),"",$I154/$F154)</f>
        <v/>
      </c>
      <c r="K154" s="31">
        <f>IF(OR($B154="",$H154=0),"",SUMPRODUCT((Investments!$A$6:$A$1005=$B154)*Investments!$L$6:$L$1005*Investments!$O$6:$O$1005)/$H154)</f>
        <v/>
      </c>
      <c r="L154" s="31">
        <f>IF(OR($B154="",$C$12=0),"",$H154/$C$12)</f>
        <v/>
      </c>
    </row>
    <row r="155">
      <c r="B155" s="22">
        <f>IF(Clients!$B140="","",Clients!$B140)</f>
        <v/>
      </c>
      <c r="C155" s="48">
        <f>IF($B155="","",COUNTIFS(Investments!$A$6:$A$1005,$B155))</f>
        <v/>
      </c>
      <c r="D155" s="49">
        <f>IF($B155="","",SUMIFS(Investments!$F$6:$F$1005,Investments!$A$6:$A$1005,$B155))</f>
        <v/>
      </c>
      <c r="E155" s="49">
        <f>IF($B155="","",SUMIFS(Investments!$G$6:$G$1005,Investments!$A$6:$A$1005,$B155))</f>
        <v/>
      </c>
      <c r="F155" s="49">
        <f>IF($B155="","",SUMIFS(Investments!$Q$6:$Q$1005,Investments!$A$6:$A$1005,$B155))</f>
        <v/>
      </c>
      <c r="G155" s="49">
        <f>IF($B155="","",SUMIFS(Investments!$I$6:$I$1005,Investments!$A$6:$A$1005,$B155)+SUMIFS(Investments!$J$6:$J$1005,Investments!$A$6:$A$1005,$B155)+SUMIFS(Investments!$K$6:$K$1005,Investments!$A$6:$A$1005,$B155))</f>
        <v/>
      </c>
      <c r="H155" s="49">
        <f>IF($B155="","",SUMIFS(Investments!$L$6:$L$1005,Investments!$A$6:$A$1005,$B155))</f>
        <v/>
      </c>
      <c r="I155" s="49">
        <f>IF($B155="","",($H155+$G155)-$F155)</f>
        <v/>
      </c>
      <c r="J155" s="26">
        <f>IF(OR($B155="",$F155=0),"",$I155/$F155)</f>
        <v/>
      </c>
      <c r="K155" s="26">
        <f>IF(OR($B155="",$H155=0),"",SUMPRODUCT((Investments!$A$6:$A$1005=$B155)*Investments!$L$6:$L$1005*Investments!$O$6:$O$1005)/$H155)</f>
        <v/>
      </c>
      <c r="L155" s="26">
        <f>IF(OR($B155="",$C$12=0),"",$H155/$C$12)</f>
        <v/>
      </c>
    </row>
    <row r="156">
      <c r="B156" s="27">
        <f>IF(Clients!$B141="","",Clients!$B141)</f>
        <v/>
      </c>
      <c r="C156" s="50">
        <f>IF($B156="","",COUNTIFS(Investments!$A$6:$A$1005,$B156))</f>
        <v/>
      </c>
      <c r="D156" s="39">
        <f>IF($B156="","",SUMIFS(Investments!$F$6:$F$1005,Investments!$A$6:$A$1005,$B156))</f>
        <v/>
      </c>
      <c r="E156" s="39">
        <f>IF($B156="","",SUMIFS(Investments!$G$6:$G$1005,Investments!$A$6:$A$1005,$B156))</f>
        <v/>
      </c>
      <c r="F156" s="39">
        <f>IF($B156="","",SUMIFS(Investments!$Q$6:$Q$1005,Investments!$A$6:$A$1005,$B156))</f>
        <v/>
      </c>
      <c r="G156" s="39">
        <f>IF($B156="","",SUMIFS(Investments!$I$6:$I$1005,Investments!$A$6:$A$1005,$B156)+SUMIFS(Investments!$J$6:$J$1005,Investments!$A$6:$A$1005,$B156)+SUMIFS(Investments!$K$6:$K$1005,Investments!$A$6:$A$1005,$B156))</f>
        <v/>
      </c>
      <c r="H156" s="39">
        <f>IF($B156="","",SUMIFS(Investments!$L$6:$L$1005,Investments!$A$6:$A$1005,$B156))</f>
        <v/>
      </c>
      <c r="I156" s="39">
        <f>IF($B156="","",($H156+$G156)-$F156)</f>
        <v/>
      </c>
      <c r="J156" s="31">
        <f>IF(OR($B156="",$F156=0),"",$I156/$F156)</f>
        <v/>
      </c>
      <c r="K156" s="31">
        <f>IF(OR($B156="",$H156=0),"",SUMPRODUCT((Investments!$A$6:$A$1005=$B156)*Investments!$L$6:$L$1005*Investments!$O$6:$O$1005)/$H156)</f>
        <v/>
      </c>
      <c r="L156" s="31">
        <f>IF(OR($B156="",$C$12=0),"",$H156/$C$12)</f>
        <v/>
      </c>
    </row>
    <row r="157">
      <c r="B157" s="22">
        <f>IF(Clients!$B142="","",Clients!$B142)</f>
        <v/>
      </c>
      <c r="C157" s="48">
        <f>IF($B157="","",COUNTIFS(Investments!$A$6:$A$1005,$B157))</f>
        <v/>
      </c>
      <c r="D157" s="49">
        <f>IF($B157="","",SUMIFS(Investments!$F$6:$F$1005,Investments!$A$6:$A$1005,$B157))</f>
        <v/>
      </c>
      <c r="E157" s="49">
        <f>IF($B157="","",SUMIFS(Investments!$G$6:$G$1005,Investments!$A$6:$A$1005,$B157))</f>
        <v/>
      </c>
      <c r="F157" s="49">
        <f>IF($B157="","",SUMIFS(Investments!$Q$6:$Q$1005,Investments!$A$6:$A$1005,$B157))</f>
        <v/>
      </c>
      <c r="G157" s="49">
        <f>IF($B157="","",SUMIFS(Investments!$I$6:$I$1005,Investments!$A$6:$A$1005,$B157)+SUMIFS(Investments!$J$6:$J$1005,Investments!$A$6:$A$1005,$B157)+SUMIFS(Investments!$K$6:$K$1005,Investments!$A$6:$A$1005,$B157))</f>
        <v/>
      </c>
      <c r="H157" s="49">
        <f>IF($B157="","",SUMIFS(Investments!$L$6:$L$1005,Investments!$A$6:$A$1005,$B157))</f>
        <v/>
      </c>
      <c r="I157" s="49">
        <f>IF($B157="","",($H157+$G157)-$F157)</f>
        <v/>
      </c>
      <c r="J157" s="26">
        <f>IF(OR($B157="",$F157=0),"",$I157/$F157)</f>
        <v/>
      </c>
      <c r="K157" s="26">
        <f>IF(OR($B157="",$H157=0),"",SUMPRODUCT((Investments!$A$6:$A$1005=$B157)*Investments!$L$6:$L$1005*Investments!$O$6:$O$1005)/$H157)</f>
        <v/>
      </c>
      <c r="L157" s="26">
        <f>IF(OR($B157="",$C$12=0),"",$H157/$C$12)</f>
        <v/>
      </c>
    </row>
    <row r="158">
      <c r="B158" s="27">
        <f>IF(Clients!$B143="","",Clients!$B143)</f>
        <v/>
      </c>
      <c r="C158" s="50">
        <f>IF($B158="","",COUNTIFS(Investments!$A$6:$A$1005,$B158))</f>
        <v/>
      </c>
      <c r="D158" s="39">
        <f>IF($B158="","",SUMIFS(Investments!$F$6:$F$1005,Investments!$A$6:$A$1005,$B158))</f>
        <v/>
      </c>
      <c r="E158" s="39">
        <f>IF($B158="","",SUMIFS(Investments!$G$6:$G$1005,Investments!$A$6:$A$1005,$B158))</f>
        <v/>
      </c>
      <c r="F158" s="39">
        <f>IF($B158="","",SUMIFS(Investments!$Q$6:$Q$1005,Investments!$A$6:$A$1005,$B158))</f>
        <v/>
      </c>
      <c r="G158" s="39">
        <f>IF($B158="","",SUMIFS(Investments!$I$6:$I$1005,Investments!$A$6:$A$1005,$B158)+SUMIFS(Investments!$J$6:$J$1005,Investments!$A$6:$A$1005,$B158)+SUMIFS(Investments!$K$6:$K$1005,Investments!$A$6:$A$1005,$B158))</f>
        <v/>
      </c>
      <c r="H158" s="39">
        <f>IF($B158="","",SUMIFS(Investments!$L$6:$L$1005,Investments!$A$6:$A$1005,$B158))</f>
        <v/>
      </c>
      <c r="I158" s="39">
        <f>IF($B158="","",($H158+$G158)-$F158)</f>
        <v/>
      </c>
      <c r="J158" s="31">
        <f>IF(OR($B158="",$F158=0),"",$I158/$F158)</f>
        <v/>
      </c>
      <c r="K158" s="31">
        <f>IF(OR($B158="",$H158=0),"",SUMPRODUCT((Investments!$A$6:$A$1005=$B158)*Investments!$L$6:$L$1005*Investments!$O$6:$O$1005)/$H158)</f>
        <v/>
      </c>
      <c r="L158" s="31">
        <f>IF(OR($B158="",$C$12=0),"",$H158/$C$12)</f>
        <v/>
      </c>
    </row>
    <row r="159">
      <c r="B159" s="22">
        <f>IF(Clients!$B144="","",Clients!$B144)</f>
        <v/>
      </c>
      <c r="C159" s="48">
        <f>IF($B159="","",COUNTIFS(Investments!$A$6:$A$1005,$B159))</f>
        <v/>
      </c>
      <c r="D159" s="49">
        <f>IF($B159="","",SUMIFS(Investments!$F$6:$F$1005,Investments!$A$6:$A$1005,$B159))</f>
        <v/>
      </c>
      <c r="E159" s="49">
        <f>IF($B159="","",SUMIFS(Investments!$G$6:$G$1005,Investments!$A$6:$A$1005,$B159))</f>
        <v/>
      </c>
      <c r="F159" s="49">
        <f>IF($B159="","",SUMIFS(Investments!$Q$6:$Q$1005,Investments!$A$6:$A$1005,$B159))</f>
        <v/>
      </c>
      <c r="G159" s="49">
        <f>IF($B159="","",SUMIFS(Investments!$I$6:$I$1005,Investments!$A$6:$A$1005,$B159)+SUMIFS(Investments!$J$6:$J$1005,Investments!$A$6:$A$1005,$B159)+SUMIFS(Investments!$K$6:$K$1005,Investments!$A$6:$A$1005,$B159))</f>
        <v/>
      </c>
      <c r="H159" s="49">
        <f>IF($B159="","",SUMIFS(Investments!$L$6:$L$1005,Investments!$A$6:$A$1005,$B159))</f>
        <v/>
      </c>
      <c r="I159" s="49">
        <f>IF($B159="","",($H159+$G159)-$F159)</f>
        <v/>
      </c>
      <c r="J159" s="26">
        <f>IF(OR($B159="",$F159=0),"",$I159/$F159)</f>
        <v/>
      </c>
      <c r="K159" s="26">
        <f>IF(OR($B159="",$H159=0),"",SUMPRODUCT((Investments!$A$6:$A$1005=$B159)*Investments!$L$6:$L$1005*Investments!$O$6:$O$1005)/$H159)</f>
        <v/>
      </c>
      <c r="L159" s="26">
        <f>IF(OR($B159="",$C$12=0),"",$H159/$C$12)</f>
        <v/>
      </c>
    </row>
    <row r="160">
      <c r="B160" s="27">
        <f>IF(Clients!$B145="","",Clients!$B145)</f>
        <v/>
      </c>
      <c r="C160" s="50">
        <f>IF($B160="","",COUNTIFS(Investments!$A$6:$A$1005,$B160))</f>
        <v/>
      </c>
      <c r="D160" s="39">
        <f>IF($B160="","",SUMIFS(Investments!$F$6:$F$1005,Investments!$A$6:$A$1005,$B160))</f>
        <v/>
      </c>
      <c r="E160" s="39">
        <f>IF($B160="","",SUMIFS(Investments!$G$6:$G$1005,Investments!$A$6:$A$1005,$B160))</f>
        <v/>
      </c>
      <c r="F160" s="39">
        <f>IF($B160="","",SUMIFS(Investments!$Q$6:$Q$1005,Investments!$A$6:$A$1005,$B160))</f>
        <v/>
      </c>
      <c r="G160" s="39">
        <f>IF($B160="","",SUMIFS(Investments!$I$6:$I$1005,Investments!$A$6:$A$1005,$B160)+SUMIFS(Investments!$J$6:$J$1005,Investments!$A$6:$A$1005,$B160)+SUMIFS(Investments!$K$6:$K$1005,Investments!$A$6:$A$1005,$B160))</f>
        <v/>
      </c>
      <c r="H160" s="39">
        <f>IF($B160="","",SUMIFS(Investments!$L$6:$L$1005,Investments!$A$6:$A$1005,$B160))</f>
        <v/>
      </c>
      <c r="I160" s="39">
        <f>IF($B160="","",($H160+$G160)-$F160)</f>
        <v/>
      </c>
      <c r="J160" s="31">
        <f>IF(OR($B160="",$F160=0),"",$I160/$F160)</f>
        <v/>
      </c>
      <c r="K160" s="31">
        <f>IF(OR($B160="",$H160=0),"",SUMPRODUCT((Investments!$A$6:$A$1005=$B160)*Investments!$L$6:$L$1005*Investments!$O$6:$O$1005)/$H160)</f>
        <v/>
      </c>
      <c r="L160" s="31">
        <f>IF(OR($B160="",$C$12=0),"",$H160/$C$12)</f>
        <v/>
      </c>
    </row>
    <row r="161">
      <c r="B161" s="22">
        <f>IF(Clients!$B146="","",Clients!$B146)</f>
        <v/>
      </c>
      <c r="C161" s="48">
        <f>IF($B161="","",COUNTIFS(Investments!$A$6:$A$1005,$B161))</f>
        <v/>
      </c>
      <c r="D161" s="49">
        <f>IF($B161="","",SUMIFS(Investments!$F$6:$F$1005,Investments!$A$6:$A$1005,$B161))</f>
        <v/>
      </c>
      <c r="E161" s="49">
        <f>IF($B161="","",SUMIFS(Investments!$G$6:$G$1005,Investments!$A$6:$A$1005,$B161))</f>
        <v/>
      </c>
      <c r="F161" s="49">
        <f>IF($B161="","",SUMIFS(Investments!$Q$6:$Q$1005,Investments!$A$6:$A$1005,$B161))</f>
        <v/>
      </c>
      <c r="G161" s="49">
        <f>IF($B161="","",SUMIFS(Investments!$I$6:$I$1005,Investments!$A$6:$A$1005,$B161)+SUMIFS(Investments!$J$6:$J$1005,Investments!$A$6:$A$1005,$B161)+SUMIFS(Investments!$K$6:$K$1005,Investments!$A$6:$A$1005,$B161))</f>
        <v/>
      </c>
      <c r="H161" s="49">
        <f>IF($B161="","",SUMIFS(Investments!$L$6:$L$1005,Investments!$A$6:$A$1005,$B161))</f>
        <v/>
      </c>
      <c r="I161" s="49">
        <f>IF($B161="","",($H161+$G161)-$F161)</f>
        <v/>
      </c>
      <c r="J161" s="26">
        <f>IF(OR($B161="",$F161=0),"",$I161/$F161)</f>
        <v/>
      </c>
      <c r="K161" s="26">
        <f>IF(OR($B161="",$H161=0),"",SUMPRODUCT((Investments!$A$6:$A$1005=$B161)*Investments!$L$6:$L$1005*Investments!$O$6:$O$1005)/$H161)</f>
        <v/>
      </c>
      <c r="L161" s="26">
        <f>IF(OR($B161="",$C$12=0),"",$H161/$C$12)</f>
        <v/>
      </c>
    </row>
    <row r="162">
      <c r="B162" s="27">
        <f>IF(Clients!$B147="","",Clients!$B147)</f>
        <v/>
      </c>
      <c r="C162" s="50">
        <f>IF($B162="","",COUNTIFS(Investments!$A$6:$A$1005,$B162))</f>
        <v/>
      </c>
      <c r="D162" s="39">
        <f>IF($B162="","",SUMIFS(Investments!$F$6:$F$1005,Investments!$A$6:$A$1005,$B162))</f>
        <v/>
      </c>
      <c r="E162" s="39">
        <f>IF($B162="","",SUMIFS(Investments!$G$6:$G$1005,Investments!$A$6:$A$1005,$B162))</f>
        <v/>
      </c>
      <c r="F162" s="39">
        <f>IF($B162="","",SUMIFS(Investments!$Q$6:$Q$1005,Investments!$A$6:$A$1005,$B162))</f>
        <v/>
      </c>
      <c r="G162" s="39">
        <f>IF($B162="","",SUMIFS(Investments!$I$6:$I$1005,Investments!$A$6:$A$1005,$B162)+SUMIFS(Investments!$J$6:$J$1005,Investments!$A$6:$A$1005,$B162)+SUMIFS(Investments!$K$6:$K$1005,Investments!$A$6:$A$1005,$B162))</f>
        <v/>
      </c>
      <c r="H162" s="39">
        <f>IF($B162="","",SUMIFS(Investments!$L$6:$L$1005,Investments!$A$6:$A$1005,$B162))</f>
        <v/>
      </c>
      <c r="I162" s="39">
        <f>IF($B162="","",($H162+$G162)-$F162)</f>
        <v/>
      </c>
      <c r="J162" s="31">
        <f>IF(OR($B162="",$F162=0),"",$I162/$F162)</f>
        <v/>
      </c>
      <c r="K162" s="31">
        <f>IF(OR($B162="",$H162=0),"",SUMPRODUCT((Investments!$A$6:$A$1005=$B162)*Investments!$L$6:$L$1005*Investments!$O$6:$O$1005)/$H162)</f>
        <v/>
      </c>
      <c r="L162" s="31">
        <f>IF(OR($B162="",$C$12=0),"",$H162/$C$12)</f>
        <v/>
      </c>
    </row>
    <row r="163">
      <c r="B163" s="22">
        <f>IF(Clients!$B148="","",Clients!$B148)</f>
        <v/>
      </c>
      <c r="C163" s="48">
        <f>IF($B163="","",COUNTIFS(Investments!$A$6:$A$1005,$B163))</f>
        <v/>
      </c>
      <c r="D163" s="49">
        <f>IF($B163="","",SUMIFS(Investments!$F$6:$F$1005,Investments!$A$6:$A$1005,$B163))</f>
        <v/>
      </c>
      <c r="E163" s="49">
        <f>IF($B163="","",SUMIFS(Investments!$G$6:$G$1005,Investments!$A$6:$A$1005,$B163))</f>
        <v/>
      </c>
      <c r="F163" s="49">
        <f>IF($B163="","",SUMIFS(Investments!$Q$6:$Q$1005,Investments!$A$6:$A$1005,$B163))</f>
        <v/>
      </c>
      <c r="G163" s="49">
        <f>IF($B163="","",SUMIFS(Investments!$I$6:$I$1005,Investments!$A$6:$A$1005,$B163)+SUMIFS(Investments!$J$6:$J$1005,Investments!$A$6:$A$1005,$B163)+SUMIFS(Investments!$K$6:$K$1005,Investments!$A$6:$A$1005,$B163))</f>
        <v/>
      </c>
      <c r="H163" s="49">
        <f>IF($B163="","",SUMIFS(Investments!$L$6:$L$1005,Investments!$A$6:$A$1005,$B163))</f>
        <v/>
      </c>
      <c r="I163" s="49">
        <f>IF($B163="","",($H163+$G163)-$F163)</f>
        <v/>
      </c>
      <c r="J163" s="26">
        <f>IF(OR($B163="",$F163=0),"",$I163/$F163)</f>
        <v/>
      </c>
      <c r="K163" s="26">
        <f>IF(OR($B163="",$H163=0),"",SUMPRODUCT((Investments!$A$6:$A$1005=$B163)*Investments!$L$6:$L$1005*Investments!$O$6:$O$1005)/$H163)</f>
        <v/>
      </c>
      <c r="L163" s="26">
        <f>IF(OR($B163="",$C$12=0),"",$H163/$C$12)</f>
        <v/>
      </c>
    </row>
    <row r="164">
      <c r="B164" s="27">
        <f>IF(Clients!$B149="","",Clients!$B149)</f>
        <v/>
      </c>
      <c r="C164" s="50">
        <f>IF($B164="","",COUNTIFS(Investments!$A$6:$A$1005,$B164))</f>
        <v/>
      </c>
      <c r="D164" s="39">
        <f>IF($B164="","",SUMIFS(Investments!$F$6:$F$1005,Investments!$A$6:$A$1005,$B164))</f>
        <v/>
      </c>
      <c r="E164" s="39">
        <f>IF($B164="","",SUMIFS(Investments!$G$6:$G$1005,Investments!$A$6:$A$1005,$B164))</f>
        <v/>
      </c>
      <c r="F164" s="39">
        <f>IF($B164="","",SUMIFS(Investments!$Q$6:$Q$1005,Investments!$A$6:$A$1005,$B164))</f>
        <v/>
      </c>
      <c r="G164" s="39">
        <f>IF($B164="","",SUMIFS(Investments!$I$6:$I$1005,Investments!$A$6:$A$1005,$B164)+SUMIFS(Investments!$J$6:$J$1005,Investments!$A$6:$A$1005,$B164)+SUMIFS(Investments!$K$6:$K$1005,Investments!$A$6:$A$1005,$B164))</f>
        <v/>
      </c>
      <c r="H164" s="39">
        <f>IF($B164="","",SUMIFS(Investments!$L$6:$L$1005,Investments!$A$6:$A$1005,$B164))</f>
        <v/>
      </c>
      <c r="I164" s="39">
        <f>IF($B164="","",($H164+$G164)-$F164)</f>
        <v/>
      </c>
      <c r="J164" s="31">
        <f>IF(OR($B164="",$F164=0),"",$I164/$F164)</f>
        <v/>
      </c>
      <c r="K164" s="31">
        <f>IF(OR($B164="",$H164=0),"",SUMPRODUCT((Investments!$A$6:$A$1005=$B164)*Investments!$L$6:$L$1005*Investments!$O$6:$O$1005)/$H164)</f>
        <v/>
      </c>
      <c r="L164" s="31">
        <f>IF(OR($B164="",$C$12=0),"",$H164/$C$12)</f>
        <v/>
      </c>
    </row>
    <row r="165">
      <c r="B165" s="22">
        <f>IF(Clients!$B150="","",Clients!$B150)</f>
        <v/>
      </c>
      <c r="C165" s="48">
        <f>IF($B165="","",COUNTIFS(Investments!$A$6:$A$1005,$B165))</f>
        <v/>
      </c>
      <c r="D165" s="49">
        <f>IF($B165="","",SUMIFS(Investments!$F$6:$F$1005,Investments!$A$6:$A$1005,$B165))</f>
        <v/>
      </c>
      <c r="E165" s="49">
        <f>IF($B165="","",SUMIFS(Investments!$G$6:$G$1005,Investments!$A$6:$A$1005,$B165))</f>
        <v/>
      </c>
      <c r="F165" s="49">
        <f>IF($B165="","",SUMIFS(Investments!$Q$6:$Q$1005,Investments!$A$6:$A$1005,$B165))</f>
        <v/>
      </c>
      <c r="G165" s="49">
        <f>IF($B165="","",SUMIFS(Investments!$I$6:$I$1005,Investments!$A$6:$A$1005,$B165)+SUMIFS(Investments!$J$6:$J$1005,Investments!$A$6:$A$1005,$B165)+SUMIFS(Investments!$K$6:$K$1005,Investments!$A$6:$A$1005,$B165))</f>
        <v/>
      </c>
      <c r="H165" s="49">
        <f>IF($B165="","",SUMIFS(Investments!$L$6:$L$1005,Investments!$A$6:$A$1005,$B165))</f>
        <v/>
      </c>
      <c r="I165" s="49">
        <f>IF($B165="","",($H165+$G165)-$F165)</f>
        <v/>
      </c>
      <c r="J165" s="26">
        <f>IF(OR($B165="",$F165=0),"",$I165/$F165)</f>
        <v/>
      </c>
      <c r="K165" s="26">
        <f>IF(OR($B165="",$H165=0),"",SUMPRODUCT((Investments!$A$6:$A$1005=$B165)*Investments!$L$6:$L$1005*Investments!$O$6:$O$1005)/$H165)</f>
        <v/>
      </c>
      <c r="L165" s="26">
        <f>IF(OR($B165="",$C$12=0),"",$H165/$C$12)</f>
        <v/>
      </c>
    </row>
    <row r="166">
      <c r="B166" s="27">
        <f>IF(Clients!$B151="","",Clients!$B151)</f>
        <v/>
      </c>
      <c r="C166" s="50">
        <f>IF($B166="","",COUNTIFS(Investments!$A$6:$A$1005,$B166))</f>
        <v/>
      </c>
      <c r="D166" s="39">
        <f>IF($B166="","",SUMIFS(Investments!$F$6:$F$1005,Investments!$A$6:$A$1005,$B166))</f>
        <v/>
      </c>
      <c r="E166" s="39">
        <f>IF($B166="","",SUMIFS(Investments!$G$6:$G$1005,Investments!$A$6:$A$1005,$B166))</f>
        <v/>
      </c>
      <c r="F166" s="39">
        <f>IF($B166="","",SUMIFS(Investments!$Q$6:$Q$1005,Investments!$A$6:$A$1005,$B166))</f>
        <v/>
      </c>
      <c r="G166" s="39">
        <f>IF($B166="","",SUMIFS(Investments!$I$6:$I$1005,Investments!$A$6:$A$1005,$B166)+SUMIFS(Investments!$J$6:$J$1005,Investments!$A$6:$A$1005,$B166)+SUMIFS(Investments!$K$6:$K$1005,Investments!$A$6:$A$1005,$B166))</f>
        <v/>
      </c>
      <c r="H166" s="39">
        <f>IF($B166="","",SUMIFS(Investments!$L$6:$L$1005,Investments!$A$6:$A$1005,$B166))</f>
        <v/>
      </c>
      <c r="I166" s="39">
        <f>IF($B166="","",($H166+$G166)-$F166)</f>
        <v/>
      </c>
      <c r="J166" s="31">
        <f>IF(OR($B166="",$F166=0),"",$I166/$F166)</f>
        <v/>
      </c>
      <c r="K166" s="31">
        <f>IF(OR($B166="",$H166=0),"",SUMPRODUCT((Investments!$A$6:$A$1005=$B166)*Investments!$L$6:$L$1005*Investments!$O$6:$O$1005)/$H166)</f>
        <v/>
      </c>
      <c r="L166" s="31">
        <f>IF(OR($B166="",$C$12=0),"",$H166/$C$12)</f>
        <v/>
      </c>
    </row>
    <row r="167">
      <c r="B167" s="22">
        <f>IF(Clients!$B152="","",Clients!$B152)</f>
        <v/>
      </c>
      <c r="C167" s="48">
        <f>IF($B167="","",COUNTIFS(Investments!$A$6:$A$1005,$B167))</f>
        <v/>
      </c>
      <c r="D167" s="49">
        <f>IF($B167="","",SUMIFS(Investments!$F$6:$F$1005,Investments!$A$6:$A$1005,$B167))</f>
        <v/>
      </c>
      <c r="E167" s="49">
        <f>IF($B167="","",SUMIFS(Investments!$G$6:$G$1005,Investments!$A$6:$A$1005,$B167))</f>
        <v/>
      </c>
      <c r="F167" s="49">
        <f>IF($B167="","",SUMIFS(Investments!$Q$6:$Q$1005,Investments!$A$6:$A$1005,$B167))</f>
        <v/>
      </c>
      <c r="G167" s="49">
        <f>IF($B167="","",SUMIFS(Investments!$I$6:$I$1005,Investments!$A$6:$A$1005,$B167)+SUMIFS(Investments!$J$6:$J$1005,Investments!$A$6:$A$1005,$B167)+SUMIFS(Investments!$K$6:$K$1005,Investments!$A$6:$A$1005,$B167))</f>
        <v/>
      </c>
      <c r="H167" s="49">
        <f>IF($B167="","",SUMIFS(Investments!$L$6:$L$1005,Investments!$A$6:$A$1005,$B167))</f>
        <v/>
      </c>
      <c r="I167" s="49">
        <f>IF($B167="","",($H167+$G167)-$F167)</f>
        <v/>
      </c>
      <c r="J167" s="26">
        <f>IF(OR($B167="",$F167=0),"",$I167/$F167)</f>
        <v/>
      </c>
      <c r="K167" s="26">
        <f>IF(OR($B167="",$H167=0),"",SUMPRODUCT((Investments!$A$6:$A$1005=$B167)*Investments!$L$6:$L$1005*Investments!$O$6:$O$1005)/$H167)</f>
        <v/>
      </c>
      <c r="L167" s="26">
        <f>IF(OR($B167="",$C$12=0),"",$H167/$C$12)</f>
        <v/>
      </c>
    </row>
    <row r="168">
      <c r="B168" s="27">
        <f>IF(Clients!$B153="","",Clients!$B153)</f>
        <v/>
      </c>
      <c r="C168" s="50">
        <f>IF($B168="","",COUNTIFS(Investments!$A$6:$A$1005,$B168))</f>
        <v/>
      </c>
      <c r="D168" s="39">
        <f>IF($B168="","",SUMIFS(Investments!$F$6:$F$1005,Investments!$A$6:$A$1005,$B168))</f>
        <v/>
      </c>
      <c r="E168" s="39">
        <f>IF($B168="","",SUMIFS(Investments!$G$6:$G$1005,Investments!$A$6:$A$1005,$B168))</f>
        <v/>
      </c>
      <c r="F168" s="39">
        <f>IF($B168="","",SUMIFS(Investments!$Q$6:$Q$1005,Investments!$A$6:$A$1005,$B168))</f>
        <v/>
      </c>
      <c r="G168" s="39">
        <f>IF($B168="","",SUMIFS(Investments!$I$6:$I$1005,Investments!$A$6:$A$1005,$B168)+SUMIFS(Investments!$J$6:$J$1005,Investments!$A$6:$A$1005,$B168)+SUMIFS(Investments!$K$6:$K$1005,Investments!$A$6:$A$1005,$B168))</f>
        <v/>
      </c>
      <c r="H168" s="39">
        <f>IF($B168="","",SUMIFS(Investments!$L$6:$L$1005,Investments!$A$6:$A$1005,$B168))</f>
        <v/>
      </c>
      <c r="I168" s="39">
        <f>IF($B168="","",($H168+$G168)-$F168)</f>
        <v/>
      </c>
      <c r="J168" s="31">
        <f>IF(OR($B168="",$F168=0),"",$I168/$F168)</f>
        <v/>
      </c>
      <c r="K168" s="31">
        <f>IF(OR($B168="",$H168=0),"",SUMPRODUCT((Investments!$A$6:$A$1005=$B168)*Investments!$L$6:$L$1005*Investments!$O$6:$O$1005)/$H168)</f>
        <v/>
      </c>
      <c r="L168" s="31">
        <f>IF(OR($B168="",$C$12=0),"",$H168/$C$12)</f>
        <v/>
      </c>
    </row>
    <row r="169">
      <c r="B169" s="22">
        <f>IF(Clients!$B154="","",Clients!$B154)</f>
        <v/>
      </c>
      <c r="C169" s="48">
        <f>IF($B169="","",COUNTIFS(Investments!$A$6:$A$1005,$B169))</f>
        <v/>
      </c>
      <c r="D169" s="49">
        <f>IF($B169="","",SUMIFS(Investments!$F$6:$F$1005,Investments!$A$6:$A$1005,$B169))</f>
        <v/>
      </c>
      <c r="E169" s="49">
        <f>IF($B169="","",SUMIFS(Investments!$G$6:$G$1005,Investments!$A$6:$A$1005,$B169))</f>
        <v/>
      </c>
      <c r="F169" s="49">
        <f>IF($B169="","",SUMIFS(Investments!$Q$6:$Q$1005,Investments!$A$6:$A$1005,$B169))</f>
        <v/>
      </c>
      <c r="G169" s="49">
        <f>IF($B169="","",SUMIFS(Investments!$I$6:$I$1005,Investments!$A$6:$A$1005,$B169)+SUMIFS(Investments!$J$6:$J$1005,Investments!$A$6:$A$1005,$B169)+SUMIFS(Investments!$K$6:$K$1005,Investments!$A$6:$A$1005,$B169))</f>
        <v/>
      </c>
      <c r="H169" s="49">
        <f>IF($B169="","",SUMIFS(Investments!$L$6:$L$1005,Investments!$A$6:$A$1005,$B169))</f>
        <v/>
      </c>
      <c r="I169" s="49">
        <f>IF($B169="","",($H169+$G169)-$F169)</f>
        <v/>
      </c>
      <c r="J169" s="26">
        <f>IF(OR($B169="",$F169=0),"",$I169/$F169)</f>
        <v/>
      </c>
      <c r="K169" s="26">
        <f>IF(OR($B169="",$H169=0),"",SUMPRODUCT((Investments!$A$6:$A$1005=$B169)*Investments!$L$6:$L$1005*Investments!$O$6:$O$1005)/$H169)</f>
        <v/>
      </c>
      <c r="L169" s="26">
        <f>IF(OR($B169="",$C$12=0),"",$H169/$C$12)</f>
        <v/>
      </c>
    </row>
    <row r="170">
      <c r="B170" s="27">
        <f>IF(Clients!$B155="","",Clients!$B155)</f>
        <v/>
      </c>
      <c r="C170" s="50">
        <f>IF($B170="","",COUNTIFS(Investments!$A$6:$A$1005,$B170))</f>
        <v/>
      </c>
      <c r="D170" s="39">
        <f>IF($B170="","",SUMIFS(Investments!$F$6:$F$1005,Investments!$A$6:$A$1005,$B170))</f>
        <v/>
      </c>
      <c r="E170" s="39">
        <f>IF($B170="","",SUMIFS(Investments!$G$6:$G$1005,Investments!$A$6:$A$1005,$B170))</f>
        <v/>
      </c>
      <c r="F170" s="39">
        <f>IF($B170="","",SUMIFS(Investments!$Q$6:$Q$1005,Investments!$A$6:$A$1005,$B170))</f>
        <v/>
      </c>
      <c r="G170" s="39">
        <f>IF($B170="","",SUMIFS(Investments!$I$6:$I$1005,Investments!$A$6:$A$1005,$B170)+SUMIFS(Investments!$J$6:$J$1005,Investments!$A$6:$A$1005,$B170)+SUMIFS(Investments!$K$6:$K$1005,Investments!$A$6:$A$1005,$B170))</f>
        <v/>
      </c>
      <c r="H170" s="39">
        <f>IF($B170="","",SUMIFS(Investments!$L$6:$L$1005,Investments!$A$6:$A$1005,$B170))</f>
        <v/>
      </c>
      <c r="I170" s="39">
        <f>IF($B170="","",($H170+$G170)-$F170)</f>
        <v/>
      </c>
      <c r="J170" s="31">
        <f>IF(OR($B170="",$F170=0),"",$I170/$F170)</f>
        <v/>
      </c>
      <c r="K170" s="31">
        <f>IF(OR($B170="",$H170=0),"",SUMPRODUCT((Investments!$A$6:$A$1005=$B170)*Investments!$L$6:$L$1005*Investments!$O$6:$O$1005)/$H170)</f>
        <v/>
      </c>
      <c r="L170" s="31">
        <f>IF(OR($B170="",$C$12=0),"",$H170/$C$12)</f>
        <v/>
      </c>
    </row>
    <row r="171">
      <c r="B171" s="22">
        <f>IF(Clients!$B156="","",Clients!$B156)</f>
        <v/>
      </c>
      <c r="C171" s="48">
        <f>IF($B171="","",COUNTIFS(Investments!$A$6:$A$1005,$B171))</f>
        <v/>
      </c>
      <c r="D171" s="49">
        <f>IF($B171="","",SUMIFS(Investments!$F$6:$F$1005,Investments!$A$6:$A$1005,$B171))</f>
        <v/>
      </c>
      <c r="E171" s="49">
        <f>IF($B171="","",SUMIFS(Investments!$G$6:$G$1005,Investments!$A$6:$A$1005,$B171))</f>
        <v/>
      </c>
      <c r="F171" s="49">
        <f>IF($B171="","",SUMIFS(Investments!$Q$6:$Q$1005,Investments!$A$6:$A$1005,$B171))</f>
        <v/>
      </c>
      <c r="G171" s="49">
        <f>IF($B171="","",SUMIFS(Investments!$I$6:$I$1005,Investments!$A$6:$A$1005,$B171)+SUMIFS(Investments!$J$6:$J$1005,Investments!$A$6:$A$1005,$B171)+SUMIFS(Investments!$K$6:$K$1005,Investments!$A$6:$A$1005,$B171))</f>
        <v/>
      </c>
      <c r="H171" s="49">
        <f>IF($B171="","",SUMIFS(Investments!$L$6:$L$1005,Investments!$A$6:$A$1005,$B171))</f>
        <v/>
      </c>
      <c r="I171" s="49">
        <f>IF($B171="","",($H171+$G171)-$F171)</f>
        <v/>
      </c>
      <c r="J171" s="26">
        <f>IF(OR($B171="",$F171=0),"",$I171/$F171)</f>
        <v/>
      </c>
      <c r="K171" s="26">
        <f>IF(OR($B171="",$H171=0),"",SUMPRODUCT((Investments!$A$6:$A$1005=$B171)*Investments!$L$6:$L$1005*Investments!$O$6:$O$1005)/$H171)</f>
        <v/>
      </c>
      <c r="L171" s="26">
        <f>IF(OR($B171="",$C$12=0),"",$H171/$C$12)</f>
        <v/>
      </c>
    </row>
    <row r="172">
      <c r="B172" s="27">
        <f>IF(Clients!$B157="","",Clients!$B157)</f>
        <v/>
      </c>
      <c r="C172" s="50">
        <f>IF($B172="","",COUNTIFS(Investments!$A$6:$A$1005,$B172))</f>
        <v/>
      </c>
      <c r="D172" s="39">
        <f>IF($B172="","",SUMIFS(Investments!$F$6:$F$1005,Investments!$A$6:$A$1005,$B172))</f>
        <v/>
      </c>
      <c r="E172" s="39">
        <f>IF($B172="","",SUMIFS(Investments!$G$6:$G$1005,Investments!$A$6:$A$1005,$B172))</f>
        <v/>
      </c>
      <c r="F172" s="39">
        <f>IF($B172="","",SUMIFS(Investments!$Q$6:$Q$1005,Investments!$A$6:$A$1005,$B172))</f>
        <v/>
      </c>
      <c r="G172" s="39">
        <f>IF($B172="","",SUMIFS(Investments!$I$6:$I$1005,Investments!$A$6:$A$1005,$B172)+SUMIFS(Investments!$J$6:$J$1005,Investments!$A$6:$A$1005,$B172)+SUMIFS(Investments!$K$6:$K$1005,Investments!$A$6:$A$1005,$B172))</f>
        <v/>
      </c>
      <c r="H172" s="39">
        <f>IF($B172="","",SUMIFS(Investments!$L$6:$L$1005,Investments!$A$6:$A$1005,$B172))</f>
        <v/>
      </c>
      <c r="I172" s="39">
        <f>IF($B172="","",($H172+$G172)-$F172)</f>
        <v/>
      </c>
      <c r="J172" s="31">
        <f>IF(OR($B172="",$F172=0),"",$I172/$F172)</f>
        <v/>
      </c>
      <c r="K172" s="31">
        <f>IF(OR($B172="",$H172=0),"",SUMPRODUCT((Investments!$A$6:$A$1005=$B172)*Investments!$L$6:$L$1005*Investments!$O$6:$O$1005)/$H172)</f>
        <v/>
      </c>
      <c r="L172" s="31">
        <f>IF(OR($B172="",$C$12=0),"",$H172/$C$12)</f>
        <v/>
      </c>
    </row>
    <row r="173">
      <c r="B173" s="22">
        <f>IF(Clients!$B158="","",Clients!$B158)</f>
        <v/>
      </c>
      <c r="C173" s="48">
        <f>IF($B173="","",COUNTIFS(Investments!$A$6:$A$1005,$B173))</f>
        <v/>
      </c>
      <c r="D173" s="49">
        <f>IF($B173="","",SUMIFS(Investments!$F$6:$F$1005,Investments!$A$6:$A$1005,$B173))</f>
        <v/>
      </c>
      <c r="E173" s="49">
        <f>IF($B173="","",SUMIFS(Investments!$G$6:$G$1005,Investments!$A$6:$A$1005,$B173))</f>
        <v/>
      </c>
      <c r="F173" s="49">
        <f>IF($B173="","",SUMIFS(Investments!$Q$6:$Q$1005,Investments!$A$6:$A$1005,$B173))</f>
        <v/>
      </c>
      <c r="G173" s="49">
        <f>IF($B173="","",SUMIFS(Investments!$I$6:$I$1005,Investments!$A$6:$A$1005,$B173)+SUMIFS(Investments!$J$6:$J$1005,Investments!$A$6:$A$1005,$B173)+SUMIFS(Investments!$K$6:$K$1005,Investments!$A$6:$A$1005,$B173))</f>
        <v/>
      </c>
      <c r="H173" s="49">
        <f>IF($B173="","",SUMIFS(Investments!$L$6:$L$1005,Investments!$A$6:$A$1005,$B173))</f>
        <v/>
      </c>
      <c r="I173" s="49">
        <f>IF($B173="","",($H173+$G173)-$F173)</f>
        <v/>
      </c>
      <c r="J173" s="26">
        <f>IF(OR($B173="",$F173=0),"",$I173/$F173)</f>
        <v/>
      </c>
      <c r="K173" s="26">
        <f>IF(OR($B173="",$H173=0),"",SUMPRODUCT((Investments!$A$6:$A$1005=$B173)*Investments!$L$6:$L$1005*Investments!$O$6:$O$1005)/$H173)</f>
        <v/>
      </c>
      <c r="L173" s="26">
        <f>IF(OR($B173="",$C$12=0),"",$H173/$C$12)</f>
        <v/>
      </c>
    </row>
    <row r="174">
      <c r="B174" s="27">
        <f>IF(Clients!$B159="","",Clients!$B159)</f>
        <v/>
      </c>
      <c r="C174" s="50">
        <f>IF($B174="","",COUNTIFS(Investments!$A$6:$A$1005,$B174))</f>
        <v/>
      </c>
      <c r="D174" s="39">
        <f>IF($B174="","",SUMIFS(Investments!$F$6:$F$1005,Investments!$A$6:$A$1005,$B174))</f>
        <v/>
      </c>
      <c r="E174" s="39">
        <f>IF($B174="","",SUMIFS(Investments!$G$6:$G$1005,Investments!$A$6:$A$1005,$B174))</f>
        <v/>
      </c>
      <c r="F174" s="39">
        <f>IF($B174="","",SUMIFS(Investments!$Q$6:$Q$1005,Investments!$A$6:$A$1005,$B174))</f>
        <v/>
      </c>
      <c r="G174" s="39">
        <f>IF($B174="","",SUMIFS(Investments!$I$6:$I$1005,Investments!$A$6:$A$1005,$B174)+SUMIFS(Investments!$J$6:$J$1005,Investments!$A$6:$A$1005,$B174)+SUMIFS(Investments!$K$6:$K$1005,Investments!$A$6:$A$1005,$B174))</f>
        <v/>
      </c>
      <c r="H174" s="39">
        <f>IF($B174="","",SUMIFS(Investments!$L$6:$L$1005,Investments!$A$6:$A$1005,$B174))</f>
        <v/>
      </c>
      <c r="I174" s="39">
        <f>IF($B174="","",($H174+$G174)-$F174)</f>
        <v/>
      </c>
      <c r="J174" s="31">
        <f>IF(OR($B174="",$F174=0),"",$I174/$F174)</f>
        <v/>
      </c>
      <c r="K174" s="31">
        <f>IF(OR($B174="",$H174=0),"",SUMPRODUCT((Investments!$A$6:$A$1005=$B174)*Investments!$L$6:$L$1005*Investments!$O$6:$O$1005)/$H174)</f>
        <v/>
      </c>
      <c r="L174" s="31">
        <f>IF(OR($B174="",$C$12=0),"",$H174/$C$12)</f>
        <v/>
      </c>
    </row>
    <row r="175">
      <c r="B175" s="22">
        <f>IF(Clients!$B160="","",Clients!$B160)</f>
        <v/>
      </c>
      <c r="C175" s="48">
        <f>IF($B175="","",COUNTIFS(Investments!$A$6:$A$1005,$B175))</f>
        <v/>
      </c>
      <c r="D175" s="49">
        <f>IF($B175="","",SUMIFS(Investments!$F$6:$F$1005,Investments!$A$6:$A$1005,$B175))</f>
        <v/>
      </c>
      <c r="E175" s="49">
        <f>IF($B175="","",SUMIFS(Investments!$G$6:$G$1005,Investments!$A$6:$A$1005,$B175))</f>
        <v/>
      </c>
      <c r="F175" s="49">
        <f>IF($B175="","",SUMIFS(Investments!$Q$6:$Q$1005,Investments!$A$6:$A$1005,$B175))</f>
        <v/>
      </c>
      <c r="G175" s="49">
        <f>IF($B175="","",SUMIFS(Investments!$I$6:$I$1005,Investments!$A$6:$A$1005,$B175)+SUMIFS(Investments!$J$6:$J$1005,Investments!$A$6:$A$1005,$B175)+SUMIFS(Investments!$K$6:$K$1005,Investments!$A$6:$A$1005,$B175))</f>
        <v/>
      </c>
      <c r="H175" s="49">
        <f>IF($B175="","",SUMIFS(Investments!$L$6:$L$1005,Investments!$A$6:$A$1005,$B175))</f>
        <v/>
      </c>
      <c r="I175" s="49">
        <f>IF($B175="","",($H175+$G175)-$F175)</f>
        <v/>
      </c>
      <c r="J175" s="26">
        <f>IF(OR($B175="",$F175=0),"",$I175/$F175)</f>
        <v/>
      </c>
      <c r="K175" s="26">
        <f>IF(OR($B175="",$H175=0),"",SUMPRODUCT((Investments!$A$6:$A$1005=$B175)*Investments!$L$6:$L$1005*Investments!$O$6:$O$1005)/$H175)</f>
        <v/>
      </c>
      <c r="L175" s="26">
        <f>IF(OR($B175="",$C$12=0),"",$H175/$C$12)</f>
        <v/>
      </c>
    </row>
    <row r="176">
      <c r="B176" s="27">
        <f>IF(Clients!$B161="","",Clients!$B161)</f>
        <v/>
      </c>
      <c r="C176" s="50">
        <f>IF($B176="","",COUNTIFS(Investments!$A$6:$A$1005,$B176))</f>
        <v/>
      </c>
      <c r="D176" s="39">
        <f>IF($B176="","",SUMIFS(Investments!$F$6:$F$1005,Investments!$A$6:$A$1005,$B176))</f>
        <v/>
      </c>
      <c r="E176" s="39">
        <f>IF($B176="","",SUMIFS(Investments!$G$6:$G$1005,Investments!$A$6:$A$1005,$B176))</f>
        <v/>
      </c>
      <c r="F176" s="39">
        <f>IF($B176="","",SUMIFS(Investments!$Q$6:$Q$1005,Investments!$A$6:$A$1005,$B176))</f>
        <v/>
      </c>
      <c r="G176" s="39">
        <f>IF($B176="","",SUMIFS(Investments!$I$6:$I$1005,Investments!$A$6:$A$1005,$B176)+SUMIFS(Investments!$J$6:$J$1005,Investments!$A$6:$A$1005,$B176)+SUMIFS(Investments!$K$6:$K$1005,Investments!$A$6:$A$1005,$B176))</f>
        <v/>
      </c>
      <c r="H176" s="39">
        <f>IF($B176="","",SUMIFS(Investments!$L$6:$L$1005,Investments!$A$6:$A$1005,$B176))</f>
        <v/>
      </c>
      <c r="I176" s="39">
        <f>IF($B176="","",($H176+$G176)-$F176)</f>
        <v/>
      </c>
      <c r="J176" s="31">
        <f>IF(OR($B176="",$F176=0),"",$I176/$F176)</f>
        <v/>
      </c>
      <c r="K176" s="31">
        <f>IF(OR($B176="",$H176=0),"",SUMPRODUCT((Investments!$A$6:$A$1005=$B176)*Investments!$L$6:$L$1005*Investments!$O$6:$O$1005)/$H176)</f>
        <v/>
      </c>
      <c r="L176" s="31">
        <f>IF(OR($B176="",$C$12=0),"",$H176/$C$12)</f>
        <v/>
      </c>
    </row>
    <row r="177">
      <c r="B177" s="22">
        <f>IF(Clients!$B162="","",Clients!$B162)</f>
        <v/>
      </c>
      <c r="C177" s="48">
        <f>IF($B177="","",COUNTIFS(Investments!$A$6:$A$1005,$B177))</f>
        <v/>
      </c>
      <c r="D177" s="49">
        <f>IF($B177="","",SUMIFS(Investments!$F$6:$F$1005,Investments!$A$6:$A$1005,$B177))</f>
        <v/>
      </c>
      <c r="E177" s="49">
        <f>IF($B177="","",SUMIFS(Investments!$G$6:$G$1005,Investments!$A$6:$A$1005,$B177))</f>
        <v/>
      </c>
      <c r="F177" s="49">
        <f>IF($B177="","",SUMIFS(Investments!$Q$6:$Q$1005,Investments!$A$6:$A$1005,$B177))</f>
        <v/>
      </c>
      <c r="G177" s="49">
        <f>IF($B177="","",SUMIFS(Investments!$I$6:$I$1005,Investments!$A$6:$A$1005,$B177)+SUMIFS(Investments!$J$6:$J$1005,Investments!$A$6:$A$1005,$B177)+SUMIFS(Investments!$K$6:$K$1005,Investments!$A$6:$A$1005,$B177))</f>
        <v/>
      </c>
      <c r="H177" s="49">
        <f>IF($B177="","",SUMIFS(Investments!$L$6:$L$1005,Investments!$A$6:$A$1005,$B177))</f>
        <v/>
      </c>
      <c r="I177" s="49">
        <f>IF($B177="","",($H177+$G177)-$F177)</f>
        <v/>
      </c>
      <c r="J177" s="26">
        <f>IF(OR($B177="",$F177=0),"",$I177/$F177)</f>
        <v/>
      </c>
      <c r="K177" s="26">
        <f>IF(OR($B177="",$H177=0),"",SUMPRODUCT((Investments!$A$6:$A$1005=$B177)*Investments!$L$6:$L$1005*Investments!$O$6:$O$1005)/$H177)</f>
        <v/>
      </c>
      <c r="L177" s="26">
        <f>IF(OR($B177="",$C$12=0),"",$H177/$C$12)</f>
        <v/>
      </c>
    </row>
    <row r="178">
      <c r="B178" s="27">
        <f>IF(Clients!$B163="","",Clients!$B163)</f>
        <v/>
      </c>
      <c r="C178" s="50">
        <f>IF($B178="","",COUNTIFS(Investments!$A$6:$A$1005,$B178))</f>
        <v/>
      </c>
      <c r="D178" s="39">
        <f>IF($B178="","",SUMIFS(Investments!$F$6:$F$1005,Investments!$A$6:$A$1005,$B178))</f>
        <v/>
      </c>
      <c r="E178" s="39">
        <f>IF($B178="","",SUMIFS(Investments!$G$6:$G$1005,Investments!$A$6:$A$1005,$B178))</f>
        <v/>
      </c>
      <c r="F178" s="39">
        <f>IF($B178="","",SUMIFS(Investments!$Q$6:$Q$1005,Investments!$A$6:$A$1005,$B178))</f>
        <v/>
      </c>
      <c r="G178" s="39">
        <f>IF($B178="","",SUMIFS(Investments!$I$6:$I$1005,Investments!$A$6:$A$1005,$B178)+SUMIFS(Investments!$J$6:$J$1005,Investments!$A$6:$A$1005,$B178)+SUMIFS(Investments!$K$6:$K$1005,Investments!$A$6:$A$1005,$B178))</f>
        <v/>
      </c>
      <c r="H178" s="39">
        <f>IF($B178="","",SUMIFS(Investments!$L$6:$L$1005,Investments!$A$6:$A$1005,$B178))</f>
        <v/>
      </c>
      <c r="I178" s="39">
        <f>IF($B178="","",($H178+$G178)-$F178)</f>
        <v/>
      </c>
      <c r="J178" s="31">
        <f>IF(OR($B178="",$F178=0),"",$I178/$F178)</f>
        <v/>
      </c>
      <c r="K178" s="31">
        <f>IF(OR($B178="",$H178=0),"",SUMPRODUCT((Investments!$A$6:$A$1005=$B178)*Investments!$L$6:$L$1005*Investments!$O$6:$O$1005)/$H178)</f>
        <v/>
      </c>
      <c r="L178" s="31">
        <f>IF(OR($B178="",$C$12=0),"",$H178/$C$12)</f>
        <v/>
      </c>
    </row>
    <row r="179">
      <c r="B179" s="22">
        <f>IF(Clients!$B164="","",Clients!$B164)</f>
        <v/>
      </c>
      <c r="C179" s="48">
        <f>IF($B179="","",COUNTIFS(Investments!$A$6:$A$1005,$B179))</f>
        <v/>
      </c>
      <c r="D179" s="49">
        <f>IF($B179="","",SUMIFS(Investments!$F$6:$F$1005,Investments!$A$6:$A$1005,$B179))</f>
        <v/>
      </c>
      <c r="E179" s="49">
        <f>IF($B179="","",SUMIFS(Investments!$G$6:$G$1005,Investments!$A$6:$A$1005,$B179))</f>
        <v/>
      </c>
      <c r="F179" s="49">
        <f>IF($B179="","",SUMIFS(Investments!$Q$6:$Q$1005,Investments!$A$6:$A$1005,$B179))</f>
        <v/>
      </c>
      <c r="G179" s="49">
        <f>IF($B179="","",SUMIFS(Investments!$I$6:$I$1005,Investments!$A$6:$A$1005,$B179)+SUMIFS(Investments!$J$6:$J$1005,Investments!$A$6:$A$1005,$B179)+SUMIFS(Investments!$K$6:$K$1005,Investments!$A$6:$A$1005,$B179))</f>
        <v/>
      </c>
      <c r="H179" s="49">
        <f>IF($B179="","",SUMIFS(Investments!$L$6:$L$1005,Investments!$A$6:$A$1005,$B179))</f>
        <v/>
      </c>
      <c r="I179" s="49">
        <f>IF($B179="","",($H179+$G179)-$F179)</f>
        <v/>
      </c>
      <c r="J179" s="26">
        <f>IF(OR($B179="",$F179=0),"",$I179/$F179)</f>
        <v/>
      </c>
      <c r="K179" s="26">
        <f>IF(OR($B179="",$H179=0),"",SUMPRODUCT((Investments!$A$6:$A$1005=$B179)*Investments!$L$6:$L$1005*Investments!$O$6:$O$1005)/$H179)</f>
        <v/>
      </c>
      <c r="L179" s="26">
        <f>IF(OR($B179="",$C$12=0),"",$H179/$C$12)</f>
        <v/>
      </c>
    </row>
    <row r="180">
      <c r="B180" s="27">
        <f>IF(Clients!$B165="","",Clients!$B165)</f>
        <v/>
      </c>
      <c r="C180" s="50">
        <f>IF($B180="","",COUNTIFS(Investments!$A$6:$A$1005,$B180))</f>
        <v/>
      </c>
      <c r="D180" s="39">
        <f>IF($B180="","",SUMIFS(Investments!$F$6:$F$1005,Investments!$A$6:$A$1005,$B180))</f>
        <v/>
      </c>
      <c r="E180" s="39">
        <f>IF($B180="","",SUMIFS(Investments!$G$6:$G$1005,Investments!$A$6:$A$1005,$B180))</f>
        <v/>
      </c>
      <c r="F180" s="39">
        <f>IF($B180="","",SUMIFS(Investments!$Q$6:$Q$1005,Investments!$A$6:$A$1005,$B180))</f>
        <v/>
      </c>
      <c r="G180" s="39">
        <f>IF($B180="","",SUMIFS(Investments!$I$6:$I$1005,Investments!$A$6:$A$1005,$B180)+SUMIFS(Investments!$J$6:$J$1005,Investments!$A$6:$A$1005,$B180)+SUMIFS(Investments!$K$6:$K$1005,Investments!$A$6:$A$1005,$B180))</f>
        <v/>
      </c>
      <c r="H180" s="39">
        <f>IF($B180="","",SUMIFS(Investments!$L$6:$L$1005,Investments!$A$6:$A$1005,$B180))</f>
        <v/>
      </c>
      <c r="I180" s="39">
        <f>IF($B180="","",($H180+$G180)-$F180)</f>
        <v/>
      </c>
      <c r="J180" s="31">
        <f>IF(OR($B180="",$F180=0),"",$I180/$F180)</f>
        <v/>
      </c>
      <c r="K180" s="31">
        <f>IF(OR($B180="",$H180=0),"",SUMPRODUCT((Investments!$A$6:$A$1005=$B180)*Investments!$L$6:$L$1005*Investments!$O$6:$O$1005)/$H180)</f>
        <v/>
      </c>
      <c r="L180" s="31">
        <f>IF(OR($B180="",$C$12=0),"",$H180/$C$12)</f>
        <v/>
      </c>
    </row>
    <row r="181">
      <c r="B181" s="22">
        <f>IF(Clients!$B166="","",Clients!$B166)</f>
        <v/>
      </c>
      <c r="C181" s="48">
        <f>IF($B181="","",COUNTIFS(Investments!$A$6:$A$1005,$B181))</f>
        <v/>
      </c>
      <c r="D181" s="49">
        <f>IF($B181="","",SUMIFS(Investments!$F$6:$F$1005,Investments!$A$6:$A$1005,$B181))</f>
        <v/>
      </c>
      <c r="E181" s="49">
        <f>IF($B181="","",SUMIFS(Investments!$G$6:$G$1005,Investments!$A$6:$A$1005,$B181))</f>
        <v/>
      </c>
      <c r="F181" s="49">
        <f>IF($B181="","",SUMIFS(Investments!$Q$6:$Q$1005,Investments!$A$6:$A$1005,$B181))</f>
        <v/>
      </c>
      <c r="G181" s="49">
        <f>IF($B181="","",SUMIFS(Investments!$I$6:$I$1005,Investments!$A$6:$A$1005,$B181)+SUMIFS(Investments!$J$6:$J$1005,Investments!$A$6:$A$1005,$B181)+SUMIFS(Investments!$K$6:$K$1005,Investments!$A$6:$A$1005,$B181))</f>
        <v/>
      </c>
      <c r="H181" s="49">
        <f>IF($B181="","",SUMIFS(Investments!$L$6:$L$1005,Investments!$A$6:$A$1005,$B181))</f>
        <v/>
      </c>
      <c r="I181" s="49">
        <f>IF($B181="","",($H181+$G181)-$F181)</f>
        <v/>
      </c>
      <c r="J181" s="26">
        <f>IF(OR($B181="",$F181=0),"",$I181/$F181)</f>
        <v/>
      </c>
      <c r="K181" s="26">
        <f>IF(OR($B181="",$H181=0),"",SUMPRODUCT((Investments!$A$6:$A$1005=$B181)*Investments!$L$6:$L$1005*Investments!$O$6:$O$1005)/$H181)</f>
        <v/>
      </c>
      <c r="L181" s="26">
        <f>IF(OR($B181="",$C$12=0),"",$H181/$C$12)</f>
        <v/>
      </c>
    </row>
    <row r="182">
      <c r="B182" s="27">
        <f>IF(Clients!$B167="","",Clients!$B167)</f>
        <v/>
      </c>
      <c r="C182" s="50">
        <f>IF($B182="","",COUNTIFS(Investments!$A$6:$A$1005,$B182))</f>
        <v/>
      </c>
      <c r="D182" s="39">
        <f>IF($B182="","",SUMIFS(Investments!$F$6:$F$1005,Investments!$A$6:$A$1005,$B182))</f>
        <v/>
      </c>
      <c r="E182" s="39">
        <f>IF($B182="","",SUMIFS(Investments!$G$6:$G$1005,Investments!$A$6:$A$1005,$B182))</f>
        <v/>
      </c>
      <c r="F182" s="39">
        <f>IF($B182="","",SUMIFS(Investments!$Q$6:$Q$1005,Investments!$A$6:$A$1005,$B182))</f>
        <v/>
      </c>
      <c r="G182" s="39">
        <f>IF($B182="","",SUMIFS(Investments!$I$6:$I$1005,Investments!$A$6:$A$1005,$B182)+SUMIFS(Investments!$J$6:$J$1005,Investments!$A$6:$A$1005,$B182)+SUMIFS(Investments!$K$6:$K$1005,Investments!$A$6:$A$1005,$B182))</f>
        <v/>
      </c>
      <c r="H182" s="39">
        <f>IF($B182="","",SUMIFS(Investments!$L$6:$L$1005,Investments!$A$6:$A$1005,$B182))</f>
        <v/>
      </c>
      <c r="I182" s="39">
        <f>IF($B182="","",($H182+$G182)-$F182)</f>
        <v/>
      </c>
      <c r="J182" s="31">
        <f>IF(OR($B182="",$F182=0),"",$I182/$F182)</f>
        <v/>
      </c>
      <c r="K182" s="31">
        <f>IF(OR($B182="",$H182=0),"",SUMPRODUCT((Investments!$A$6:$A$1005=$B182)*Investments!$L$6:$L$1005*Investments!$O$6:$O$1005)/$H182)</f>
        <v/>
      </c>
      <c r="L182" s="31">
        <f>IF(OR($B182="",$C$12=0),"",$H182/$C$12)</f>
        <v/>
      </c>
    </row>
    <row r="183">
      <c r="B183" s="22">
        <f>IF(Clients!$B168="","",Clients!$B168)</f>
        <v/>
      </c>
      <c r="C183" s="48">
        <f>IF($B183="","",COUNTIFS(Investments!$A$6:$A$1005,$B183))</f>
        <v/>
      </c>
      <c r="D183" s="49">
        <f>IF($B183="","",SUMIFS(Investments!$F$6:$F$1005,Investments!$A$6:$A$1005,$B183))</f>
        <v/>
      </c>
      <c r="E183" s="49">
        <f>IF($B183="","",SUMIFS(Investments!$G$6:$G$1005,Investments!$A$6:$A$1005,$B183))</f>
        <v/>
      </c>
      <c r="F183" s="49">
        <f>IF($B183="","",SUMIFS(Investments!$Q$6:$Q$1005,Investments!$A$6:$A$1005,$B183))</f>
        <v/>
      </c>
      <c r="G183" s="49">
        <f>IF($B183="","",SUMIFS(Investments!$I$6:$I$1005,Investments!$A$6:$A$1005,$B183)+SUMIFS(Investments!$J$6:$J$1005,Investments!$A$6:$A$1005,$B183)+SUMIFS(Investments!$K$6:$K$1005,Investments!$A$6:$A$1005,$B183))</f>
        <v/>
      </c>
      <c r="H183" s="49">
        <f>IF($B183="","",SUMIFS(Investments!$L$6:$L$1005,Investments!$A$6:$A$1005,$B183))</f>
        <v/>
      </c>
      <c r="I183" s="49">
        <f>IF($B183="","",($H183+$G183)-$F183)</f>
        <v/>
      </c>
      <c r="J183" s="26">
        <f>IF(OR($B183="",$F183=0),"",$I183/$F183)</f>
        <v/>
      </c>
      <c r="K183" s="26">
        <f>IF(OR($B183="",$H183=0),"",SUMPRODUCT((Investments!$A$6:$A$1005=$B183)*Investments!$L$6:$L$1005*Investments!$O$6:$O$1005)/$H183)</f>
        <v/>
      </c>
      <c r="L183" s="26">
        <f>IF(OR($B183="",$C$12=0),"",$H183/$C$12)</f>
        <v/>
      </c>
    </row>
    <row r="184">
      <c r="B184" s="27">
        <f>IF(Clients!$B169="","",Clients!$B169)</f>
        <v/>
      </c>
      <c r="C184" s="50">
        <f>IF($B184="","",COUNTIFS(Investments!$A$6:$A$1005,$B184))</f>
        <v/>
      </c>
      <c r="D184" s="39">
        <f>IF($B184="","",SUMIFS(Investments!$F$6:$F$1005,Investments!$A$6:$A$1005,$B184))</f>
        <v/>
      </c>
      <c r="E184" s="39">
        <f>IF($B184="","",SUMIFS(Investments!$G$6:$G$1005,Investments!$A$6:$A$1005,$B184))</f>
        <v/>
      </c>
      <c r="F184" s="39">
        <f>IF($B184="","",SUMIFS(Investments!$Q$6:$Q$1005,Investments!$A$6:$A$1005,$B184))</f>
        <v/>
      </c>
      <c r="G184" s="39">
        <f>IF($B184="","",SUMIFS(Investments!$I$6:$I$1005,Investments!$A$6:$A$1005,$B184)+SUMIFS(Investments!$J$6:$J$1005,Investments!$A$6:$A$1005,$B184)+SUMIFS(Investments!$K$6:$K$1005,Investments!$A$6:$A$1005,$B184))</f>
        <v/>
      </c>
      <c r="H184" s="39">
        <f>IF($B184="","",SUMIFS(Investments!$L$6:$L$1005,Investments!$A$6:$A$1005,$B184))</f>
        <v/>
      </c>
      <c r="I184" s="39">
        <f>IF($B184="","",($H184+$G184)-$F184)</f>
        <v/>
      </c>
      <c r="J184" s="31">
        <f>IF(OR($B184="",$F184=0),"",$I184/$F184)</f>
        <v/>
      </c>
      <c r="K184" s="31">
        <f>IF(OR($B184="",$H184=0),"",SUMPRODUCT((Investments!$A$6:$A$1005=$B184)*Investments!$L$6:$L$1005*Investments!$O$6:$O$1005)/$H184)</f>
        <v/>
      </c>
      <c r="L184" s="31">
        <f>IF(OR($B184="",$C$12=0),"",$H184/$C$12)</f>
        <v/>
      </c>
    </row>
    <row r="185">
      <c r="B185" s="22">
        <f>IF(Clients!$B170="","",Clients!$B170)</f>
        <v/>
      </c>
      <c r="C185" s="48">
        <f>IF($B185="","",COUNTIFS(Investments!$A$6:$A$1005,$B185))</f>
        <v/>
      </c>
      <c r="D185" s="49">
        <f>IF($B185="","",SUMIFS(Investments!$F$6:$F$1005,Investments!$A$6:$A$1005,$B185))</f>
        <v/>
      </c>
      <c r="E185" s="49">
        <f>IF($B185="","",SUMIFS(Investments!$G$6:$G$1005,Investments!$A$6:$A$1005,$B185))</f>
        <v/>
      </c>
      <c r="F185" s="49">
        <f>IF($B185="","",SUMIFS(Investments!$Q$6:$Q$1005,Investments!$A$6:$A$1005,$B185))</f>
        <v/>
      </c>
      <c r="G185" s="49">
        <f>IF($B185="","",SUMIFS(Investments!$I$6:$I$1005,Investments!$A$6:$A$1005,$B185)+SUMIFS(Investments!$J$6:$J$1005,Investments!$A$6:$A$1005,$B185)+SUMIFS(Investments!$K$6:$K$1005,Investments!$A$6:$A$1005,$B185))</f>
        <v/>
      </c>
      <c r="H185" s="49">
        <f>IF($B185="","",SUMIFS(Investments!$L$6:$L$1005,Investments!$A$6:$A$1005,$B185))</f>
        <v/>
      </c>
      <c r="I185" s="49">
        <f>IF($B185="","",($H185+$G185)-$F185)</f>
        <v/>
      </c>
      <c r="J185" s="26">
        <f>IF(OR($B185="",$F185=0),"",$I185/$F185)</f>
        <v/>
      </c>
      <c r="K185" s="26">
        <f>IF(OR($B185="",$H185=0),"",SUMPRODUCT((Investments!$A$6:$A$1005=$B185)*Investments!$L$6:$L$1005*Investments!$O$6:$O$1005)/$H185)</f>
        <v/>
      </c>
      <c r="L185" s="26">
        <f>IF(OR($B185="",$C$12=0),"",$H185/$C$12)</f>
        <v/>
      </c>
    </row>
    <row r="186">
      <c r="B186" s="27">
        <f>IF(Clients!$B171="","",Clients!$B171)</f>
        <v/>
      </c>
      <c r="C186" s="50">
        <f>IF($B186="","",COUNTIFS(Investments!$A$6:$A$1005,$B186))</f>
        <v/>
      </c>
      <c r="D186" s="39">
        <f>IF($B186="","",SUMIFS(Investments!$F$6:$F$1005,Investments!$A$6:$A$1005,$B186))</f>
        <v/>
      </c>
      <c r="E186" s="39">
        <f>IF($B186="","",SUMIFS(Investments!$G$6:$G$1005,Investments!$A$6:$A$1005,$B186))</f>
        <v/>
      </c>
      <c r="F186" s="39">
        <f>IF($B186="","",SUMIFS(Investments!$Q$6:$Q$1005,Investments!$A$6:$A$1005,$B186))</f>
        <v/>
      </c>
      <c r="G186" s="39">
        <f>IF($B186="","",SUMIFS(Investments!$I$6:$I$1005,Investments!$A$6:$A$1005,$B186)+SUMIFS(Investments!$J$6:$J$1005,Investments!$A$6:$A$1005,$B186)+SUMIFS(Investments!$K$6:$K$1005,Investments!$A$6:$A$1005,$B186))</f>
        <v/>
      </c>
      <c r="H186" s="39">
        <f>IF($B186="","",SUMIFS(Investments!$L$6:$L$1005,Investments!$A$6:$A$1005,$B186))</f>
        <v/>
      </c>
      <c r="I186" s="39">
        <f>IF($B186="","",($H186+$G186)-$F186)</f>
        <v/>
      </c>
      <c r="J186" s="31">
        <f>IF(OR($B186="",$F186=0),"",$I186/$F186)</f>
        <v/>
      </c>
      <c r="K186" s="31">
        <f>IF(OR($B186="",$H186=0),"",SUMPRODUCT((Investments!$A$6:$A$1005=$B186)*Investments!$L$6:$L$1005*Investments!$O$6:$O$1005)/$H186)</f>
        <v/>
      </c>
      <c r="L186" s="31">
        <f>IF(OR($B186="",$C$12=0),"",$H186/$C$12)</f>
        <v/>
      </c>
    </row>
    <row r="187">
      <c r="B187" s="22">
        <f>IF(Clients!$B172="","",Clients!$B172)</f>
        <v/>
      </c>
      <c r="C187" s="48">
        <f>IF($B187="","",COUNTIFS(Investments!$A$6:$A$1005,$B187))</f>
        <v/>
      </c>
      <c r="D187" s="49">
        <f>IF($B187="","",SUMIFS(Investments!$F$6:$F$1005,Investments!$A$6:$A$1005,$B187))</f>
        <v/>
      </c>
      <c r="E187" s="49">
        <f>IF($B187="","",SUMIFS(Investments!$G$6:$G$1005,Investments!$A$6:$A$1005,$B187))</f>
        <v/>
      </c>
      <c r="F187" s="49">
        <f>IF($B187="","",SUMIFS(Investments!$Q$6:$Q$1005,Investments!$A$6:$A$1005,$B187))</f>
        <v/>
      </c>
      <c r="G187" s="49">
        <f>IF($B187="","",SUMIFS(Investments!$I$6:$I$1005,Investments!$A$6:$A$1005,$B187)+SUMIFS(Investments!$J$6:$J$1005,Investments!$A$6:$A$1005,$B187)+SUMIFS(Investments!$K$6:$K$1005,Investments!$A$6:$A$1005,$B187))</f>
        <v/>
      </c>
      <c r="H187" s="49">
        <f>IF($B187="","",SUMIFS(Investments!$L$6:$L$1005,Investments!$A$6:$A$1005,$B187))</f>
        <v/>
      </c>
      <c r="I187" s="49">
        <f>IF($B187="","",($H187+$G187)-$F187)</f>
        <v/>
      </c>
      <c r="J187" s="26">
        <f>IF(OR($B187="",$F187=0),"",$I187/$F187)</f>
        <v/>
      </c>
      <c r="K187" s="26">
        <f>IF(OR($B187="",$H187=0),"",SUMPRODUCT((Investments!$A$6:$A$1005=$B187)*Investments!$L$6:$L$1005*Investments!$O$6:$O$1005)/$H187)</f>
        <v/>
      </c>
      <c r="L187" s="26">
        <f>IF(OR($B187="",$C$12=0),"",$H187/$C$12)</f>
        <v/>
      </c>
    </row>
    <row r="188">
      <c r="B188" s="27">
        <f>IF(Clients!$B173="","",Clients!$B173)</f>
        <v/>
      </c>
      <c r="C188" s="50">
        <f>IF($B188="","",COUNTIFS(Investments!$A$6:$A$1005,$B188))</f>
        <v/>
      </c>
      <c r="D188" s="39">
        <f>IF($B188="","",SUMIFS(Investments!$F$6:$F$1005,Investments!$A$6:$A$1005,$B188))</f>
        <v/>
      </c>
      <c r="E188" s="39">
        <f>IF($B188="","",SUMIFS(Investments!$G$6:$G$1005,Investments!$A$6:$A$1005,$B188))</f>
        <v/>
      </c>
      <c r="F188" s="39">
        <f>IF($B188="","",SUMIFS(Investments!$Q$6:$Q$1005,Investments!$A$6:$A$1005,$B188))</f>
        <v/>
      </c>
      <c r="G188" s="39">
        <f>IF($B188="","",SUMIFS(Investments!$I$6:$I$1005,Investments!$A$6:$A$1005,$B188)+SUMIFS(Investments!$J$6:$J$1005,Investments!$A$6:$A$1005,$B188)+SUMIFS(Investments!$K$6:$K$1005,Investments!$A$6:$A$1005,$B188))</f>
        <v/>
      </c>
      <c r="H188" s="39">
        <f>IF($B188="","",SUMIFS(Investments!$L$6:$L$1005,Investments!$A$6:$A$1005,$B188))</f>
        <v/>
      </c>
      <c r="I188" s="39">
        <f>IF($B188="","",($H188+$G188)-$F188)</f>
        <v/>
      </c>
      <c r="J188" s="31">
        <f>IF(OR($B188="",$F188=0),"",$I188/$F188)</f>
        <v/>
      </c>
      <c r="K188" s="31">
        <f>IF(OR($B188="",$H188=0),"",SUMPRODUCT((Investments!$A$6:$A$1005=$B188)*Investments!$L$6:$L$1005*Investments!$O$6:$O$1005)/$H188)</f>
        <v/>
      </c>
      <c r="L188" s="31">
        <f>IF(OR($B188="",$C$12=0),"",$H188/$C$12)</f>
        <v/>
      </c>
    </row>
    <row r="189">
      <c r="B189" s="22">
        <f>IF(Clients!$B174="","",Clients!$B174)</f>
        <v/>
      </c>
      <c r="C189" s="48">
        <f>IF($B189="","",COUNTIFS(Investments!$A$6:$A$1005,$B189))</f>
        <v/>
      </c>
      <c r="D189" s="49">
        <f>IF($B189="","",SUMIFS(Investments!$F$6:$F$1005,Investments!$A$6:$A$1005,$B189))</f>
        <v/>
      </c>
      <c r="E189" s="49">
        <f>IF($B189="","",SUMIFS(Investments!$G$6:$G$1005,Investments!$A$6:$A$1005,$B189))</f>
        <v/>
      </c>
      <c r="F189" s="49">
        <f>IF($B189="","",SUMIFS(Investments!$Q$6:$Q$1005,Investments!$A$6:$A$1005,$B189))</f>
        <v/>
      </c>
      <c r="G189" s="49">
        <f>IF($B189="","",SUMIFS(Investments!$I$6:$I$1005,Investments!$A$6:$A$1005,$B189)+SUMIFS(Investments!$J$6:$J$1005,Investments!$A$6:$A$1005,$B189)+SUMIFS(Investments!$K$6:$K$1005,Investments!$A$6:$A$1005,$B189))</f>
        <v/>
      </c>
      <c r="H189" s="49">
        <f>IF($B189="","",SUMIFS(Investments!$L$6:$L$1005,Investments!$A$6:$A$1005,$B189))</f>
        <v/>
      </c>
      <c r="I189" s="49">
        <f>IF($B189="","",($H189+$G189)-$F189)</f>
        <v/>
      </c>
      <c r="J189" s="26">
        <f>IF(OR($B189="",$F189=0),"",$I189/$F189)</f>
        <v/>
      </c>
      <c r="K189" s="26">
        <f>IF(OR($B189="",$H189=0),"",SUMPRODUCT((Investments!$A$6:$A$1005=$B189)*Investments!$L$6:$L$1005*Investments!$O$6:$O$1005)/$H189)</f>
        <v/>
      </c>
      <c r="L189" s="26">
        <f>IF(OR($B189="",$C$12=0),"",$H189/$C$12)</f>
        <v/>
      </c>
    </row>
    <row r="190">
      <c r="B190" s="27">
        <f>IF(Clients!$B175="","",Clients!$B175)</f>
        <v/>
      </c>
      <c r="C190" s="50">
        <f>IF($B190="","",COUNTIFS(Investments!$A$6:$A$1005,$B190))</f>
        <v/>
      </c>
      <c r="D190" s="39">
        <f>IF($B190="","",SUMIFS(Investments!$F$6:$F$1005,Investments!$A$6:$A$1005,$B190))</f>
        <v/>
      </c>
      <c r="E190" s="39">
        <f>IF($B190="","",SUMIFS(Investments!$G$6:$G$1005,Investments!$A$6:$A$1005,$B190))</f>
        <v/>
      </c>
      <c r="F190" s="39">
        <f>IF($B190="","",SUMIFS(Investments!$Q$6:$Q$1005,Investments!$A$6:$A$1005,$B190))</f>
        <v/>
      </c>
      <c r="G190" s="39">
        <f>IF($B190="","",SUMIFS(Investments!$I$6:$I$1005,Investments!$A$6:$A$1005,$B190)+SUMIFS(Investments!$J$6:$J$1005,Investments!$A$6:$A$1005,$B190)+SUMIFS(Investments!$K$6:$K$1005,Investments!$A$6:$A$1005,$B190))</f>
        <v/>
      </c>
      <c r="H190" s="39">
        <f>IF($B190="","",SUMIFS(Investments!$L$6:$L$1005,Investments!$A$6:$A$1005,$B190))</f>
        <v/>
      </c>
      <c r="I190" s="39">
        <f>IF($B190="","",($H190+$G190)-$F190)</f>
        <v/>
      </c>
      <c r="J190" s="31">
        <f>IF(OR($B190="",$F190=0),"",$I190/$F190)</f>
        <v/>
      </c>
      <c r="K190" s="31">
        <f>IF(OR($B190="",$H190=0),"",SUMPRODUCT((Investments!$A$6:$A$1005=$B190)*Investments!$L$6:$L$1005*Investments!$O$6:$O$1005)/$H190)</f>
        <v/>
      </c>
      <c r="L190" s="31">
        <f>IF(OR($B190="",$C$12=0),"",$H190/$C$12)</f>
        <v/>
      </c>
    </row>
    <row r="191">
      <c r="B191" s="22">
        <f>IF(Clients!$B176="","",Clients!$B176)</f>
        <v/>
      </c>
      <c r="C191" s="48">
        <f>IF($B191="","",COUNTIFS(Investments!$A$6:$A$1005,$B191))</f>
        <v/>
      </c>
      <c r="D191" s="49">
        <f>IF($B191="","",SUMIFS(Investments!$F$6:$F$1005,Investments!$A$6:$A$1005,$B191))</f>
        <v/>
      </c>
      <c r="E191" s="49">
        <f>IF($B191="","",SUMIFS(Investments!$G$6:$G$1005,Investments!$A$6:$A$1005,$B191))</f>
        <v/>
      </c>
      <c r="F191" s="49">
        <f>IF($B191="","",SUMIFS(Investments!$Q$6:$Q$1005,Investments!$A$6:$A$1005,$B191))</f>
        <v/>
      </c>
      <c r="G191" s="49">
        <f>IF($B191="","",SUMIFS(Investments!$I$6:$I$1005,Investments!$A$6:$A$1005,$B191)+SUMIFS(Investments!$J$6:$J$1005,Investments!$A$6:$A$1005,$B191)+SUMIFS(Investments!$K$6:$K$1005,Investments!$A$6:$A$1005,$B191))</f>
        <v/>
      </c>
      <c r="H191" s="49">
        <f>IF($B191="","",SUMIFS(Investments!$L$6:$L$1005,Investments!$A$6:$A$1005,$B191))</f>
        <v/>
      </c>
      <c r="I191" s="49">
        <f>IF($B191="","",($H191+$G191)-$F191)</f>
        <v/>
      </c>
      <c r="J191" s="26">
        <f>IF(OR($B191="",$F191=0),"",$I191/$F191)</f>
        <v/>
      </c>
      <c r="K191" s="26">
        <f>IF(OR($B191="",$H191=0),"",SUMPRODUCT((Investments!$A$6:$A$1005=$B191)*Investments!$L$6:$L$1005*Investments!$O$6:$O$1005)/$H191)</f>
        <v/>
      </c>
      <c r="L191" s="26">
        <f>IF(OR($B191="",$C$12=0),"",$H191/$C$12)</f>
        <v/>
      </c>
    </row>
    <row r="192">
      <c r="B192" s="27">
        <f>IF(Clients!$B177="","",Clients!$B177)</f>
        <v/>
      </c>
      <c r="C192" s="50">
        <f>IF($B192="","",COUNTIFS(Investments!$A$6:$A$1005,$B192))</f>
        <v/>
      </c>
      <c r="D192" s="39">
        <f>IF($B192="","",SUMIFS(Investments!$F$6:$F$1005,Investments!$A$6:$A$1005,$B192))</f>
        <v/>
      </c>
      <c r="E192" s="39">
        <f>IF($B192="","",SUMIFS(Investments!$G$6:$G$1005,Investments!$A$6:$A$1005,$B192))</f>
        <v/>
      </c>
      <c r="F192" s="39">
        <f>IF($B192="","",SUMIFS(Investments!$Q$6:$Q$1005,Investments!$A$6:$A$1005,$B192))</f>
        <v/>
      </c>
      <c r="G192" s="39">
        <f>IF($B192="","",SUMIFS(Investments!$I$6:$I$1005,Investments!$A$6:$A$1005,$B192)+SUMIFS(Investments!$J$6:$J$1005,Investments!$A$6:$A$1005,$B192)+SUMIFS(Investments!$K$6:$K$1005,Investments!$A$6:$A$1005,$B192))</f>
        <v/>
      </c>
      <c r="H192" s="39">
        <f>IF($B192="","",SUMIFS(Investments!$L$6:$L$1005,Investments!$A$6:$A$1005,$B192))</f>
        <v/>
      </c>
      <c r="I192" s="39">
        <f>IF($B192="","",($H192+$G192)-$F192)</f>
        <v/>
      </c>
      <c r="J192" s="31">
        <f>IF(OR($B192="",$F192=0),"",$I192/$F192)</f>
        <v/>
      </c>
      <c r="K192" s="31">
        <f>IF(OR($B192="",$H192=0),"",SUMPRODUCT((Investments!$A$6:$A$1005=$B192)*Investments!$L$6:$L$1005*Investments!$O$6:$O$1005)/$H192)</f>
        <v/>
      </c>
      <c r="L192" s="31">
        <f>IF(OR($B192="",$C$12=0),"",$H192/$C$12)</f>
        <v/>
      </c>
    </row>
    <row r="193">
      <c r="B193" s="22">
        <f>IF(Clients!$B178="","",Clients!$B178)</f>
        <v/>
      </c>
      <c r="C193" s="48">
        <f>IF($B193="","",COUNTIFS(Investments!$A$6:$A$1005,$B193))</f>
        <v/>
      </c>
      <c r="D193" s="49">
        <f>IF($B193="","",SUMIFS(Investments!$F$6:$F$1005,Investments!$A$6:$A$1005,$B193))</f>
        <v/>
      </c>
      <c r="E193" s="49">
        <f>IF($B193="","",SUMIFS(Investments!$G$6:$G$1005,Investments!$A$6:$A$1005,$B193))</f>
        <v/>
      </c>
      <c r="F193" s="49">
        <f>IF($B193="","",SUMIFS(Investments!$Q$6:$Q$1005,Investments!$A$6:$A$1005,$B193))</f>
        <v/>
      </c>
      <c r="G193" s="49">
        <f>IF($B193="","",SUMIFS(Investments!$I$6:$I$1005,Investments!$A$6:$A$1005,$B193)+SUMIFS(Investments!$J$6:$J$1005,Investments!$A$6:$A$1005,$B193)+SUMIFS(Investments!$K$6:$K$1005,Investments!$A$6:$A$1005,$B193))</f>
        <v/>
      </c>
      <c r="H193" s="49">
        <f>IF($B193="","",SUMIFS(Investments!$L$6:$L$1005,Investments!$A$6:$A$1005,$B193))</f>
        <v/>
      </c>
      <c r="I193" s="49">
        <f>IF($B193="","",($H193+$G193)-$F193)</f>
        <v/>
      </c>
      <c r="J193" s="26">
        <f>IF(OR($B193="",$F193=0),"",$I193/$F193)</f>
        <v/>
      </c>
      <c r="K193" s="26">
        <f>IF(OR($B193="",$H193=0),"",SUMPRODUCT((Investments!$A$6:$A$1005=$B193)*Investments!$L$6:$L$1005*Investments!$O$6:$O$1005)/$H193)</f>
        <v/>
      </c>
      <c r="L193" s="26">
        <f>IF(OR($B193="",$C$12=0),"",$H193/$C$12)</f>
        <v/>
      </c>
    </row>
    <row r="194">
      <c r="B194" s="27">
        <f>IF(Clients!$B179="","",Clients!$B179)</f>
        <v/>
      </c>
      <c r="C194" s="50">
        <f>IF($B194="","",COUNTIFS(Investments!$A$6:$A$1005,$B194))</f>
        <v/>
      </c>
      <c r="D194" s="39">
        <f>IF($B194="","",SUMIFS(Investments!$F$6:$F$1005,Investments!$A$6:$A$1005,$B194))</f>
        <v/>
      </c>
      <c r="E194" s="39">
        <f>IF($B194="","",SUMIFS(Investments!$G$6:$G$1005,Investments!$A$6:$A$1005,$B194))</f>
        <v/>
      </c>
      <c r="F194" s="39">
        <f>IF($B194="","",SUMIFS(Investments!$Q$6:$Q$1005,Investments!$A$6:$A$1005,$B194))</f>
        <v/>
      </c>
      <c r="G194" s="39">
        <f>IF($B194="","",SUMIFS(Investments!$I$6:$I$1005,Investments!$A$6:$A$1005,$B194)+SUMIFS(Investments!$J$6:$J$1005,Investments!$A$6:$A$1005,$B194)+SUMIFS(Investments!$K$6:$K$1005,Investments!$A$6:$A$1005,$B194))</f>
        <v/>
      </c>
      <c r="H194" s="39">
        <f>IF($B194="","",SUMIFS(Investments!$L$6:$L$1005,Investments!$A$6:$A$1005,$B194))</f>
        <v/>
      </c>
      <c r="I194" s="39">
        <f>IF($B194="","",($H194+$G194)-$F194)</f>
        <v/>
      </c>
      <c r="J194" s="31">
        <f>IF(OR($B194="",$F194=0),"",$I194/$F194)</f>
        <v/>
      </c>
      <c r="K194" s="31">
        <f>IF(OR($B194="",$H194=0),"",SUMPRODUCT((Investments!$A$6:$A$1005=$B194)*Investments!$L$6:$L$1005*Investments!$O$6:$O$1005)/$H194)</f>
        <v/>
      </c>
      <c r="L194" s="31">
        <f>IF(OR($B194="",$C$12=0),"",$H194/$C$12)</f>
        <v/>
      </c>
    </row>
    <row r="195">
      <c r="B195" s="22">
        <f>IF(Clients!$B180="","",Clients!$B180)</f>
        <v/>
      </c>
      <c r="C195" s="48">
        <f>IF($B195="","",COUNTIFS(Investments!$A$6:$A$1005,$B195))</f>
        <v/>
      </c>
      <c r="D195" s="49">
        <f>IF($B195="","",SUMIFS(Investments!$F$6:$F$1005,Investments!$A$6:$A$1005,$B195))</f>
        <v/>
      </c>
      <c r="E195" s="49">
        <f>IF($B195="","",SUMIFS(Investments!$G$6:$G$1005,Investments!$A$6:$A$1005,$B195))</f>
        <v/>
      </c>
      <c r="F195" s="49">
        <f>IF($B195="","",SUMIFS(Investments!$Q$6:$Q$1005,Investments!$A$6:$A$1005,$B195))</f>
        <v/>
      </c>
      <c r="G195" s="49">
        <f>IF($B195="","",SUMIFS(Investments!$I$6:$I$1005,Investments!$A$6:$A$1005,$B195)+SUMIFS(Investments!$J$6:$J$1005,Investments!$A$6:$A$1005,$B195)+SUMIFS(Investments!$K$6:$K$1005,Investments!$A$6:$A$1005,$B195))</f>
        <v/>
      </c>
      <c r="H195" s="49">
        <f>IF($B195="","",SUMIFS(Investments!$L$6:$L$1005,Investments!$A$6:$A$1005,$B195))</f>
        <v/>
      </c>
      <c r="I195" s="49">
        <f>IF($B195="","",($H195+$G195)-$F195)</f>
        <v/>
      </c>
      <c r="J195" s="26">
        <f>IF(OR($B195="",$F195=0),"",$I195/$F195)</f>
        <v/>
      </c>
      <c r="K195" s="26">
        <f>IF(OR($B195="",$H195=0),"",SUMPRODUCT((Investments!$A$6:$A$1005=$B195)*Investments!$L$6:$L$1005*Investments!$O$6:$O$1005)/$H195)</f>
        <v/>
      </c>
      <c r="L195" s="26">
        <f>IF(OR($B195="",$C$12=0),"",$H195/$C$12)</f>
        <v/>
      </c>
    </row>
    <row r="196">
      <c r="B196" s="27">
        <f>IF(Clients!$B181="","",Clients!$B181)</f>
        <v/>
      </c>
      <c r="C196" s="50">
        <f>IF($B196="","",COUNTIFS(Investments!$A$6:$A$1005,$B196))</f>
        <v/>
      </c>
      <c r="D196" s="39">
        <f>IF($B196="","",SUMIFS(Investments!$F$6:$F$1005,Investments!$A$6:$A$1005,$B196))</f>
        <v/>
      </c>
      <c r="E196" s="39">
        <f>IF($B196="","",SUMIFS(Investments!$G$6:$G$1005,Investments!$A$6:$A$1005,$B196))</f>
        <v/>
      </c>
      <c r="F196" s="39">
        <f>IF($B196="","",SUMIFS(Investments!$Q$6:$Q$1005,Investments!$A$6:$A$1005,$B196))</f>
        <v/>
      </c>
      <c r="G196" s="39">
        <f>IF($B196="","",SUMIFS(Investments!$I$6:$I$1005,Investments!$A$6:$A$1005,$B196)+SUMIFS(Investments!$J$6:$J$1005,Investments!$A$6:$A$1005,$B196)+SUMIFS(Investments!$K$6:$K$1005,Investments!$A$6:$A$1005,$B196))</f>
        <v/>
      </c>
      <c r="H196" s="39">
        <f>IF($B196="","",SUMIFS(Investments!$L$6:$L$1005,Investments!$A$6:$A$1005,$B196))</f>
        <v/>
      </c>
      <c r="I196" s="39">
        <f>IF($B196="","",($H196+$G196)-$F196)</f>
        <v/>
      </c>
      <c r="J196" s="31">
        <f>IF(OR($B196="",$F196=0),"",$I196/$F196)</f>
        <v/>
      </c>
      <c r="K196" s="31">
        <f>IF(OR($B196="",$H196=0),"",SUMPRODUCT((Investments!$A$6:$A$1005=$B196)*Investments!$L$6:$L$1005*Investments!$O$6:$O$1005)/$H196)</f>
        <v/>
      </c>
      <c r="L196" s="31">
        <f>IF(OR($B196="",$C$12=0),"",$H196/$C$12)</f>
        <v/>
      </c>
    </row>
    <row r="197">
      <c r="B197" s="22">
        <f>IF(Clients!$B182="","",Clients!$B182)</f>
        <v/>
      </c>
      <c r="C197" s="48">
        <f>IF($B197="","",COUNTIFS(Investments!$A$6:$A$1005,$B197))</f>
        <v/>
      </c>
      <c r="D197" s="49">
        <f>IF($B197="","",SUMIFS(Investments!$F$6:$F$1005,Investments!$A$6:$A$1005,$B197))</f>
        <v/>
      </c>
      <c r="E197" s="49">
        <f>IF($B197="","",SUMIFS(Investments!$G$6:$G$1005,Investments!$A$6:$A$1005,$B197))</f>
        <v/>
      </c>
      <c r="F197" s="49">
        <f>IF($B197="","",SUMIFS(Investments!$Q$6:$Q$1005,Investments!$A$6:$A$1005,$B197))</f>
        <v/>
      </c>
      <c r="G197" s="49">
        <f>IF($B197="","",SUMIFS(Investments!$I$6:$I$1005,Investments!$A$6:$A$1005,$B197)+SUMIFS(Investments!$J$6:$J$1005,Investments!$A$6:$A$1005,$B197)+SUMIFS(Investments!$K$6:$K$1005,Investments!$A$6:$A$1005,$B197))</f>
        <v/>
      </c>
      <c r="H197" s="49">
        <f>IF($B197="","",SUMIFS(Investments!$L$6:$L$1005,Investments!$A$6:$A$1005,$B197))</f>
        <v/>
      </c>
      <c r="I197" s="49">
        <f>IF($B197="","",($H197+$G197)-$F197)</f>
        <v/>
      </c>
      <c r="J197" s="26">
        <f>IF(OR($B197="",$F197=0),"",$I197/$F197)</f>
        <v/>
      </c>
      <c r="K197" s="26">
        <f>IF(OR($B197="",$H197=0),"",SUMPRODUCT((Investments!$A$6:$A$1005=$B197)*Investments!$L$6:$L$1005*Investments!$O$6:$O$1005)/$H197)</f>
        <v/>
      </c>
      <c r="L197" s="26">
        <f>IF(OR($B197="",$C$12=0),"",$H197/$C$12)</f>
        <v/>
      </c>
    </row>
    <row r="198">
      <c r="B198" s="27">
        <f>IF(Clients!$B183="","",Clients!$B183)</f>
        <v/>
      </c>
      <c r="C198" s="50">
        <f>IF($B198="","",COUNTIFS(Investments!$A$6:$A$1005,$B198))</f>
        <v/>
      </c>
      <c r="D198" s="39">
        <f>IF($B198="","",SUMIFS(Investments!$F$6:$F$1005,Investments!$A$6:$A$1005,$B198))</f>
        <v/>
      </c>
      <c r="E198" s="39">
        <f>IF($B198="","",SUMIFS(Investments!$G$6:$G$1005,Investments!$A$6:$A$1005,$B198))</f>
        <v/>
      </c>
      <c r="F198" s="39">
        <f>IF($B198="","",SUMIFS(Investments!$Q$6:$Q$1005,Investments!$A$6:$A$1005,$B198))</f>
        <v/>
      </c>
      <c r="G198" s="39">
        <f>IF($B198="","",SUMIFS(Investments!$I$6:$I$1005,Investments!$A$6:$A$1005,$B198)+SUMIFS(Investments!$J$6:$J$1005,Investments!$A$6:$A$1005,$B198)+SUMIFS(Investments!$K$6:$K$1005,Investments!$A$6:$A$1005,$B198))</f>
        <v/>
      </c>
      <c r="H198" s="39">
        <f>IF($B198="","",SUMIFS(Investments!$L$6:$L$1005,Investments!$A$6:$A$1005,$B198))</f>
        <v/>
      </c>
      <c r="I198" s="39">
        <f>IF($B198="","",($H198+$G198)-$F198)</f>
        <v/>
      </c>
      <c r="J198" s="31">
        <f>IF(OR($B198="",$F198=0),"",$I198/$F198)</f>
        <v/>
      </c>
      <c r="K198" s="31">
        <f>IF(OR($B198="",$H198=0),"",SUMPRODUCT((Investments!$A$6:$A$1005=$B198)*Investments!$L$6:$L$1005*Investments!$O$6:$O$1005)/$H198)</f>
        <v/>
      </c>
      <c r="L198" s="31">
        <f>IF(OR($B198="",$C$12=0),"",$H198/$C$12)</f>
        <v/>
      </c>
    </row>
    <row r="199">
      <c r="B199" s="22">
        <f>IF(Clients!$B184="","",Clients!$B184)</f>
        <v/>
      </c>
      <c r="C199" s="48">
        <f>IF($B199="","",COUNTIFS(Investments!$A$6:$A$1005,$B199))</f>
        <v/>
      </c>
      <c r="D199" s="49">
        <f>IF($B199="","",SUMIFS(Investments!$F$6:$F$1005,Investments!$A$6:$A$1005,$B199))</f>
        <v/>
      </c>
      <c r="E199" s="49">
        <f>IF($B199="","",SUMIFS(Investments!$G$6:$G$1005,Investments!$A$6:$A$1005,$B199))</f>
        <v/>
      </c>
      <c r="F199" s="49">
        <f>IF($B199="","",SUMIFS(Investments!$Q$6:$Q$1005,Investments!$A$6:$A$1005,$B199))</f>
        <v/>
      </c>
      <c r="G199" s="49">
        <f>IF($B199="","",SUMIFS(Investments!$I$6:$I$1005,Investments!$A$6:$A$1005,$B199)+SUMIFS(Investments!$J$6:$J$1005,Investments!$A$6:$A$1005,$B199)+SUMIFS(Investments!$K$6:$K$1005,Investments!$A$6:$A$1005,$B199))</f>
        <v/>
      </c>
      <c r="H199" s="49">
        <f>IF($B199="","",SUMIFS(Investments!$L$6:$L$1005,Investments!$A$6:$A$1005,$B199))</f>
        <v/>
      </c>
      <c r="I199" s="49">
        <f>IF($B199="","",($H199+$G199)-$F199)</f>
        <v/>
      </c>
      <c r="J199" s="26">
        <f>IF(OR($B199="",$F199=0),"",$I199/$F199)</f>
        <v/>
      </c>
      <c r="K199" s="26">
        <f>IF(OR($B199="",$H199=0),"",SUMPRODUCT((Investments!$A$6:$A$1005=$B199)*Investments!$L$6:$L$1005*Investments!$O$6:$O$1005)/$H199)</f>
        <v/>
      </c>
      <c r="L199" s="26">
        <f>IF(OR($B199="",$C$12=0),"",$H199/$C$12)</f>
        <v/>
      </c>
    </row>
    <row r="200">
      <c r="B200" s="27">
        <f>IF(Clients!$B185="","",Clients!$B185)</f>
        <v/>
      </c>
      <c r="C200" s="50">
        <f>IF($B200="","",COUNTIFS(Investments!$A$6:$A$1005,$B200))</f>
        <v/>
      </c>
      <c r="D200" s="39">
        <f>IF($B200="","",SUMIFS(Investments!$F$6:$F$1005,Investments!$A$6:$A$1005,$B200))</f>
        <v/>
      </c>
      <c r="E200" s="39">
        <f>IF($B200="","",SUMIFS(Investments!$G$6:$G$1005,Investments!$A$6:$A$1005,$B200))</f>
        <v/>
      </c>
      <c r="F200" s="39">
        <f>IF($B200="","",SUMIFS(Investments!$Q$6:$Q$1005,Investments!$A$6:$A$1005,$B200))</f>
        <v/>
      </c>
      <c r="G200" s="39">
        <f>IF($B200="","",SUMIFS(Investments!$I$6:$I$1005,Investments!$A$6:$A$1005,$B200)+SUMIFS(Investments!$J$6:$J$1005,Investments!$A$6:$A$1005,$B200)+SUMIFS(Investments!$K$6:$K$1005,Investments!$A$6:$A$1005,$B200))</f>
        <v/>
      </c>
      <c r="H200" s="39">
        <f>IF($B200="","",SUMIFS(Investments!$L$6:$L$1005,Investments!$A$6:$A$1005,$B200))</f>
        <v/>
      </c>
      <c r="I200" s="39">
        <f>IF($B200="","",($H200+$G200)-$F200)</f>
        <v/>
      </c>
      <c r="J200" s="31">
        <f>IF(OR($B200="",$F200=0),"",$I200/$F200)</f>
        <v/>
      </c>
      <c r="K200" s="31">
        <f>IF(OR($B200="",$H200=0),"",SUMPRODUCT((Investments!$A$6:$A$1005=$B200)*Investments!$L$6:$L$1005*Investments!$O$6:$O$1005)/$H200)</f>
        <v/>
      </c>
      <c r="L200" s="31">
        <f>IF(OR($B200="",$C$12=0),"",$H200/$C$12)</f>
        <v/>
      </c>
    </row>
    <row r="201">
      <c r="B201" s="22">
        <f>IF(Clients!$B186="","",Clients!$B186)</f>
        <v/>
      </c>
      <c r="C201" s="48">
        <f>IF($B201="","",COUNTIFS(Investments!$A$6:$A$1005,$B201))</f>
        <v/>
      </c>
      <c r="D201" s="49">
        <f>IF($B201="","",SUMIFS(Investments!$F$6:$F$1005,Investments!$A$6:$A$1005,$B201))</f>
        <v/>
      </c>
      <c r="E201" s="49">
        <f>IF($B201="","",SUMIFS(Investments!$G$6:$G$1005,Investments!$A$6:$A$1005,$B201))</f>
        <v/>
      </c>
      <c r="F201" s="49">
        <f>IF($B201="","",SUMIFS(Investments!$Q$6:$Q$1005,Investments!$A$6:$A$1005,$B201))</f>
        <v/>
      </c>
      <c r="G201" s="49">
        <f>IF($B201="","",SUMIFS(Investments!$I$6:$I$1005,Investments!$A$6:$A$1005,$B201)+SUMIFS(Investments!$J$6:$J$1005,Investments!$A$6:$A$1005,$B201)+SUMIFS(Investments!$K$6:$K$1005,Investments!$A$6:$A$1005,$B201))</f>
        <v/>
      </c>
      <c r="H201" s="49">
        <f>IF($B201="","",SUMIFS(Investments!$L$6:$L$1005,Investments!$A$6:$A$1005,$B201))</f>
        <v/>
      </c>
      <c r="I201" s="49">
        <f>IF($B201="","",($H201+$G201)-$F201)</f>
        <v/>
      </c>
      <c r="J201" s="26">
        <f>IF(OR($B201="",$F201=0),"",$I201/$F201)</f>
        <v/>
      </c>
      <c r="K201" s="26">
        <f>IF(OR($B201="",$H201=0),"",SUMPRODUCT((Investments!$A$6:$A$1005=$B201)*Investments!$L$6:$L$1005*Investments!$O$6:$O$1005)/$H201)</f>
        <v/>
      </c>
      <c r="L201" s="26">
        <f>IF(OR($B201="",$C$12=0),"",$H201/$C$12)</f>
        <v/>
      </c>
    </row>
    <row r="202">
      <c r="B202" s="27">
        <f>IF(Clients!$B187="","",Clients!$B187)</f>
        <v/>
      </c>
      <c r="C202" s="50">
        <f>IF($B202="","",COUNTIFS(Investments!$A$6:$A$1005,$B202))</f>
        <v/>
      </c>
      <c r="D202" s="39">
        <f>IF($B202="","",SUMIFS(Investments!$F$6:$F$1005,Investments!$A$6:$A$1005,$B202))</f>
        <v/>
      </c>
      <c r="E202" s="39">
        <f>IF($B202="","",SUMIFS(Investments!$G$6:$G$1005,Investments!$A$6:$A$1005,$B202))</f>
        <v/>
      </c>
      <c r="F202" s="39">
        <f>IF($B202="","",SUMIFS(Investments!$Q$6:$Q$1005,Investments!$A$6:$A$1005,$B202))</f>
        <v/>
      </c>
      <c r="G202" s="39">
        <f>IF($B202="","",SUMIFS(Investments!$I$6:$I$1005,Investments!$A$6:$A$1005,$B202)+SUMIFS(Investments!$J$6:$J$1005,Investments!$A$6:$A$1005,$B202)+SUMIFS(Investments!$K$6:$K$1005,Investments!$A$6:$A$1005,$B202))</f>
        <v/>
      </c>
      <c r="H202" s="39">
        <f>IF($B202="","",SUMIFS(Investments!$L$6:$L$1005,Investments!$A$6:$A$1005,$B202))</f>
        <v/>
      </c>
      <c r="I202" s="39">
        <f>IF($B202="","",($H202+$G202)-$F202)</f>
        <v/>
      </c>
      <c r="J202" s="31">
        <f>IF(OR($B202="",$F202=0),"",$I202/$F202)</f>
        <v/>
      </c>
      <c r="K202" s="31">
        <f>IF(OR($B202="",$H202=0),"",SUMPRODUCT((Investments!$A$6:$A$1005=$B202)*Investments!$L$6:$L$1005*Investments!$O$6:$O$1005)/$H202)</f>
        <v/>
      </c>
      <c r="L202" s="31">
        <f>IF(OR($B202="",$C$12=0),"",$H202/$C$12)</f>
        <v/>
      </c>
    </row>
    <row r="203">
      <c r="B203" s="22">
        <f>IF(Clients!$B188="","",Clients!$B188)</f>
        <v/>
      </c>
      <c r="C203" s="48">
        <f>IF($B203="","",COUNTIFS(Investments!$A$6:$A$1005,$B203))</f>
        <v/>
      </c>
      <c r="D203" s="49">
        <f>IF($B203="","",SUMIFS(Investments!$F$6:$F$1005,Investments!$A$6:$A$1005,$B203))</f>
        <v/>
      </c>
      <c r="E203" s="49">
        <f>IF($B203="","",SUMIFS(Investments!$G$6:$G$1005,Investments!$A$6:$A$1005,$B203))</f>
        <v/>
      </c>
      <c r="F203" s="49">
        <f>IF($B203="","",SUMIFS(Investments!$Q$6:$Q$1005,Investments!$A$6:$A$1005,$B203))</f>
        <v/>
      </c>
      <c r="G203" s="49">
        <f>IF($B203="","",SUMIFS(Investments!$I$6:$I$1005,Investments!$A$6:$A$1005,$B203)+SUMIFS(Investments!$J$6:$J$1005,Investments!$A$6:$A$1005,$B203)+SUMIFS(Investments!$K$6:$K$1005,Investments!$A$6:$A$1005,$B203))</f>
        <v/>
      </c>
      <c r="H203" s="49">
        <f>IF($B203="","",SUMIFS(Investments!$L$6:$L$1005,Investments!$A$6:$A$1005,$B203))</f>
        <v/>
      </c>
      <c r="I203" s="49">
        <f>IF($B203="","",($H203+$G203)-$F203)</f>
        <v/>
      </c>
      <c r="J203" s="26">
        <f>IF(OR($B203="",$F203=0),"",$I203/$F203)</f>
        <v/>
      </c>
      <c r="K203" s="26">
        <f>IF(OR($B203="",$H203=0),"",SUMPRODUCT((Investments!$A$6:$A$1005=$B203)*Investments!$L$6:$L$1005*Investments!$O$6:$O$1005)/$H203)</f>
        <v/>
      </c>
      <c r="L203" s="26">
        <f>IF(OR($B203="",$C$12=0),"",$H203/$C$12)</f>
        <v/>
      </c>
    </row>
    <row r="204">
      <c r="B204" s="27">
        <f>IF(Clients!$B189="","",Clients!$B189)</f>
        <v/>
      </c>
      <c r="C204" s="50">
        <f>IF($B204="","",COUNTIFS(Investments!$A$6:$A$1005,$B204))</f>
        <v/>
      </c>
      <c r="D204" s="39">
        <f>IF($B204="","",SUMIFS(Investments!$F$6:$F$1005,Investments!$A$6:$A$1005,$B204))</f>
        <v/>
      </c>
      <c r="E204" s="39">
        <f>IF($B204="","",SUMIFS(Investments!$G$6:$G$1005,Investments!$A$6:$A$1005,$B204))</f>
        <v/>
      </c>
      <c r="F204" s="39">
        <f>IF($B204="","",SUMIFS(Investments!$Q$6:$Q$1005,Investments!$A$6:$A$1005,$B204))</f>
        <v/>
      </c>
      <c r="G204" s="39">
        <f>IF($B204="","",SUMIFS(Investments!$I$6:$I$1005,Investments!$A$6:$A$1005,$B204)+SUMIFS(Investments!$J$6:$J$1005,Investments!$A$6:$A$1005,$B204)+SUMIFS(Investments!$K$6:$K$1005,Investments!$A$6:$A$1005,$B204))</f>
        <v/>
      </c>
      <c r="H204" s="39">
        <f>IF($B204="","",SUMIFS(Investments!$L$6:$L$1005,Investments!$A$6:$A$1005,$B204))</f>
        <v/>
      </c>
      <c r="I204" s="39">
        <f>IF($B204="","",($H204+$G204)-$F204)</f>
        <v/>
      </c>
      <c r="J204" s="31">
        <f>IF(OR($B204="",$F204=0),"",$I204/$F204)</f>
        <v/>
      </c>
      <c r="K204" s="31">
        <f>IF(OR($B204="",$H204=0),"",SUMPRODUCT((Investments!$A$6:$A$1005=$B204)*Investments!$L$6:$L$1005*Investments!$O$6:$O$1005)/$H204)</f>
        <v/>
      </c>
      <c r="L204" s="31">
        <f>IF(OR($B204="",$C$12=0),"",$H204/$C$12)</f>
        <v/>
      </c>
    </row>
    <row r="205">
      <c r="B205" s="22">
        <f>IF(Clients!$B190="","",Clients!$B190)</f>
        <v/>
      </c>
      <c r="C205" s="48">
        <f>IF($B205="","",COUNTIFS(Investments!$A$6:$A$1005,$B205))</f>
        <v/>
      </c>
      <c r="D205" s="49">
        <f>IF($B205="","",SUMIFS(Investments!$F$6:$F$1005,Investments!$A$6:$A$1005,$B205))</f>
        <v/>
      </c>
      <c r="E205" s="49">
        <f>IF($B205="","",SUMIFS(Investments!$G$6:$G$1005,Investments!$A$6:$A$1005,$B205))</f>
        <v/>
      </c>
      <c r="F205" s="49">
        <f>IF($B205="","",SUMIFS(Investments!$Q$6:$Q$1005,Investments!$A$6:$A$1005,$B205))</f>
        <v/>
      </c>
      <c r="G205" s="49">
        <f>IF($B205="","",SUMIFS(Investments!$I$6:$I$1005,Investments!$A$6:$A$1005,$B205)+SUMIFS(Investments!$J$6:$J$1005,Investments!$A$6:$A$1005,$B205)+SUMIFS(Investments!$K$6:$K$1005,Investments!$A$6:$A$1005,$B205))</f>
        <v/>
      </c>
      <c r="H205" s="49">
        <f>IF($B205="","",SUMIFS(Investments!$L$6:$L$1005,Investments!$A$6:$A$1005,$B205))</f>
        <v/>
      </c>
      <c r="I205" s="49">
        <f>IF($B205="","",($H205+$G205)-$F205)</f>
        <v/>
      </c>
      <c r="J205" s="26">
        <f>IF(OR($B205="",$F205=0),"",$I205/$F205)</f>
        <v/>
      </c>
      <c r="K205" s="26">
        <f>IF(OR($B205="",$H205=0),"",SUMPRODUCT((Investments!$A$6:$A$1005=$B205)*Investments!$L$6:$L$1005*Investments!$O$6:$O$1005)/$H205)</f>
        <v/>
      </c>
      <c r="L205" s="26">
        <f>IF(OR($B205="",$C$12=0),"",$H205/$C$12)</f>
        <v/>
      </c>
    </row>
    <row r="206">
      <c r="B206" s="27">
        <f>IF(Clients!$B191="","",Clients!$B191)</f>
        <v/>
      </c>
      <c r="C206" s="50">
        <f>IF($B206="","",COUNTIFS(Investments!$A$6:$A$1005,$B206))</f>
        <v/>
      </c>
      <c r="D206" s="39">
        <f>IF($B206="","",SUMIFS(Investments!$F$6:$F$1005,Investments!$A$6:$A$1005,$B206))</f>
        <v/>
      </c>
      <c r="E206" s="39">
        <f>IF($B206="","",SUMIFS(Investments!$G$6:$G$1005,Investments!$A$6:$A$1005,$B206))</f>
        <v/>
      </c>
      <c r="F206" s="39">
        <f>IF($B206="","",SUMIFS(Investments!$Q$6:$Q$1005,Investments!$A$6:$A$1005,$B206))</f>
        <v/>
      </c>
      <c r="G206" s="39">
        <f>IF($B206="","",SUMIFS(Investments!$I$6:$I$1005,Investments!$A$6:$A$1005,$B206)+SUMIFS(Investments!$J$6:$J$1005,Investments!$A$6:$A$1005,$B206)+SUMIFS(Investments!$K$6:$K$1005,Investments!$A$6:$A$1005,$B206))</f>
        <v/>
      </c>
      <c r="H206" s="39">
        <f>IF($B206="","",SUMIFS(Investments!$L$6:$L$1005,Investments!$A$6:$A$1005,$B206))</f>
        <v/>
      </c>
      <c r="I206" s="39">
        <f>IF($B206="","",($H206+$G206)-$F206)</f>
        <v/>
      </c>
      <c r="J206" s="31">
        <f>IF(OR($B206="",$F206=0),"",$I206/$F206)</f>
        <v/>
      </c>
      <c r="K206" s="31">
        <f>IF(OR($B206="",$H206=0),"",SUMPRODUCT((Investments!$A$6:$A$1005=$B206)*Investments!$L$6:$L$1005*Investments!$O$6:$O$1005)/$H206)</f>
        <v/>
      </c>
      <c r="L206" s="31">
        <f>IF(OR($B206="",$C$12=0),"",$H206/$C$12)</f>
        <v/>
      </c>
    </row>
    <row r="207">
      <c r="B207" s="22">
        <f>IF(Clients!$B192="","",Clients!$B192)</f>
        <v/>
      </c>
      <c r="C207" s="48">
        <f>IF($B207="","",COUNTIFS(Investments!$A$6:$A$1005,$B207))</f>
        <v/>
      </c>
      <c r="D207" s="49">
        <f>IF($B207="","",SUMIFS(Investments!$F$6:$F$1005,Investments!$A$6:$A$1005,$B207))</f>
        <v/>
      </c>
      <c r="E207" s="49">
        <f>IF($B207="","",SUMIFS(Investments!$G$6:$G$1005,Investments!$A$6:$A$1005,$B207))</f>
        <v/>
      </c>
      <c r="F207" s="49">
        <f>IF($B207="","",SUMIFS(Investments!$Q$6:$Q$1005,Investments!$A$6:$A$1005,$B207))</f>
        <v/>
      </c>
      <c r="G207" s="49">
        <f>IF($B207="","",SUMIFS(Investments!$I$6:$I$1005,Investments!$A$6:$A$1005,$B207)+SUMIFS(Investments!$J$6:$J$1005,Investments!$A$6:$A$1005,$B207)+SUMIFS(Investments!$K$6:$K$1005,Investments!$A$6:$A$1005,$B207))</f>
        <v/>
      </c>
      <c r="H207" s="49">
        <f>IF($B207="","",SUMIFS(Investments!$L$6:$L$1005,Investments!$A$6:$A$1005,$B207))</f>
        <v/>
      </c>
      <c r="I207" s="49">
        <f>IF($B207="","",($H207+$G207)-$F207)</f>
        <v/>
      </c>
      <c r="J207" s="26">
        <f>IF(OR($B207="",$F207=0),"",$I207/$F207)</f>
        <v/>
      </c>
      <c r="K207" s="26">
        <f>IF(OR($B207="",$H207=0),"",SUMPRODUCT((Investments!$A$6:$A$1005=$B207)*Investments!$L$6:$L$1005*Investments!$O$6:$O$1005)/$H207)</f>
        <v/>
      </c>
      <c r="L207" s="26">
        <f>IF(OR($B207="",$C$12=0),"",$H207/$C$12)</f>
        <v/>
      </c>
    </row>
    <row r="208">
      <c r="B208" s="27">
        <f>IF(Clients!$B193="","",Clients!$B193)</f>
        <v/>
      </c>
      <c r="C208" s="50">
        <f>IF($B208="","",COUNTIFS(Investments!$A$6:$A$1005,$B208))</f>
        <v/>
      </c>
      <c r="D208" s="39">
        <f>IF($B208="","",SUMIFS(Investments!$F$6:$F$1005,Investments!$A$6:$A$1005,$B208))</f>
        <v/>
      </c>
      <c r="E208" s="39">
        <f>IF($B208="","",SUMIFS(Investments!$G$6:$G$1005,Investments!$A$6:$A$1005,$B208))</f>
        <v/>
      </c>
      <c r="F208" s="39">
        <f>IF($B208="","",SUMIFS(Investments!$Q$6:$Q$1005,Investments!$A$6:$A$1005,$B208))</f>
        <v/>
      </c>
      <c r="G208" s="39">
        <f>IF($B208="","",SUMIFS(Investments!$I$6:$I$1005,Investments!$A$6:$A$1005,$B208)+SUMIFS(Investments!$J$6:$J$1005,Investments!$A$6:$A$1005,$B208)+SUMIFS(Investments!$K$6:$K$1005,Investments!$A$6:$A$1005,$B208))</f>
        <v/>
      </c>
      <c r="H208" s="39">
        <f>IF($B208="","",SUMIFS(Investments!$L$6:$L$1005,Investments!$A$6:$A$1005,$B208))</f>
        <v/>
      </c>
      <c r="I208" s="39">
        <f>IF($B208="","",($H208+$G208)-$F208)</f>
        <v/>
      </c>
      <c r="J208" s="31">
        <f>IF(OR($B208="",$F208=0),"",$I208/$F208)</f>
        <v/>
      </c>
      <c r="K208" s="31">
        <f>IF(OR($B208="",$H208=0),"",SUMPRODUCT((Investments!$A$6:$A$1005=$B208)*Investments!$L$6:$L$1005*Investments!$O$6:$O$1005)/$H208)</f>
        <v/>
      </c>
      <c r="L208" s="31">
        <f>IF(OR($B208="",$C$12=0),"",$H208/$C$12)</f>
        <v/>
      </c>
    </row>
    <row r="209">
      <c r="B209" s="22">
        <f>IF(Clients!$B194="","",Clients!$B194)</f>
        <v/>
      </c>
      <c r="C209" s="48">
        <f>IF($B209="","",COUNTIFS(Investments!$A$6:$A$1005,$B209))</f>
        <v/>
      </c>
      <c r="D209" s="49">
        <f>IF($B209="","",SUMIFS(Investments!$F$6:$F$1005,Investments!$A$6:$A$1005,$B209))</f>
        <v/>
      </c>
      <c r="E209" s="49">
        <f>IF($B209="","",SUMIFS(Investments!$G$6:$G$1005,Investments!$A$6:$A$1005,$B209))</f>
        <v/>
      </c>
      <c r="F209" s="49">
        <f>IF($B209="","",SUMIFS(Investments!$Q$6:$Q$1005,Investments!$A$6:$A$1005,$B209))</f>
        <v/>
      </c>
      <c r="G209" s="49">
        <f>IF($B209="","",SUMIFS(Investments!$I$6:$I$1005,Investments!$A$6:$A$1005,$B209)+SUMIFS(Investments!$J$6:$J$1005,Investments!$A$6:$A$1005,$B209)+SUMIFS(Investments!$K$6:$K$1005,Investments!$A$6:$A$1005,$B209))</f>
        <v/>
      </c>
      <c r="H209" s="49">
        <f>IF($B209="","",SUMIFS(Investments!$L$6:$L$1005,Investments!$A$6:$A$1005,$B209))</f>
        <v/>
      </c>
      <c r="I209" s="49">
        <f>IF($B209="","",($H209+$G209)-$F209)</f>
        <v/>
      </c>
      <c r="J209" s="26">
        <f>IF(OR($B209="",$F209=0),"",$I209/$F209)</f>
        <v/>
      </c>
      <c r="K209" s="26">
        <f>IF(OR($B209="",$H209=0),"",SUMPRODUCT((Investments!$A$6:$A$1005=$B209)*Investments!$L$6:$L$1005*Investments!$O$6:$O$1005)/$H209)</f>
        <v/>
      </c>
      <c r="L209" s="26">
        <f>IF(OR($B209="",$C$12=0),"",$H209/$C$12)</f>
        <v/>
      </c>
    </row>
    <row r="210">
      <c r="B210" s="27">
        <f>IF(Clients!$B195="","",Clients!$B195)</f>
        <v/>
      </c>
      <c r="C210" s="50">
        <f>IF($B210="","",COUNTIFS(Investments!$A$6:$A$1005,$B210))</f>
        <v/>
      </c>
      <c r="D210" s="39">
        <f>IF($B210="","",SUMIFS(Investments!$F$6:$F$1005,Investments!$A$6:$A$1005,$B210))</f>
        <v/>
      </c>
      <c r="E210" s="39">
        <f>IF($B210="","",SUMIFS(Investments!$G$6:$G$1005,Investments!$A$6:$A$1005,$B210))</f>
        <v/>
      </c>
      <c r="F210" s="39">
        <f>IF($B210="","",SUMIFS(Investments!$Q$6:$Q$1005,Investments!$A$6:$A$1005,$B210))</f>
        <v/>
      </c>
      <c r="G210" s="39">
        <f>IF($B210="","",SUMIFS(Investments!$I$6:$I$1005,Investments!$A$6:$A$1005,$B210)+SUMIFS(Investments!$J$6:$J$1005,Investments!$A$6:$A$1005,$B210)+SUMIFS(Investments!$K$6:$K$1005,Investments!$A$6:$A$1005,$B210))</f>
        <v/>
      </c>
      <c r="H210" s="39">
        <f>IF($B210="","",SUMIFS(Investments!$L$6:$L$1005,Investments!$A$6:$A$1005,$B210))</f>
        <v/>
      </c>
      <c r="I210" s="39">
        <f>IF($B210="","",($H210+$G210)-$F210)</f>
        <v/>
      </c>
      <c r="J210" s="31">
        <f>IF(OR($B210="",$F210=0),"",$I210/$F210)</f>
        <v/>
      </c>
      <c r="K210" s="31">
        <f>IF(OR($B210="",$H210=0),"",SUMPRODUCT((Investments!$A$6:$A$1005=$B210)*Investments!$L$6:$L$1005*Investments!$O$6:$O$1005)/$H210)</f>
        <v/>
      </c>
      <c r="L210" s="31">
        <f>IF(OR($B210="",$C$12=0),"",$H210/$C$12)</f>
        <v/>
      </c>
    </row>
    <row r="211">
      <c r="B211" s="22">
        <f>IF(Clients!$B196="","",Clients!$B196)</f>
        <v/>
      </c>
      <c r="C211" s="48">
        <f>IF($B211="","",COUNTIFS(Investments!$A$6:$A$1005,$B211))</f>
        <v/>
      </c>
      <c r="D211" s="49">
        <f>IF($B211="","",SUMIFS(Investments!$F$6:$F$1005,Investments!$A$6:$A$1005,$B211))</f>
        <v/>
      </c>
      <c r="E211" s="49">
        <f>IF($B211="","",SUMIFS(Investments!$G$6:$G$1005,Investments!$A$6:$A$1005,$B211))</f>
        <v/>
      </c>
      <c r="F211" s="49">
        <f>IF($B211="","",SUMIFS(Investments!$Q$6:$Q$1005,Investments!$A$6:$A$1005,$B211))</f>
        <v/>
      </c>
      <c r="G211" s="49">
        <f>IF($B211="","",SUMIFS(Investments!$I$6:$I$1005,Investments!$A$6:$A$1005,$B211)+SUMIFS(Investments!$J$6:$J$1005,Investments!$A$6:$A$1005,$B211)+SUMIFS(Investments!$K$6:$K$1005,Investments!$A$6:$A$1005,$B211))</f>
        <v/>
      </c>
      <c r="H211" s="49">
        <f>IF($B211="","",SUMIFS(Investments!$L$6:$L$1005,Investments!$A$6:$A$1005,$B211))</f>
        <v/>
      </c>
      <c r="I211" s="49">
        <f>IF($B211="","",($H211+$G211)-$F211)</f>
        <v/>
      </c>
      <c r="J211" s="26">
        <f>IF(OR($B211="",$F211=0),"",$I211/$F211)</f>
        <v/>
      </c>
      <c r="K211" s="26">
        <f>IF(OR($B211="",$H211=0),"",SUMPRODUCT((Investments!$A$6:$A$1005=$B211)*Investments!$L$6:$L$1005*Investments!$O$6:$O$1005)/$H211)</f>
        <v/>
      </c>
      <c r="L211" s="26">
        <f>IF(OR($B211="",$C$12=0),"",$H211/$C$12)</f>
        <v/>
      </c>
    </row>
    <row r="212">
      <c r="B212" s="27">
        <f>IF(Clients!$B197="","",Clients!$B197)</f>
        <v/>
      </c>
      <c r="C212" s="50">
        <f>IF($B212="","",COUNTIFS(Investments!$A$6:$A$1005,$B212))</f>
        <v/>
      </c>
      <c r="D212" s="39">
        <f>IF($B212="","",SUMIFS(Investments!$F$6:$F$1005,Investments!$A$6:$A$1005,$B212))</f>
        <v/>
      </c>
      <c r="E212" s="39">
        <f>IF($B212="","",SUMIFS(Investments!$G$6:$G$1005,Investments!$A$6:$A$1005,$B212))</f>
        <v/>
      </c>
      <c r="F212" s="39">
        <f>IF($B212="","",SUMIFS(Investments!$Q$6:$Q$1005,Investments!$A$6:$A$1005,$B212))</f>
        <v/>
      </c>
      <c r="G212" s="39">
        <f>IF($B212="","",SUMIFS(Investments!$I$6:$I$1005,Investments!$A$6:$A$1005,$B212)+SUMIFS(Investments!$J$6:$J$1005,Investments!$A$6:$A$1005,$B212)+SUMIFS(Investments!$K$6:$K$1005,Investments!$A$6:$A$1005,$B212))</f>
        <v/>
      </c>
      <c r="H212" s="39">
        <f>IF($B212="","",SUMIFS(Investments!$L$6:$L$1005,Investments!$A$6:$A$1005,$B212))</f>
        <v/>
      </c>
      <c r="I212" s="39">
        <f>IF($B212="","",($H212+$G212)-$F212)</f>
        <v/>
      </c>
      <c r="J212" s="31">
        <f>IF(OR($B212="",$F212=0),"",$I212/$F212)</f>
        <v/>
      </c>
      <c r="K212" s="31">
        <f>IF(OR($B212="",$H212=0),"",SUMPRODUCT((Investments!$A$6:$A$1005=$B212)*Investments!$L$6:$L$1005*Investments!$O$6:$O$1005)/$H212)</f>
        <v/>
      </c>
      <c r="L212" s="31">
        <f>IF(OR($B212="",$C$12=0),"",$H212/$C$12)</f>
        <v/>
      </c>
    </row>
    <row r="213">
      <c r="B213" s="22">
        <f>IF(Clients!$B198="","",Clients!$B198)</f>
        <v/>
      </c>
      <c r="C213" s="48">
        <f>IF($B213="","",COUNTIFS(Investments!$A$6:$A$1005,$B213))</f>
        <v/>
      </c>
      <c r="D213" s="49">
        <f>IF($B213="","",SUMIFS(Investments!$F$6:$F$1005,Investments!$A$6:$A$1005,$B213))</f>
        <v/>
      </c>
      <c r="E213" s="49">
        <f>IF($B213="","",SUMIFS(Investments!$G$6:$G$1005,Investments!$A$6:$A$1005,$B213))</f>
        <v/>
      </c>
      <c r="F213" s="49">
        <f>IF($B213="","",SUMIFS(Investments!$Q$6:$Q$1005,Investments!$A$6:$A$1005,$B213))</f>
        <v/>
      </c>
      <c r="G213" s="49">
        <f>IF($B213="","",SUMIFS(Investments!$I$6:$I$1005,Investments!$A$6:$A$1005,$B213)+SUMIFS(Investments!$J$6:$J$1005,Investments!$A$6:$A$1005,$B213)+SUMIFS(Investments!$K$6:$K$1005,Investments!$A$6:$A$1005,$B213))</f>
        <v/>
      </c>
      <c r="H213" s="49">
        <f>IF($B213="","",SUMIFS(Investments!$L$6:$L$1005,Investments!$A$6:$A$1005,$B213))</f>
        <v/>
      </c>
      <c r="I213" s="49">
        <f>IF($B213="","",($H213+$G213)-$F213)</f>
        <v/>
      </c>
      <c r="J213" s="26">
        <f>IF(OR($B213="",$F213=0),"",$I213/$F213)</f>
        <v/>
      </c>
      <c r="K213" s="26">
        <f>IF(OR($B213="",$H213=0),"",SUMPRODUCT((Investments!$A$6:$A$1005=$B213)*Investments!$L$6:$L$1005*Investments!$O$6:$O$1005)/$H213)</f>
        <v/>
      </c>
      <c r="L213" s="26">
        <f>IF(OR($B213="",$C$12=0),"",$H213/$C$12)</f>
        <v/>
      </c>
    </row>
    <row r="214">
      <c r="B214" s="27">
        <f>IF(Clients!$B199="","",Clients!$B199)</f>
        <v/>
      </c>
      <c r="C214" s="50">
        <f>IF($B214="","",COUNTIFS(Investments!$A$6:$A$1005,$B214))</f>
        <v/>
      </c>
      <c r="D214" s="39">
        <f>IF($B214="","",SUMIFS(Investments!$F$6:$F$1005,Investments!$A$6:$A$1005,$B214))</f>
        <v/>
      </c>
      <c r="E214" s="39">
        <f>IF($B214="","",SUMIFS(Investments!$G$6:$G$1005,Investments!$A$6:$A$1005,$B214))</f>
        <v/>
      </c>
      <c r="F214" s="39">
        <f>IF($B214="","",SUMIFS(Investments!$Q$6:$Q$1005,Investments!$A$6:$A$1005,$B214))</f>
        <v/>
      </c>
      <c r="G214" s="39">
        <f>IF($B214="","",SUMIFS(Investments!$I$6:$I$1005,Investments!$A$6:$A$1005,$B214)+SUMIFS(Investments!$J$6:$J$1005,Investments!$A$6:$A$1005,$B214)+SUMIFS(Investments!$K$6:$K$1005,Investments!$A$6:$A$1005,$B214))</f>
        <v/>
      </c>
      <c r="H214" s="39">
        <f>IF($B214="","",SUMIFS(Investments!$L$6:$L$1005,Investments!$A$6:$A$1005,$B214))</f>
        <v/>
      </c>
      <c r="I214" s="39">
        <f>IF($B214="","",($H214+$G214)-$F214)</f>
        <v/>
      </c>
      <c r="J214" s="31">
        <f>IF(OR($B214="",$F214=0),"",$I214/$F214)</f>
        <v/>
      </c>
      <c r="K214" s="31">
        <f>IF(OR($B214="",$H214=0),"",SUMPRODUCT((Investments!$A$6:$A$1005=$B214)*Investments!$L$6:$L$1005*Investments!$O$6:$O$1005)/$H214)</f>
        <v/>
      </c>
      <c r="L214" s="31">
        <f>IF(OR($B214="",$C$12=0),"",$H214/$C$12)</f>
        <v/>
      </c>
    </row>
    <row r="215">
      <c r="B215" s="22">
        <f>IF(Clients!$B200="","",Clients!$B200)</f>
        <v/>
      </c>
      <c r="C215" s="48">
        <f>IF($B215="","",COUNTIFS(Investments!$A$6:$A$1005,$B215))</f>
        <v/>
      </c>
      <c r="D215" s="49">
        <f>IF($B215="","",SUMIFS(Investments!$F$6:$F$1005,Investments!$A$6:$A$1005,$B215))</f>
        <v/>
      </c>
      <c r="E215" s="49">
        <f>IF($B215="","",SUMIFS(Investments!$G$6:$G$1005,Investments!$A$6:$A$1005,$B215))</f>
        <v/>
      </c>
      <c r="F215" s="49">
        <f>IF($B215="","",SUMIFS(Investments!$Q$6:$Q$1005,Investments!$A$6:$A$1005,$B215))</f>
        <v/>
      </c>
      <c r="G215" s="49">
        <f>IF($B215="","",SUMIFS(Investments!$I$6:$I$1005,Investments!$A$6:$A$1005,$B215)+SUMIFS(Investments!$J$6:$J$1005,Investments!$A$6:$A$1005,$B215)+SUMIFS(Investments!$K$6:$K$1005,Investments!$A$6:$A$1005,$B215))</f>
        <v/>
      </c>
      <c r="H215" s="49">
        <f>IF($B215="","",SUMIFS(Investments!$L$6:$L$1005,Investments!$A$6:$A$1005,$B215))</f>
        <v/>
      </c>
      <c r="I215" s="49">
        <f>IF($B215="","",($H215+$G215)-$F215)</f>
        <v/>
      </c>
      <c r="J215" s="26">
        <f>IF(OR($B215="",$F215=0),"",$I215/$F215)</f>
        <v/>
      </c>
      <c r="K215" s="26">
        <f>IF(OR($B215="",$H215=0),"",SUMPRODUCT((Investments!$A$6:$A$1005=$B215)*Investments!$L$6:$L$1005*Investments!$O$6:$O$1005)/$H215)</f>
        <v/>
      </c>
      <c r="L215" s="26">
        <f>IF(OR($B215="",$C$12=0),"",$H215/$C$12)</f>
        <v/>
      </c>
    </row>
    <row r="216">
      <c r="B216" s="27">
        <f>IF(Clients!$B201="","",Clients!$B201)</f>
        <v/>
      </c>
      <c r="C216" s="50">
        <f>IF($B216="","",COUNTIFS(Investments!$A$6:$A$1005,$B216))</f>
        <v/>
      </c>
      <c r="D216" s="39">
        <f>IF($B216="","",SUMIFS(Investments!$F$6:$F$1005,Investments!$A$6:$A$1005,$B216))</f>
        <v/>
      </c>
      <c r="E216" s="39">
        <f>IF($B216="","",SUMIFS(Investments!$G$6:$G$1005,Investments!$A$6:$A$1005,$B216))</f>
        <v/>
      </c>
      <c r="F216" s="39">
        <f>IF($B216="","",SUMIFS(Investments!$Q$6:$Q$1005,Investments!$A$6:$A$1005,$B216))</f>
        <v/>
      </c>
      <c r="G216" s="39">
        <f>IF($B216="","",SUMIFS(Investments!$I$6:$I$1005,Investments!$A$6:$A$1005,$B216)+SUMIFS(Investments!$J$6:$J$1005,Investments!$A$6:$A$1005,$B216)+SUMIFS(Investments!$K$6:$K$1005,Investments!$A$6:$A$1005,$B216))</f>
        <v/>
      </c>
      <c r="H216" s="39">
        <f>IF($B216="","",SUMIFS(Investments!$L$6:$L$1005,Investments!$A$6:$A$1005,$B216))</f>
        <v/>
      </c>
      <c r="I216" s="39">
        <f>IF($B216="","",($H216+$G216)-$F216)</f>
        <v/>
      </c>
      <c r="J216" s="31">
        <f>IF(OR($B216="",$F216=0),"",$I216/$F216)</f>
        <v/>
      </c>
      <c r="K216" s="31">
        <f>IF(OR($B216="",$H216=0),"",SUMPRODUCT((Investments!$A$6:$A$1005=$B216)*Investments!$L$6:$L$1005*Investments!$O$6:$O$1005)/$H216)</f>
        <v/>
      </c>
      <c r="L216" s="31">
        <f>IF(OR($B216="",$C$12=0),"",$H216/$C$12)</f>
        <v/>
      </c>
    </row>
    <row r="217">
      <c r="B217" s="22">
        <f>IF(Clients!$B202="","",Clients!$B202)</f>
        <v/>
      </c>
      <c r="C217" s="48">
        <f>IF($B217="","",COUNTIFS(Investments!$A$6:$A$1005,$B217))</f>
        <v/>
      </c>
      <c r="D217" s="49">
        <f>IF($B217="","",SUMIFS(Investments!$F$6:$F$1005,Investments!$A$6:$A$1005,$B217))</f>
        <v/>
      </c>
      <c r="E217" s="49">
        <f>IF($B217="","",SUMIFS(Investments!$G$6:$G$1005,Investments!$A$6:$A$1005,$B217))</f>
        <v/>
      </c>
      <c r="F217" s="49">
        <f>IF($B217="","",SUMIFS(Investments!$Q$6:$Q$1005,Investments!$A$6:$A$1005,$B217))</f>
        <v/>
      </c>
      <c r="G217" s="49">
        <f>IF($B217="","",SUMIFS(Investments!$I$6:$I$1005,Investments!$A$6:$A$1005,$B217)+SUMIFS(Investments!$J$6:$J$1005,Investments!$A$6:$A$1005,$B217)+SUMIFS(Investments!$K$6:$K$1005,Investments!$A$6:$A$1005,$B217))</f>
        <v/>
      </c>
      <c r="H217" s="49">
        <f>IF($B217="","",SUMIFS(Investments!$L$6:$L$1005,Investments!$A$6:$A$1005,$B217))</f>
        <v/>
      </c>
      <c r="I217" s="49">
        <f>IF($B217="","",($H217+$G217)-$F217)</f>
        <v/>
      </c>
      <c r="J217" s="26">
        <f>IF(OR($B217="",$F217=0),"",$I217/$F217)</f>
        <v/>
      </c>
      <c r="K217" s="26">
        <f>IF(OR($B217="",$H217=0),"",SUMPRODUCT((Investments!$A$6:$A$1005=$B217)*Investments!$L$6:$L$1005*Investments!$O$6:$O$1005)/$H217)</f>
        <v/>
      </c>
      <c r="L217" s="26">
        <f>IF(OR($B217="",$C$12=0),"",$H217/$C$12)</f>
        <v/>
      </c>
    </row>
    <row r="218">
      <c r="B218" s="27">
        <f>IF(Clients!$B203="","",Clients!$B203)</f>
        <v/>
      </c>
      <c r="C218" s="50">
        <f>IF($B218="","",COUNTIFS(Investments!$A$6:$A$1005,$B218))</f>
        <v/>
      </c>
      <c r="D218" s="39">
        <f>IF($B218="","",SUMIFS(Investments!$F$6:$F$1005,Investments!$A$6:$A$1005,$B218))</f>
        <v/>
      </c>
      <c r="E218" s="39">
        <f>IF($B218="","",SUMIFS(Investments!$G$6:$G$1005,Investments!$A$6:$A$1005,$B218))</f>
        <v/>
      </c>
      <c r="F218" s="39">
        <f>IF($B218="","",SUMIFS(Investments!$Q$6:$Q$1005,Investments!$A$6:$A$1005,$B218))</f>
        <v/>
      </c>
      <c r="G218" s="39">
        <f>IF($B218="","",SUMIFS(Investments!$I$6:$I$1005,Investments!$A$6:$A$1005,$B218)+SUMIFS(Investments!$J$6:$J$1005,Investments!$A$6:$A$1005,$B218)+SUMIFS(Investments!$K$6:$K$1005,Investments!$A$6:$A$1005,$B218))</f>
        <v/>
      </c>
      <c r="H218" s="39">
        <f>IF($B218="","",SUMIFS(Investments!$L$6:$L$1005,Investments!$A$6:$A$1005,$B218))</f>
        <v/>
      </c>
      <c r="I218" s="39">
        <f>IF($B218="","",($H218+$G218)-$F218)</f>
        <v/>
      </c>
      <c r="J218" s="31">
        <f>IF(OR($B218="",$F218=0),"",$I218/$F218)</f>
        <v/>
      </c>
      <c r="K218" s="31">
        <f>IF(OR($B218="",$H218=0),"",SUMPRODUCT((Investments!$A$6:$A$1005=$B218)*Investments!$L$6:$L$1005*Investments!$O$6:$O$1005)/$H218)</f>
        <v/>
      </c>
      <c r="L218" s="31">
        <f>IF(OR($B218="",$C$12=0),"",$H218/$C$12)</f>
        <v/>
      </c>
    </row>
    <row r="219">
      <c r="B219" s="51" t="inlineStr">
        <is>
          <t>GRAND TOTAL</t>
        </is>
      </c>
      <c r="C219" s="52">
        <f>SUM($C$19:$C$218)</f>
        <v/>
      </c>
      <c r="D219" s="53">
        <f>SUM($D$19:$D$218)</f>
        <v/>
      </c>
      <c r="E219" s="53">
        <f>SUM($E$19:$E$218)</f>
        <v/>
      </c>
      <c r="F219" s="53">
        <f>SUM($F$19:$F$218)</f>
        <v/>
      </c>
      <c r="G219" s="53">
        <f>SUM($G$19:$G$218)</f>
        <v/>
      </c>
      <c r="H219" s="53">
        <f>SUM($H$19:$H$218)</f>
        <v/>
      </c>
      <c r="I219" s="53">
        <f>($H$219+$G$219)-$F$219</f>
        <v/>
      </c>
      <c r="J219" s="54">
        <f>IF($F$219=0,"",$I$219/$F$219)</f>
        <v/>
      </c>
      <c r="K219" s="54">
        <f>IF($H$219=0,"",SUMPRODUCT(Investments!$L$6:$L$1005,Investments!$O$6:$O$1005)/$H$219)</f>
        <v/>
      </c>
      <c r="L219" s="54">
        <f>IF($C$12=0,"",$H$219/$C$12)</f>
        <v/>
      </c>
    </row>
    <row r="221" ht="20" customHeight="1">
      <c r="B221" s="42" t="inlineStr">
        <is>
          <t>ASSET CLASS-WISE REVIEW</t>
        </is>
      </c>
    </row>
    <row r="222" ht="30" customHeight="1">
      <c r="B222" s="8" t="inlineStr">
        <is>
          <t>Asset Class</t>
        </is>
      </c>
      <c r="C222" s="8" t="inlineStr">
        <is>
          <t>Schemes</t>
        </is>
      </c>
      <c r="D222" s="8" t="inlineStr">
        <is>
          <t>Purchase</t>
        </is>
      </c>
      <c r="E222" s="8" t="inlineStr">
        <is>
          <t>Switch In</t>
        </is>
      </c>
      <c r="F222" s="8" t="inlineStr">
        <is>
          <t>Total Invested</t>
        </is>
      </c>
      <c r="G222" s="8" t="inlineStr">
        <is>
          <t>Withdrawn</t>
        </is>
      </c>
      <c r="H222" s="8" t="inlineStr">
        <is>
          <t>Cur. Value</t>
        </is>
      </c>
      <c r="I222" s="8" t="inlineStr">
        <is>
          <t>Gain / Loss</t>
        </is>
      </c>
      <c r="J222" s="8" t="inlineStr">
        <is>
          <t>Abs. Rtn.</t>
        </is>
      </c>
      <c r="K222" s="8" t="inlineStr">
        <is>
          <t>Wtd. XIRR</t>
        </is>
      </c>
      <c r="L222" s="8" t="inlineStr">
        <is>
          <t>% of AUM</t>
        </is>
      </c>
    </row>
    <row r="223">
      <c r="B223" s="22">
        <f>IF(Lists!$B2="","",Lists!$B2)</f>
        <v/>
      </c>
      <c r="C223" s="48">
        <f>IF($B223="","",COUNTIFS(Investments!$P$6:$P$1005,$B223))</f>
        <v/>
      </c>
      <c r="D223" s="49">
        <f>IF($B223="","",SUMIFS(Investments!$F$6:$F$1005,Investments!$P$6:$P$1005,$B223))</f>
        <v/>
      </c>
      <c r="E223" s="49">
        <f>IF($B223="","",SUMIFS(Investments!$G$6:$G$1005,Investments!$P$6:$P$1005,$B223))</f>
        <v/>
      </c>
      <c r="F223" s="49">
        <f>IF($B223="","",SUMIFS(Investments!$Q$6:$Q$1005,Investments!$P$6:$P$1005,$B223))</f>
        <v/>
      </c>
      <c r="G223" s="49">
        <f>IF($B223="","",SUMIFS(Investments!$I$6:$I$1005,Investments!$P$6:$P$1005,$B223)+SUMIFS(Investments!$J$6:$J$1005,Investments!$P$6:$P$1005,$B223)+SUMIFS(Investments!$K$6:$K$1005,Investments!$P$6:$P$1005,$B223))</f>
        <v/>
      </c>
      <c r="H223" s="49">
        <f>IF($B223="","",SUMIFS(Investments!$L$6:$L$1005,Investments!$P$6:$P$1005,$B223))</f>
        <v/>
      </c>
      <c r="I223" s="49">
        <f>IF($B223="","",($H223+$G223)-$F223)</f>
        <v/>
      </c>
      <c r="J223" s="26">
        <f>IF(OR($B223="",$F223=0),"",$I223/$F223)</f>
        <v/>
      </c>
      <c r="K223" s="26">
        <f>IF(OR($B223="",$H223=0),"",SUMPRODUCT((Investments!$P$6:$P$1005=$B223)*Investments!$L$6:$L$1005*Investments!$O$6:$O$1005)/$H223)</f>
        <v/>
      </c>
      <c r="L223" s="26">
        <f>IF(OR($B223="",$C$12=0),"",$H223/$C$12)</f>
        <v/>
      </c>
    </row>
    <row r="224">
      <c r="B224" s="27">
        <f>IF(Lists!$B3="","",Lists!$B3)</f>
        <v/>
      </c>
      <c r="C224" s="50">
        <f>IF($B224="","",COUNTIFS(Investments!$P$6:$P$1005,$B224))</f>
        <v/>
      </c>
      <c r="D224" s="39">
        <f>IF($B224="","",SUMIFS(Investments!$F$6:$F$1005,Investments!$P$6:$P$1005,$B224))</f>
        <v/>
      </c>
      <c r="E224" s="39">
        <f>IF($B224="","",SUMIFS(Investments!$G$6:$G$1005,Investments!$P$6:$P$1005,$B224))</f>
        <v/>
      </c>
      <c r="F224" s="39">
        <f>IF($B224="","",SUMIFS(Investments!$Q$6:$Q$1005,Investments!$P$6:$P$1005,$B224))</f>
        <v/>
      </c>
      <c r="G224" s="39">
        <f>IF($B224="","",SUMIFS(Investments!$I$6:$I$1005,Investments!$P$6:$P$1005,$B224)+SUMIFS(Investments!$J$6:$J$1005,Investments!$P$6:$P$1005,$B224)+SUMIFS(Investments!$K$6:$K$1005,Investments!$P$6:$P$1005,$B224))</f>
        <v/>
      </c>
      <c r="H224" s="39">
        <f>IF($B224="","",SUMIFS(Investments!$L$6:$L$1005,Investments!$P$6:$P$1005,$B224))</f>
        <v/>
      </c>
      <c r="I224" s="39">
        <f>IF($B224="","",($H224+$G224)-$F224)</f>
        <v/>
      </c>
      <c r="J224" s="31">
        <f>IF(OR($B224="",$F224=0),"",$I224/$F224)</f>
        <v/>
      </c>
      <c r="K224" s="31">
        <f>IF(OR($B224="",$H224=0),"",SUMPRODUCT((Investments!$P$6:$P$1005=$B224)*Investments!$L$6:$L$1005*Investments!$O$6:$O$1005)/$H224)</f>
        <v/>
      </c>
      <c r="L224" s="31">
        <f>IF(OR($B224="",$C$12=0),"",$H224/$C$12)</f>
        <v/>
      </c>
    </row>
    <row r="225">
      <c r="B225" s="22">
        <f>IF(Lists!$B4="","",Lists!$B4)</f>
        <v/>
      </c>
      <c r="C225" s="48">
        <f>IF($B225="","",COUNTIFS(Investments!$P$6:$P$1005,$B225))</f>
        <v/>
      </c>
      <c r="D225" s="49">
        <f>IF($B225="","",SUMIFS(Investments!$F$6:$F$1005,Investments!$P$6:$P$1005,$B225))</f>
        <v/>
      </c>
      <c r="E225" s="49">
        <f>IF($B225="","",SUMIFS(Investments!$G$6:$G$1005,Investments!$P$6:$P$1005,$B225))</f>
        <v/>
      </c>
      <c r="F225" s="49">
        <f>IF($B225="","",SUMIFS(Investments!$Q$6:$Q$1005,Investments!$P$6:$P$1005,$B225))</f>
        <v/>
      </c>
      <c r="G225" s="49">
        <f>IF($B225="","",SUMIFS(Investments!$I$6:$I$1005,Investments!$P$6:$P$1005,$B225)+SUMIFS(Investments!$J$6:$J$1005,Investments!$P$6:$P$1005,$B225)+SUMIFS(Investments!$K$6:$K$1005,Investments!$P$6:$P$1005,$B225))</f>
        <v/>
      </c>
      <c r="H225" s="49">
        <f>IF($B225="","",SUMIFS(Investments!$L$6:$L$1005,Investments!$P$6:$P$1005,$B225))</f>
        <v/>
      </c>
      <c r="I225" s="49">
        <f>IF($B225="","",($H225+$G225)-$F225)</f>
        <v/>
      </c>
      <c r="J225" s="26">
        <f>IF(OR($B225="",$F225=0),"",$I225/$F225)</f>
        <v/>
      </c>
      <c r="K225" s="26">
        <f>IF(OR($B225="",$H225=0),"",SUMPRODUCT((Investments!$P$6:$P$1005=$B225)*Investments!$L$6:$L$1005*Investments!$O$6:$O$1005)/$H225)</f>
        <v/>
      </c>
      <c r="L225" s="26">
        <f>IF(OR($B225="",$C$12=0),"",$H225/$C$12)</f>
        <v/>
      </c>
    </row>
    <row r="226">
      <c r="B226" s="27">
        <f>IF(Lists!$B5="","",Lists!$B5)</f>
        <v/>
      </c>
      <c r="C226" s="50">
        <f>IF($B226="","",COUNTIFS(Investments!$P$6:$P$1005,$B226))</f>
        <v/>
      </c>
      <c r="D226" s="39">
        <f>IF($B226="","",SUMIFS(Investments!$F$6:$F$1005,Investments!$P$6:$P$1005,$B226))</f>
        <v/>
      </c>
      <c r="E226" s="39">
        <f>IF($B226="","",SUMIFS(Investments!$G$6:$G$1005,Investments!$P$6:$P$1005,$B226))</f>
        <v/>
      </c>
      <c r="F226" s="39">
        <f>IF($B226="","",SUMIFS(Investments!$Q$6:$Q$1005,Investments!$P$6:$P$1005,$B226))</f>
        <v/>
      </c>
      <c r="G226" s="39">
        <f>IF($B226="","",SUMIFS(Investments!$I$6:$I$1005,Investments!$P$6:$P$1005,$B226)+SUMIFS(Investments!$J$6:$J$1005,Investments!$P$6:$P$1005,$B226)+SUMIFS(Investments!$K$6:$K$1005,Investments!$P$6:$P$1005,$B226))</f>
        <v/>
      </c>
      <c r="H226" s="39">
        <f>IF($B226="","",SUMIFS(Investments!$L$6:$L$1005,Investments!$P$6:$P$1005,$B226))</f>
        <v/>
      </c>
      <c r="I226" s="39">
        <f>IF($B226="","",($H226+$G226)-$F226)</f>
        <v/>
      </c>
      <c r="J226" s="31">
        <f>IF(OR($B226="",$F226=0),"",$I226/$F226)</f>
        <v/>
      </c>
      <c r="K226" s="31">
        <f>IF(OR($B226="",$H226=0),"",SUMPRODUCT((Investments!$P$6:$P$1005=$B226)*Investments!$L$6:$L$1005*Investments!$O$6:$O$1005)/$H226)</f>
        <v/>
      </c>
      <c r="L226" s="31">
        <f>IF(OR($B226="",$C$12=0),"",$H226/$C$12)</f>
        <v/>
      </c>
    </row>
    <row r="227">
      <c r="B227" s="51" t="inlineStr">
        <is>
          <t>TOTAL</t>
        </is>
      </c>
      <c r="C227" s="52">
        <f>SUM($C$223:$C$226)</f>
        <v/>
      </c>
      <c r="D227" s="53">
        <f>SUM($D$223:$D$226)</f>
        <v/>
      </c>
      <c r="E227" s="53">
        <f>SUM($E$223:$E$226)</f>
        <v/>
      </c>
      <c r="F227" s="53">
        <f>SUM($F$223:$F$226)</f>
        <v/>
      </c>
      <c r="G227" s="53">
        <f>SUM($G$223:$G$226)</f>
        <v/>
      </c>
      <c r="H227" s="53">
        <f>SUM($H$223:$H$226)</f>
        <v/>
      </c>
      <c r="I227" s="53">
        <f>($H$227+$G$227)-$F$227</f>
        <v/>
      </c>
      <c r="J227" s="54">
        <f>IF($F$227=0,"",$I$227/$F$227)</f>
        <v/>
      </c>
      <c r="K227" s="54">
        <f>IF($H$227=0,"",SUMPRODUCT(Investments!$L$6:$L$1005,Investments!$O$6:$O$1005)/$H$227)</f>
        <v/>
      </c>
      <c r="L227" s="54">
        <f>IF($C$12=0,"",$H$227/$C$12)</f>
        <v/>
      </c>
    </row>
    <row r="229" ht="20" customHeight="1">
      <c r="B229" s="42" t="inlineStr">
        <is>
          <t>CATEGORY-WISE REVIEW</t>
        </is>
      </c>
    </row>
    <row r="230" ht="30" customHeight="1">
      <c r="B230" s="8" t="inlineStr">
        <is>
          <t>Category</t>
        </is>
      </c>
      <c r="C230" s="8" t="inlineStr">
        <is>
          <t>Schemes</t>
        </is>
      </c>
      <c r="D230" s="8" t="inlineStr">
        <is>
          <t>Purchase</t>
        </is>
      </c>
      <c r="E230" s="8" t="inlineStr">
        <is>
          <t>Switch In</t>
        </is>
      </c>
      <c r="F230" s="8" t="inlineStr">
        <is>
          <t>Total Invested</t>
        </is>
      </c>
      <c r="G230" s="8" t="inlineStr">
        <is>
          <t>Withdrawn</t>
        </is>
      </c>
      <c r="H230" s="8" t="inlineStr">
        <is>
          <t>Cur. Value</t>
        </is>
      </c>
      <c r="I230" s="8" t="inlineStr">
        <is>
          <t>Gain / Loss</t>
        </is>
      </c>
      <c r="J230" s="8" t="inlineStr">
        <is>
          <t>Abs. Rtn.</t>
        </is>
      </c>
      <c r="K230" s="8" t="inlineStr">
        <is>
          <t>Wtd. XIRR</t>
        </is>
      </c>
      <c r="L230" s="8" t="inlineStr">
        <is>
          <t>% of AUM</t>
        </is>
      </c>
    </row>
    <row r="231">
      <c r="B231" s="22">
        <f>IF(Lists!$A2="","",Lists!$A2)</f>
        <v/>
      </c>
      <c r="C231" s="48">
        <f>IF($B231="","",COUNTIFS(Investments!$B$6:$B$1005,$B231))</f>
        <v/>
      </c>
      <c r="D231" s="49">
        <f>IF($B231="","",SUMIFS(Investments!$F$6:$F$1005,Investments!$B$6:$B$1005,$B231))</f>
        <v/>
      </c>
      <c r="E231" s="49">
        <f>IF($B231="","",SUMIFS(Investments!$G$6:$G$1005,Investments!$B$6:$B$1005,$B231))</f>
        <v/>
      </c>
      <c r="F231" s="49">
        <f>IF($B231="","",SUMIFS(Investments!$Q$6:$Q$1005,Investments!$B$6:$B$1005,$B231))</f>
        <v/>
      </c>
      <c r="G231" s="49">
        <f>IF($B231="","",SUMIFS(Investments!$I$6:$I$1005,Investments!$B$6:$B$1005,$B231)+SUMIFS(Investments!$J$6:$J$1005,Investments!$B$6:$B$1005,$B231)+SUMIFS(Investments!$K$6:$K$1005,Investments!$B$6:$B$1005,$B231))</f>
        <v/>
      </c>
      <c r="H231" s="49">
        <f>IF($B231="","",SUMIFS(Investments!$L$6:$L$1005,Investments!$B$6:$B$1005,$B231))</f>
        <v/>
      </c>
      <c r="I231" s="49">
        <f>IF($B231="","",($H231+$G231)-$F231)</f>
        <v/>
      </c>
      <c r="J231" s="26">
        <f>IF(OR($B231="",$F231=0),"",$I231/$F231)</f>
        <v/>
      </c>
      <c r="K231" s="26">
        <f>IF(OR($B231="",$H231=0),"",SUMPRODUCT((Investments!$B$6:$B$1005=$B231)*Investments!$L$6:$L$1005*Investments!$O$6:$O$1005)/$H231)</f>
        <v/>
      </c>
      <c r="L231" s="26">
        <f>IF(OR($B231="",$C$12=0),"",$H231/$C$12)</f>
        <v/>
      </c>
    </row>
    <row r="232">
      <c r="B232" s="27">
        <f>IF(Lists!$A3="","",Lists!$A3)</f>
        <v/>
      </c>
      <c r="C232" s="50">
        <f>IF($B232="","",COUNTIFS(Investments!$B$6:$B$1005,$B232))</f>
        <v/>
      </c>
      <c r="D232" s="39">
        <f>IF($B232="","",SUMIFS(Investments!$F$6:$F$1005,Investments!$B$6:$B$1005,$B232))</f>
        <v/>
      </c>
      <c r="E232" s="39">
        <f>IF($B232="","",SUMIFS(Investments!$G$6:$G$1005,Investments!$B$6:$B$1005,$B232))</f>
        <v/>
      </c>
      <c r="F232" s="39">
        <f>IF($B232="","",SUMIFS(Investments!$Q$6:$Q$1005,Investments!$B$6:$B$1005,$B232))</f>
        <v/>
      </c>
      <c r="G232" s="39">
        <f>IF($B232="","",SUMIFS(Investments!$I$6:$I$1005,Investments!$B$6:$B$1005,$B232)+SUMIFS(Investments!$J$6:$J$1005,Investments!$B$6:$B$1005,$B232)+SUMIFS(Investments!$K$6:$K$1005,Investments!$B$6:$B$1005,$B232))</f>
        <v/>
      </c>
      <c r="H232" s="39">
        <f>IF($B232="","",SUMIFS(Investments!$L$6:$L$1005,Investments!$B$6:$B$1005,$B232))</f>
        <v/>
      </c>
      <c r="I232" s="39">
        <f>IF($B232="","",($H232+$G232)-$F232)</f>
        <v/>
      </c>
      <c r="J232" s="31">
        <f>IF(OR($B232="",$F232=0),"",$I232/$F232)</f>
        <v/>
      </c>
      <c r="K232" s="31">
        <f>IF(OR($B232="",$H232=0),"",SUMPRODUCT((Investments!$B$6:$B$1005=$B232)*Investments!$L$6:$L$1005*Investments!$O$6:$O$1005)/$H232)</f>
        <v/>
      </c>
      <c r="L232" s="31">
        <f>IF(OR($B232="",$C$12=0),"",$H232/$C$12)</f>
        <v/>
      </c>
    </row>
    <row r="233">
      <c r="B233" s="22">
        <f>IF(Lists!$A4="","",Lists!$A4)</f>
        <v/>
      </c>
      <c r="C233" s="48">
        <f>IF($B233="","",COUNTIFS(Investments!$B$6:$B$1005,$B233))</f>
        <v/>
      </c>
      <c r="D233" s="49">
        <f>IF($B233="","",SUMIFS(Investments!$F$6:$F$1005,Investments!$B$6:$B$1005,$B233))</f>
        <v/>
      </c>
      <c r="E233" s="49">
        <f>IF($B233="","",SUMIFS(Investments!$G$6:$G$1005,Investments!$B$6:$B$1005,$B233))</f>
        <v/>
      </c>
      <c r="F233" s="49">
        <f>IF($B233="","",SUMIFS(Investments!$Q$6:$Q$1005,Investments!$B$6:$B$1005,$B233))</f>
        <v/>
      </c>
      <c r="G233" s="49">
        <f>IF($B233="","",SUMIFS(Investments!$I$6:$I$1005,Investments!$B$6:$B$1005,$B233)+SUMIFS(Investments!$J$6:$J$1005,Investments!$B$6:$B$1005,$B233)+SUMIFS(Investments!$K$6:$K$1005,Investments!$B$6:$B$1005,$B233))</f>
        <v/>
      </c>
      <c r="H233" s="49">
        <f>IF($B233="","",SUMIFS(Investments!$L$6:$L$1005,Investments!$B$6:$B$1005,$B233))</f>
        <v/>
      </c>
      <c r="I233" s="49">
        <f>IF($B233="","",($H233+$G233)-$F233)</f>
        <v/>
      </c>
      <c r="J233" s="26">
        <f>IF(OR($B233="",$F233=0),"",$I233/$F233)</f>
        <v/>
      </c>
      <c r="K233" s="26">
        <f>IF(OR($B233="",$H233=0),"",SUMPRODUCT((Investments!$B$6:$B$1005=$B233)*Investments!$L$6:$L$1005*Investments!$O$6:$O$1005)/$H233)</f>
        <v/>
      </c>
      <c r="L233" s="26">
        <f>IF(OR($B233="",$C$12=0),"",$H233/$C$12)</f>
        <v/>
      </c>
    </row>
    <row r="234">
      <c r="B234" s="27">
        <f>IF(Lists!$A5="","",Lists!$A5)</f>
        <v/>
      </c>
      <c r="C234" s="50">
        <f>IF($B234="","",COUNTIFS(Investments!$B$6:$B$1005,$B234))</f>
        <v/>
      </c>
      <c r="D234" s="39">
        <f>IF($B234="","",SUMIFS(Investments!$F$6:$F$1005,Investments!$B$6:$B$1005,$B234))</f>
        <v/>
      </c>
      <c r="E234" s="39">
        <f>IF($B234="","",SUMIFS(Investments!$G$6:$G$1005,Investments!$B$6:$B$1005,$B234))</f>
        <v/>
      </c>
      <c r="F234" s="39">
        <f>IF($B234="","",SUMIFS(Investments!$Q$6:$Q$1005,Investments!$B$6:$B$1005,$B234))</f>
        <v/>
      </c>
      <c r="G234" s="39">
        <f>IF($B234="","",SUMIFS(Investments!$I$6:$I$1005,Investments!$B$6:$B$1005,$B234)+SUMIFS(Investments!$J$6:$J$1005,Investments!$B$6:$B$1005,$B234)+SUMIFS(Investments!$K$6:$K$1005,Investments!$B$6:$B$1005,$B234))</f>
        <v/>
      </c>
      <c r="H234" s="39">
        <f>IF($B234="","",SUMIFS(Investments!$L$6:$L$1005,Investments!$B$6:$B$1005,$B234))</f>
        <v/>
      </c>
      <c r="I234" s="39">
        <f>IF($B234="","",($H234+$G234)-$F234)</f>
        <v/>
      </c>
      <c r="J234" s="31">
        <f>IF(OR($B234="",$F234=0),"",$I234/$F234)</f>
        <v/>
      </c>
      <c r="K234" s="31">
        <f>IF(OR($B234="",$H234=0),"",SUMPRODUCT((Investments!$B$6:$B$1005=$B234)*Investments!$L$6:$L$1005*Investments!$O$6:$O$1005)/$H234)</f>
        <v/>
      </c>
      <c r="L234" s="31">
        <f>IF(OR($B234="",$C$12=0),"",$H234/$C$12)</f>
        <v/>
      </c>
    </row>
    <row r="235">
      <c r="B235" s="22">
        <f>IF(Lists!$A6="","",Lists!$A6)</f>
        <v/>
      </c>
      <c r="C235" s="48">
        <f>IF($B235="","",COUNTIFS(Investments!$B$6:$B$1005,$B235))</f>
        <v/>
      </c>
      <c r="D235" s="49">
        <f>IF($B235="","",SUMIFS(Investments!$F$6:$F$1005,Investments!$B$6:$B$1005,$B235))</f>
        <v/>
      </c>
      <c r="E235" s="49">
        <f>IF($B235="","",SUMIFS(Investments!$G$6:$G$1005,Investments!$B$6:$B$1005,$B235))</f>
        <v/>
      </c>
      <c r="F235" s="49">
        <f>IF($B235="","",SUMIFS(Investments!$Q$6:$Q$1005,Investments!$B$6:$B$1005,$B235))</f>
        <v/>
      </c>
      <c r="G235" s="49">
        <f>IF($B235="","",SUMIFS(Investments!$I$6:$I$1005,Investments!$B$6:$B$1005,$B235)+SUMIFS(Investments!$J$6:$J$1005,Investments!$B$6:$B$1005,$B235)+SUMIFS(Investments!$K$6:$K$1005,Investments!$B$6:$B$1005,$B235))</f>
        <v/>
      </c>
      <c r="H235" s="49">
        <f>IF($B235="","",SUMIFS(Investments!$L$6:$L$1005,Investments!$B$6:$B$1005,$B235))</f>
        <v/>
      </c>
      <c r="I235" s="49">
        <f>IF($B235="","",($H235+$G235)-$F235)</f>
        <v/>
      </c>
      <c r="J235" s="26">
        <f>IF(OR($B235="",$F235=0),"",$I235/$F235)</f>
        <v/>
      </c>
      <c r="K235" s="26">
        <f>IF(OR($B235="",$H235=0),"",SUMPRODUCT((Investments!$B$6:$B$1005=$B235)*Investments!$L$6:$L$1005*Investments!$O$6:$O$1005)/$H235)</f>
        <v/>
      </c>
      <c r="L235" s="26">
        <f>IF(OR($B235="",$C$12=0),"",$H235/$C$12)</f>
        <v/>
      </c>
    </row>
    <row r="236">
      <c r="B236" s="27">
        <f>IF(Lists!$A7="","",Lists!$A7)</f>
        <v/>
      </c>
      <c r="C236" s="50">
        <f>IF($B236="","",COUNTIFS(Investments!$B$6:$B$1005,$B236))</f>
        <v/>
      </c>
      <c r="D236" s="39">
        <f>IF($B236="","",SUMIFS(Investments!$F$6:$F$1005,Investments!$B$6:$B$1005,$B236))</f>
        <v/>
      </c>
      <c r="E236" s="39">
        <f>IF($B236="","",SUMIFS(Investments!$G$6:$G$1005,Investments!$B$6:$B$1005,$B236))</f>
        <v/>
      </c>
      <c r="F236" s="39">
        <f>IF($B236="","",SUMIFS(Investments!$Q$6:$Q$1005,Investments!$B$6:$B$1005,$B236))</f>
        <v/>
      </c>
      <c r="G236" s="39">
        <f>IF($B236="","",SUMIFS(Investments!$I$6:$I$1005,Investments!$B$6:$B$1005,$B236)+SUMIFS(Investments!$J$6:$J$1005,Investments!$B$6:$B$1005,$B236)+SUMIFS(Investments!$K$6:$K$1005,Investments!$B$6:$B$1005,$B236))</f>
        <v/>
      </c>
      <c r="H236" s="39">
        <f>IF($B236="","",SUMIFS(Investments!$L$6:$L$1005,Investments!$B$6:$B$1005,$B236))</f>
        <v/>
      </c>
      <c r="I236" s="39">
        <f>IF($B236="","",($H236+$G236)-$F236)</f>
        <v/>
      </c>
      <c r="J236" s="31">
        <f>IF(OR($B236="",$F236=0),"",$I236/$F236)</f>
        <v/>
      </c>
      <c r="K236" s="31">
        <f>IF(OR($B236="",$H236=0),"",SUMPRODUCT((Investments!$B$6:$B$1005=$B236)*Investments!$L$6:$L$1005*Investments!$O$6:$O$1005)/$H236)</f>
        <v/>
      </c>
      <c r="L236" s="31">
        <f>IF(OR($B236="",$C$12=0),"",$H236/$C$12)</f>
        <v/>
      </c>
    </row>
    <row r="237">
      <c r="B237" s="22">
        <f>IF(Lists!$A8="","",Lists!$A8)</f>
        <v/>
      </c>
      <c r="C237" s="48">
        <f>IF($B237="","",COUNTIFS(Investments!$B$6:$B$1005,$B237))</f>
        <v/>
      </c>
      <c r="D237" s="49">
        <f>IF($B237="","",SUMIFS(Investments!$F$6:$F$1005,Investments!$B$6:$B$1005,$B237))</f>
        <v/>
      </c>
      <c r="E237" s="49">
        <f>IF($B237="","",SUMIFS(Investments!$G$6:$G$1005,Investments!$B$6:$B$1005,$B237))</f>
        <v/>
      </c>
      <c r="F237" s="49">
        <f>IF($B237="","",SUMIFS(Investments!$Q$6:$Q$1005,Investments!$B$6:$B$1005,$B237))</f>
        <v/>
      </c>
      <c r="G237" s="49">
        <f>IF($B237="","",SUMIFS(Investments!$I$6:$I$1005,Investments!$B$6:$B$1005,$B237)+SUMIFS(Investments!$J$6:$J$1005,Investments!$B$6:$B$1005,$B237)+SUMIFS(Investments!$K$6:$K$1005,Investments!$B$6:$B$1005,$B237))</f>
        <v/>
      </c>
      <c r="H237" s="49">
        <f>IF($B237="","",SUMIFS(Investments!$L$6:$L$1005,Investments!$B$6:$B$1005,$B237))</f>
        <v/>
      </c>
      <c r="I237" s="49">
        <f>IF($B237="","",($H237+$G237)-$F237)</f>
        <v/>
      </c>
      <c r="J237" s="26">
        <f>IF(OR($B237="",$F237=0),"",$I237/$F237)</f>
        <v/>
      </c>
      <c r="K237" s="26">
        <f>IF(OR($B237="",$H237=0),"",SUMPRODUCT((Investments!$B$6:$B$1005=$B237)*Investments!$L$6:$L$1005*Investments!$O$6:$O$1005)/$H237)</f>
        <v/>
      </c>
      <c r="L237" s="26">
        <f>IF(OR($B237="",$C$12=0),"",$H237/$C$12)</f>
        <v/>
      </c>
    </row>
    <row r="238">
      <c r="B238" s="27">
        <f>IF(Lists!$A9="","",Lists!$A9)</f>
        <v/>
      </c>
      <c r="C238" s="50">
        <f>IF($B238="","",COUNTIFS(Investments!$B$6:$B$1005,$B238))</f>
        <v/>
      </c>
      <c r="D238" s="39">
        <f>IF($B238="","",SUMIFS(Investments!$F$6:$F$1005,Investments!$B$6:$B$1005,$B238))</f>
        <v/>
      </c>
      <c r="E238" s="39">
        <f>IF($B238="","",SUMIFS(Investments!$G$6:$G$1005,Investments!$B$6:$B$1005,$B238))</f>
        <v/>
      </c>
      <c r="F238" s="39">
        <f>IF($B238="","",SUMIFS(Investments!$Q$6:$Q$1005,Investments!$B$6:$B$1005,$B238))</f>
        <v/>
      </c>
      <c r="G238" s="39">
        <f>IF($B238="","",SUMIFS(Investments!$I$6:$I$1005,Investments!$B$6:$B$1005,$B238)+SUMIFS(Investments!$J$6:$J$1005,Investments!$B$6:$B$1005,$B238)+SUMIFS(Investments!$K$6:$K$1005,Investments!$B$6:$B$1005,$B238))</f>
        <v/>
      </c>
      <c r="H238" s="39">
        <f>IF($B238="","",SUMIFS(Investments!$L$6:$L$1005,Investments!$B$6:$B$1005,$B238))</f>
        <v/>
      </c>
      <c r="I238" s="39">
        <f>IF($B238="","",($H238+$G238)-$F238)</f>
        <v/>
      </c>
      <c r="J238" s="31">
        <f>IF(OR($B238="",$F238=0),"",$I238/$F238)</f>
        <v/>
      </c>
      <c r="K238" s="31">
        <f>IF(OR($B238="",$H238=0),"",SUMPRODUCT((Investments!$B$6:$B$1005=$B238)*Investments!$L$6:$L$1005*Investments!$O$6:$O$1005)/$H238)</f>
        <v/>
      </c>
      <c r="L238" s="31">
        <f>IF(OR($B238="",$C$12=0),"",$H238/$C$12)</f>
        <v/>
      </c>
    </row>
    <row r="239">
      <c r="B239" s="22">
        <f>IF(Lists!$A10="","",Lists!$A10)</f>
        <v/>
      </c>
      <c r="C239" s="48">
        <f>IF($B239="","",COUNTIFS(Investments!$B$6:$B$1005,$B239))</f>
        <v/>
      </c>
      <c r="D239" s="49">
        <f>IF($B239="","",SUMIFS(Investments!$F$6:$F$1005,Investments!$B$6:$B$1005,$B239))</f>
        <v/>
      </c>
      <c r="E239" s="49">
        <f>IF($B239="","",SUMIFS(Investments!$G$6:$G$1005,Investments!$B$6:$B$1005,$B239))</f>
        <v/>
      </c>
      <c r="F239" s="49">
        <f>IF($B239="","",SUMIFS(Investments!$Q$6:$Q$1005,Investments!$B$6:$B$1005,$B239))</f>
        <v/>
      </c>
      <c r="G239" s="49">
        <f>IF($B239="","",SUMIFS(Investments!$I$6:$I$1005,Investments!$B$6:$B$1005,$B239)+SUMIFS(Investments!$J$6:$J$1005,Investments!$B$6:$B$1005,$B239)+SUMIFS(Investments!$K$6:$K$1005,Investments!$B$6:$B$1005,$B239))</f>
        <v/>
      </c>
      <c r="H239" s="49">
        <f>IF($B239="","",SUMIFS(Investments!$L$6:$L$1005,Investments!$B$6:$B$1005,$B239))</f>
        <v/>
      </c>
      <c r="I239" s="49">
        <f>IF($B239="","",($H239+$G239)-$F239)</f>
        <v/>
      </c>
      <c r="J239" s="26">
        <f>IF(OR($B239="",$F239=0),"",$I239/$F239)</f>
        <v/>
      </c>
      <c r="K239" s="26">
        <f>IF(OR($B239="",$H239=0),"",SUMPRODUCT((Investments!$B$6:$B$1005=$B239)*Investments!$L$6:$L$1005*Investments!$O$6:$O$1005)/$H239)</f>
        <v/>
      </c>
      <c r="L239" s="26">
        <f>IF(OR($B239="",$C$12=0),"",$H239/$C$12)</f>
        <v/>
      </c>
    </row>
    <row r="240">
      <c r="B240" s="27">
        <f>IF(Lists!$A11="","",Lists!$A11)</f>
        <v/>
      </c>
      <c r="C240" s="50">
        <f>IF($B240="","",COUNTIFS(Investments!$B$6:$B$1005,$B240))</f>
        <v/>
      </c>
      <c r="D240" s="39">
        <f>IF($B240="","",SUMIFS(Investments!$F$6:$F$1005,Investments!$B$6:$B$1005,$B240))</f>
        <v/>
      </c>
      <c r="E240" s="39">
        <f>IF($B240="","",SUMIFS(Investments!$G$6:$G$1005,Investments!$B$6:$B$1005,$B240))</f>
        <v/>
      </c>
      <c r="F240" s="39">
        <f>IF($B240="","",SUMIFS(Investments!$Q$6:$Q$1005,Investments!$B$6:$B$1005,$B240))</f>
        <v/>
      </c>
      <c r="G240" s="39">
        <f>IF($B240="","",SUMIFS(Investments!$I$6:$I$1005,Investments!$B$6:$B$1005,$B240)+SUMIFS(Investments!$J$6:$J$1005,Investments!$B$6:$B$1005,$B240)+SUMIFS(Investments!$K$6:$K$1005,Investments!$B$6:$B$1005,$B240))</f>
        <v/>
      </c>
      <c r="H240" s="39">
        <f>IF($B240="","",SUMIFS(Investments!$L$6:$L$1005,Investments!$B$6:$B$1005,$B240))</f>
        <v/>
      </c>
      <c r="I240" s="39">
        <f>IF($B240="","",($H240+$G240)-$F240)</f>
        <v/>
      </c>
      <c r="J240" s="31">
        <f>IF(OR($B240="",$F240=0),"",$I240/$F240)</f>
        <v/>
      </c>
      <c r="K240" s="31">
        <f>IF(OR($B240="",$H240=0),"",SUMPRODUCT((Investments!$B$6:$B$1005=$B240)*Investments!$L$6:$L$1005*Investments!$O$6:$O$1005)/$H240)</f>
        <v/>
      </c>
      <c r="L240" s="31">
        <f>IF(OR($B240="",$C$12=0),"",$H240/$C$12)</f>
        <v/>
      </c>
    </row>
    <row r="241">
      <c r="B241" s="22">
        <f>IF(Lists!$A12="","",Lists!$A12)</f>
        <v/>
      </c>
      <c r="C241" s="48">
        <f>IF($B241="","",COUNTIFS(Investments!$B$6:$B$1005,$B241))</f>
        <v/>
      </c>
      <c r="D241" s="49">
        <f>IF($B241="","",SUMIFS(Investments!$F$6:$F$1005,Investments!$B$6:$B$1005,$B241))</f>
        <v/>
      </c>
      <c r="E241" s="49">
        <f>IF($B241="","",SUMIFS(Investments!$G$6:$G$1005,Investments!$B$6:$B$1005,$B241))</f>
        <v/>
      </c>
      <c r="F241" s="49">
        <f>IF($B241="","",SUMIFS(Investments!$Q$6:$Q$1005,Investments!$B$6:$B$1005,$B241))</f>
        <v/>
      </c>
      <c r="G241" s="49">
        <f>IF($B241="","",SUMIFS(Investments!$I$6:$I$1005,Investments!$B$6:$B$1005,$B241)+SUMIFS(Investments!$J$6:$J$1005,Investments!$B$6:$B$1005,$B241)+SUMIFS(Investments!$K$6:$K$1005,Investments!$B$6:$B$1005,$B241))</f>
        <v/>
      </c>
      <c r="H241" s="49">
        <f>IF($B241="","",SUMIFS(Investments!$L$6:$L$1005,Investments!$B$6:$B$1005,$B241))</f>
        <v/>
      </c>
      <c r="I241" s="49">
        <f>IF($B241="","",($H241+$G241)-$F241)</f>
        <v/>
      </c>
      <c r="J241" s="26">
        <f>IF(OR($B241="",$F241=0),"",$I241/$F241)</f>
        <v/>
      </c>
      <c r="K241" s="26">
        <f>IF(OR($B241="",$H241=0),"",SUMPRODUCT((Investments!$B$6:$B$1005=$B241)*Investments!$L$6:$L$1005*Investments!$O$6:$O$1005)/$H241)</f>
        <v/>
      </c>
      <c r="L241" s="26">
        <f>IF(OR($B241="",$C$12=0),"",$H241/$C$12)</f>
        <v/>
      </c>
    </row>
    <row r="242">
      <c r="B242" s="27">
        <f>IF(Lists!$A13="","",Lists!$A13)</f>
        <v/>
      </c>
      <c r="C242" s="50">
        <f>IF($B242="","",COUNTIFS(Investments!$B$6:$B$1005,$B242))</f>
        <v/>
      </c>
      <c r="D242" s="39">
        <f>IF($B242="","",SUMIFS(Investments!$F$6:$F$1005,Investments!$B$6:$B$1005,$B242))</f>
        <v/>
      </c>
      <c r="E242" s="39">
        <f>IF($B242="","",SUMIFS(Investments!$G$6:$G$1005,Investments!$B$6:$B$1005,$B242))</f>
        <v/>
      </c>
      <c r="F242" s="39">
        <f>IF($B242="","",SUMIFS(Investments!$Q$6:$Q$1005,Investments!$B$6:$B$1005,$B242))</f>
        <v/>
      </c>
      <c r="G242" s="39">
        <f>IF($B242="","",SUMIFS(Investments!$I$6:$I$1005,Investments!$B$6:$B$1005,$B242)+SUMIFS(Investments!$J$6:$J$1005,Investments!$B$6:$B$1005,$B242)+SUMIFS(Investments!$K$6:$K$1005,Investments!$B$6:$B$1005,$B242))</f>
        <v/>
      </c>
      <c r="H242" s="39">
        <f>IF($B242="","",SUMIFS(Investments!$L$6:$L$1005,Investments!$B$6:$B$1005,$B242))</f>
        <v/>
      </c>
      <c r="I242" s="39">
        <f>IF($B242="","",($H242+$G242)-$F242)</f>
        <v/>
      </c>
      <c r="J242" s="31">
        <f>IF(OR($B242="",$F242=0),"",$I242/$F242)</f>
        <v/>
      </c>
      <c r="K242" s="31">
        <f>IF(OR($B242="",$H242=0),"",SUMPRODUCT((Investments!$B$6:$B$1005=$B242)*Investments!$L$6:$L$1005*Investments!$O$6:$O$1005)/$H242)</f>
        <v/>
      </c>
      <c r="L242" s="31">
        <f>IF(OR($B242="",$C$12=0),"",$H242/$C$12)</f>
        <v/>
      </c>
    </row>
    <row r="243">
      <c r="B243" s="22">
        <f>IF(Lists!$A14="","",Lists!$A14)</f>
        <v/>
      </c>
      <c r="C243" s="48">
        <f>IF($B243="","",COUNTIFS(Investments!$B$6:$B$1005,$B243))</f>
        <v/>
      </c>
      <c r="D243" s="49">
        <f>IF($B243="","",SUMIFS(Investments!$F$6:$F$1005,Investments!$B$6:$B$1005,$B243))</f>
        <v/>
      </c>
      <c r="E243" s="49">
        <f>IF($B243="","",SUMIFS(Investments!$G$6:$G$1005,Investments!$B$6:$B$1005,$B243))</f>
        <v/>
      </c>
      <c r="F243" s="49">
        <f>IF($B243="","",SUMIFS(Investments!$Q$6:$Q$1005,Investments!$B$6:$B$1005,$B243))</f>
        <v/>
      </c>
      <c r="G243" s="49">
        <f>IF($B243="","",SUMIFS(Investments!$I$6:$I$1005,Investments!$B$6:$B$1005,$B243)+SUMIFS(Investments!$J$6:$J$1005,Investments!$B$6:$B$1005,$B243)+SUMIFS(Investments!$K$6:$K$1005,Investments!$B$6:$B$1005,$B243))</f>
        <v/>
      </c>
      <c r="H243" s="49">
        <f>IF($B243="","",SUMIFS(Investments!$L$6:$L$1005,Investments!$B$6:$B$1005,$B243))</f>
        <v/>
      </c>
      <c r="I243" s="49">
        <f>IF($B243="","",($H243+$G243)-$F243)</f>
        <v/>
      </c>
      <c r="J243" s="26">
        <f>IF(OR($B243="",$F243=0),"",$I243/$F243)</f>
        <v/>
      </c>
      <c r="K243" s="26">
        <f>IF(OR($B243="",$H243=0),"",SUMPRODUCT((Investments!$B$6:$B$1005=$B243)*Investments!$L$6:$L$1005*Investments!$O$6:$O$1005)/$H243)</f>
        <v/>
      </c>
      <c r="L243" s="26">
        <f>IF(OR($B243="",$C$12=0),"",$H243/$C$12)</f>
        <v/>
      </c>
    </row>
    <row r="244">
      <c r="B244" s="27">
        <f>IF(Lists!$A15="","",Lists!$A15)</f>
        <v/>
      </c>
      <c r="C244" s="50">
        <f>IF($B244="","",COUNTIFS(Investments!$B$6:$B$1005,$B244))</f>
        <v/>
      </c>
      <c r="D244" s="39">
        <f>IF($B244="","",SUMIFS(Investments!$F$6:$F$1005,Investments!$B$6:$B$1005,$B244))</f>
        <v/>
      </c>
      <c r="E244" s="39">
        <f>IF($B244="","",SUMIFS(Investments!$G$6:$G$1005,Investments!$B$6:$B$1005,$B244))</f>
        <v/>
      </c>
      <c r="F244" s="39">
        <f>IF($B244="","",SUMIFS(Investments!$Q$6:$Q$1005,Investments!$B$6:$B$1005,$B244))</f>
        <v/>
      </c>
      <c r="G244" s="39">
        <f>IF($B244="","",SUMIFS(Investments!$I$6:$I$1005,Investments!$B$6:$B$1005,$B244)+SUMIFS(Investments!$J$6:$J$1005,Investments!$B$6:$B$1005,$B244)+SUMIFS(Investments!$K$6:$K$1005,Investments!$B$6:$B$1005,$B244))</f>
        <v/>
      </c>
      <c r="H244" s="39">
        <f>IF($B244="","",SUMIFS(Investments!$L$6:$L$1005,Investments!$B$6:$B$1005,$B244))</f>
        <v/>
      </c>
      <c r="I244" s="39">
        <f>IF($B244="","",($H244+$G244)-$F244)</f>
        <v/>
      </c>
      <c r="J244" s="31">
        <f>IF(OR($B244="",$F244=0),"",$I244/$F244)</f>
        <v/>
      </c>
      <c r="K244" s="31">
        <f>IF(OR($B244="",$H244=0),"",SUMPRODUCT((Investments!$B$6:$B$1005=$B244)*Investments!$L$6:$L$1005*Investments!$O$6:$O$1005)/$H244)</f>
        <v/>
      </c>
      <c r="L244" s="31">
        <f>IF(OR($B244="",$C$12=0),"",$H244/$C$12)</f>
        <v/>
      </c>
    </row>
    <row r="245">
      <c r="B245" s="22">
        <f>IF(Lists!$A16="","",Lists!$A16)</f>
        <v/>
      </c>
      <c r="C245" s="48">
        <f>IF($B245="","",COUNTIFS(Investments!$B$6:$B$1005,$B245))</f>
        <v/>
      </c>
      <c r="D245" s="49">
        <f>IF($B245="","",SUMIFS(Investments!$F$6:$F$1005,Investments!$B$6:$B$1005,$B245))</f>
        <v/>
      </c>
      <c r="E245" s="49">
        <f>IF($B245="","",SUMIFS(Investments!$G$6:$G$1005,Investments!$B$6:$B$1005,$B245))</f>
        <v/>
      </c>
      <c r="F245" s="49">
        <f>IF($B245="","",SUMIFS(Investments!$Q$6:$Q$1005,Investments!$B$6:$B$1005,$B245))</f>
        <v/>
      </c>
      <c r="G245" s="49">
        <f>IF($B245="","",SUMIFS(Investments!$I$6:$I$1005,Investments!$B$6:$B$1005,$B245)+SUMIFS(Investments!$J$6:$J$1005,Investments!$B$6:$B$1005,$B245)+SUMIFS(Investments!$K$6:$K$1005,Investments!$B$6:$B$1005,$B245))</f>
        <v/>
      </c>
      <c r="H245" s="49">
        <f>IF($B245="","",SUMIFS(Investments!$L$6:$L$1005,Investments!$B$6:$B$1005,$B245))</f>
        <v/>
      </c>
      <c r="I245" s="49">
        <f>IF($B245="","",($H245+$G245)-$F245)</f>
        <v/>
      </c>
      <c r="J245" s="26">
        <f>IF(OR($B245="",$F245=0),"",$I245/$F245)</f>
        <v/>
      </c>
      <c r="K245" s="26">
        <f>IF(OR($B245="",$H245=0),"",SUMPRODUCT((Investments!$B$6:$B$1005=$B245)*Investments!$L$6:$L$1005*Investments!$O$6:$O$1005)/$H245)</f>
        <v/>
      </c>
      <c r="L245" s="26">
        <f>IF(OR($B245="",$C$12=0),"",$H245/$C$12)</f>
        <v/>
      </c>
    </row>
    <row r="246">
      <c r="B246" s="27">
        <f>IF(Lists!$A17="","",Lists!$A17)</f>
        <v/>
      </c>
      <c r="C246" s="50">
        <f>IF($B246="","",COUNTIFS(Investments!$B$6:$B$1005,$B246))</f>
        <v/>
      </c>
      <c r="D246" s="39">
        <f>IF($B246="","",SUMIFS(Investments!$F$6:$F$1005,Investments!$B$6:$B$1005,$B246))</f>
        <v/>
      </c>
      <c r="E246" s="39">
        <f>IF($B246="","",SUMIFS(Investments!$G$6:$G$1005,Investments!$B$6:$B$1005,$B246))</f>
        <v/>
      </c>
      <c r="F246" s="39">
        <f>IF($B246="","",SUMIFS(Investments!$Q$6:$Q$1005,Investments!$B$6:$B$1005,$B246))</f>
        <v/>
      </c>
      <c r="G246" s="39">
        <f>IF($B246="","",SUMIFS(Investments!$I$6:$I$1005,Investments!$B$6:$B$1005,$B246)+SUMIFS(Investments!$J$6:$J$1005,Investments!$B$6:$B$1005,$B246)+SUMIFS(Investments!$K$6:$K$1005,Investments!$B$6:$B$1005,$B246))</f>
        <v/>
      </c>
      <c r="H246" s="39">
        <f>IF($B246="","",SUMIFS(Investments!$L$6:$L$1005,Investments!$B$6:$B$1005,$B246))</f>
        <v/>
      </c>
      <c r="I246" s="39">
        <f>IF($B246="","",($H246+$G246)-$F246)</f>
        <v/>
      </c>
      <c r="J246" s="31">
        <f>IF(OR($B246="",$F246=0),"",$I246/$F246)</f>
        <v/>
      </c>
      <c r="K246" s="31">
        <f>IF(OR($B246="",$H246=0),"",SUMPRODUCT((Investments!$B$6:$B$1005=$B246)*Investments!$L$6:$L$1005*Investments!$O$6:$O$1005)/$H246)</f>
        <v/>
      </c>
      <c r="L246" s="31">
        <f>IF(OR($B246="",$C$12=0),"",$H246/$C$12)</f>
        <v/>
      </c>
    </row>
    <row r="247">
      <c r="B247" s="22">
        <f>IF(Lists!$A18="","",Lists!$A18)</f>
        <v/>
      </c>
      <c r="C247" s="48">
        <f>IF($B247="","",COUNTIFS(Investments!$B$6:$B$1005,$B247))</f>
        <v/>
      </c>
      <c r="D247" s="49">
        <f>IF($B247="","",SUMIFS(Investments!$F$6:$F$1005,Investments!$B$6:$B$1005,$B247))</f>
        <v/>
      </c>
      <c r="E247" s="49">
        <f>IF($B247="","",SUMIFS(Investments!$G$6:$G$1005,Investments!$B$6:$B$1005,$B247))</f>
        <v/>
      </c>
      <c r="F247" s="49">
        <f>IF($B247="","",SUMIFS(Investments!$Q$6:$Q$1005,Investments!$B$6:$B$1005,$B247))</f>
        <v/>
      </c>
      <c r="G247" s="49">
        <f>IF($B247="","",SUMIFS(Investments!$I$6:$I$1005,Investments!$B$6:$B$1005,$B247)+SUMIFS(Investments!$J$6:$J$1005,Investments!$B$6:$B$1005,$B247)+SUMIFS(Investments!$K$6:$K$1005,Investments!$B$6:$B$1005,$B247))</f>
        <v/>
      </c>
      <c r="H247" s="49">
        <f>IF($B247="","",SUMIFS(Investments!$L$6:$L$1005,Investments!$B$6:$B$1005,$B247))</f>
        <v/>
      </c>
      <c r="I247" s="49">
        <f>IF($B247="","",($H247+$G247)-$F247)</f>
        <v/>
      </c>
      <c r="J247" s="26">
        <f>IF(OR($B247="",$F247=0),"",$I247/$F247)</f>
        <v/>
      </c>
      <c r="K247" s="26">
        <f>IF(OR($B247="",$H247=0),"",SUMPRODUCT((Investments!$B$6:$B$1005=$B247)*Investments!$L$6:$L$1005*Investments!$O$6:$O$1005)/$H247)</f>
        <v/>
      </c>
      <c r="L247" s="26">
        <f>IF(OR($B247="",$C$12=0),"",$H247/$C$12)</f>
        <v/>
      </c>
    </row>
    <row r="248">
      <c r="B248" s="27">
        <f>IF(Lists!$A19="","",Lists!$A19)</f>
        <v/>
      </c>
      <c r="C248" s="50">
        <f>IF($B248="","",COUNTIFS(Investments!$B$6:$B$1005,$B248))</f>
        <v/>
      </c>
      <c r="D248" s="39">
        <f>IF($B248="","",SUMIFS(Investments!$F$6:$F$1005,Investments!$B$6:$B$1005,$B248))</f>
        <v/>
      </c>
      <c r="E248" s="39">
        <f>IF($B248="","",SUMIFS(Investments!$G$6:$G$1005,Investments!$B$6:$B$1005,$B248))</f>
        <v/>
      </c>
      <c r="F248" s="39">
        <f>IF($B248="","",SUMIFS(Investments!$Q$6:$Q$1005,Investments!$B$6:$B$1005,$B248))</f>
        <v/>
      </c>
      <c r="G248" s="39">
        <f>IF($B248="","",SUMIFS(Investments!$I$6:$I$1005,Investments!$B$6:$B$1005,$B248)+SUMIFS(Investments!$J$6:$J$1005,Investments!$B$6:$B$1005,$B248)+SUMIFS(Investments!$K$6:$K$1005,Investments!$B$6:$B$1005,$B248))</f>
        <v/>
      </c>
      <c r="H248" s="39">
        <f>IF($B248="","",SUMIFS(Investments!$L$6:$L$1005,Investments!$B$6:$B$1005,$B248))</f>
        <v/>
      </c>
      <c r="I248" s="39">
        <f>IF($B248="","",($H248+$G248)-$F248)</f>
        <v/>
      </c>
      <c r="J248" s="31">
        <f>IF(OR($B248="",$F248=0),"",$I248/$F248)</f>
        <v/>
      </c>
      <c r="K248" s="31">
        <f>IF(OR($B248="",$H248=0),"",SUMPRODUCT((Investments!$B$6:$B$1005=$B248)*Investments!$L$6:$L$1005*Investments!$O$6:$O$1005)/$H248)</f>
        <v/>
      </c>
      <c r="L248" s="31">
        <f>IF(OR($B248="",$C$12=0),"",$H248/$C$12)</f>
        <v/>
      </c>
    </row>
    <row r="249">
      <c r="B249" s="22">
        <f>IF(Lists!$A20="","",Lists!$A20)</f>
        <v/>
      </c>
      <c r="C249" s="48">
        <f>IF($B249="","",COUNTIFS(Investments!$B$6:$B$1005,$B249))</f>
        <v/>
      </c>
      <c r="D249" s="49">
        <f>IF($B249="","",SUMIFS(Investments!$F$6:$F$1005,Investments!$B$6:$B$1005,$B249))</f>
        <v/>
      </c>
      <c r="E249" s="49">
        <f>IF($B249="","",SUMIFS(Investments!$G$6:$G$1005,Investments!$B$6:$B$1005,$B249))</f>
        <v/>
      </c>
      <c r="F249" s="49">
        <f>IF($B249="","",SUMIFS(Investments!$Q$6:$Q$1005,Investments!$B$6:$B$1005,$B249))</f>
        <v/>
      </c>
      <c r="G249" s="49">
        <f>IF($B249="","",SUMIFS(Investments!$I$6:$I$1005,Investments!$B$6:$B$1005,$B249)+SUMIFS(Investments!$J$6:$J$1005,Investments!$B$6:$B$1005,$B249)+SUMIFS(Investments!$K$6:$K$1005,Investments!$B$6:$B$1005,$B249))</f>
        <v/>
      </c>
      <c r="H249" s="49">
        <f>IF($B249="","",SUMIFS(Investments!$L$6:$L$1005,Investments!$B$6:$B$1005,$B249))</f>
        <v/>
      </c>
      <c r="I249" s="49">
        <f>IF($B249="","",($H249+$G249)-$F249)</f>
        <v/>
      </c>
      <c r="J249" s="26">
        <f>IF(OR($B249="",$F249=0),"",$I249/$F249)</f>
        <v/>
      </c>
      <c r="K249" s="26">
        <f>IF(OR($B249="",$H249=0),"",SUMPRODUCT((Investments!$B$6:$B$1005=$B249)*Investments!$L$6:$L$1005*Investments!$O$6:$O$1005)/$H249)</f>
        <v/>
      </c>
      <c r="L249" s="26">
        <f>IF(OR($B249="",$C$12=0),"",$H249/$C$12)</f>
        <v/>
      </c>
    </row>
    <row r="250">
      <c r="B250" s="27">
        <f>IF(Lists!$A21="","",Lists!$A21)</f>
        <v/>
      </c>
      <c r="C250" s="50">
        <f>IF($B250="","",COUNTIFS(Investments!$B$6:$B$1005,$B250))</f>
        <v/>
      </c>
      <c r="D250" s="39">
        <f>IF($B250="","",SUMIFS(Investments!$F$6:$F$1005,Investments!$B$6:$B$1005,$B250))</f>
        <v/>
      </c>
      <c r="E250" s="39">
        <f>IF($B250="","",SUMIFS(Investments!$G$6:$G$1005,Investments!$B$6:$B$1005,$B250))</f>
        <v/>
      </c>
      <c r="F250" s="39">
        <f>IF($B250="","",SUMIFS(Investments!$Q$6:$Q$1005,Investments!$B$6:$B$1005,$B250))</f>
        <v/>
      </c>
      <c r="G250" s="39">
        <f>IF($B250="","",SUMIFS(Investments!$I$6:$I$1005,Investments!$B$6:$B$1005,$B250)+SUMIFS(Investments!$J$6:$J$1005,Investments!$B$6:$B$1005,$B250)+SUMIFS(Investments!$K$6:$K$1005,Investments!$B$6:$B$1005,$B250))</f>
        <v/>
      </c>
      <c r="H250" s="39">
        <f>IF($B250="","",SUMIFS(Investments!$L$6:$L$1005,Investments!$B$6:$B$1005,$B250))</f>
        <v/>
      </c>
      <c r="I250" s="39">
        <f>IF($B250="","",($H250+$G250)-$F250)</f>
        <v/>
      </c>
      <c r="J250" s="31">
        <f>IF(OR($B250="",$F250=0),"",$I250/$F250)</f>
        <v/>
      </c>
      <c r="K250" s="31">
        <f>IF(OR($B250="",$H250=0),"",SUMPRODUCT((Investments!$B$6:$B$1005=$B250)*Investments!$L$6:$L$1005*Investments!$O$6:$O$1005)/$H250)</f>
        <v/>
      </c>
      <c r="L250" s="31">
        <f>IF(OR($B250="",$C$12=0),"",$H250/$C$12)</f>
        <v/>
      </c>
    </row>
    <row r="251">
      <c r="B251" s="22">
        <f>IF(Lists!$A22="","",Lists!$A22)</f>
        <v/>
      </c>
      <c r="C251" s="48">
        <f>IF($B251="","",COUNTIFS(Investments!$B$6:$B$1005,$B251))</f>
        <v/>
      </c>
      <c r="D251" s="49">
        <f>IF($B251="","",SUMIFS(Investments!$F$6:$F$1005,Investments!$B$6:$B$1005,$B251))</f>
        <v/>
      </c>
      <c r="E251" s="49">
        <f>IF($B251="","",SUMIFS(Investments!$G$6:$G$1005,Investments!$B$6:$B$1005,$B251))</f>
        <v/>
      </c>
      <c r="F251" s="49">
        <f>IF($B251="","",SUMIFS(Investments!$Q$6:$Q$1005,Investments!$B$6:$B$1005,$B251))</f>
        <v/>
      </c>
      <c r="G251" s="49">
        <f>IF($B251="","",SUMIFS(Investments!$I$6:$I$1005,Investments!$B$6:$B$1005,$B251)+SUMIFS(Investments!$J$6:$J$1005,Investments!$B$6:$B$1005,$B251)+SUMIFS(Investments!$K$6:$K$1005,Investments!$B$6:$B$1005,$B251))</f>
        <v/>
      </c>
      <c r="H251" s="49">
        <f>IF($B251="","",SUMIFS(Investments!$L$6:$L$1005,Investments!$B$6:$B$1005,$B251))</f>
        <v/>
      </c>
      <c r="I251" s="49">
        <f>IF($B251="","",($H251+$G251)-$F251)</f>
        <v/>
      </c>
      <c r="J251" s="26">
        <f>IF(OR($B251="",$F251=0),"",$I251/$F251)</f>
        <v/>
      </c>
      <c r="K251" s="26">
        <f>IF(OR($B251="",$H251=0),"",SUMPRODUCT((Investments!$B$6:$B$1005=$B251)*Investments!$L$6:$L$1005*Investments!$O$6:$O$1005)/$H251)</f>
        <v/>
      </c>
      <c r="L251" s="26">
        <f>IF(OR($B251="",$C$12=0),"",$H251/$C$12)</f>
        <v/>
      </c>
    </row>
    <row r="252">
      <c r="B252" s="27">
        <f>IF(Lists!$A23="","",Lists!$A23)</f>
        <v/>
      </c>
      <c r="C252" s="50">
        <f>IF($B252="","",COUNTIFS(Investments!$B$6:$B$1005,$B252))</f>
        <v/>
      </c>
      <c r="D252" s="39">
        <f>IF($B252="","",SUMIFS(Investments!$F$6:$F$1005,Investments!$B$6:$B$1005,$B252))</f>
        <v/>
      </c>
      <c r="E252" s="39">
        <f>IF($B252="","",SUMIFS(Investments!$G$6:$G$1005,Investments!$B$6:$B$1005,$B252))</f>
        <v/>
      </c>
      <c r="F252" s="39">
        <f>IF($B252="","",SUMIFS(Investments!$Q$6:$Q$1005,Investments!$B$6:$B$1005,$B252))</f>
        <v/>
      </c>
      <c r="G252" s="39">
        <f>IF($B252="","",SUMIFS(Investments!$I$6:$I$1005,Investments!$B$6:$B$1005,$B252)+SUMIFS(Investments!$J$6:$J$1005,Investments!$B$6:$B$1005,$B252)+SUMIFS(Investments!$K$6:$K$1005,Investments!$B$6:$B$1005,$B252))</f>
        <v/>
      </c>
      <c r="H252" s="39">
        <f>IF($B252="","",SUMIFS(Investments!$L$6:$L$1005,Investments!$B$6:$B$1005,$B252))</f>
        <v/>
      </c>
      <c r="I252" s="39">
        <f>IF($B252="","",($H252+$G252)-$F252)</f>
        <v/>
      </c>
      <c r="J252" s="31">
        <f>IF(OR($B252="",$F252=0),"",$I252/$F252)</f>
        <v/>
      </c>
      <c r="K252" s="31">
        <f>IF(OR($B252="",$H252=0),"",SUMPRODUCT((Investments!$B$6:$B$1005=$B252)*Investments!$L$6:$L$1005*Investments!$O$6:$O$1005)/$H252)</f>
        <v/>
      </c>
      <c r="L252" s="31">
        <f>IF(OR($B252="",$C$12=0),"",$H252/$C$12)</f>
        <v/>
      </c>
    </row>
    <row r="253">
      <c r="B253" s="22">
        <f>IF(Lists!$A24="","",Lists!$A24)</f>
        <v/>
      </c>
      <c r="C253" s="48">
        <f>IF($B253="","",COUNTIFS(Investments!$B$6:$B$1005,$B253))</f>
        <v/>
      </c>
      <c r="D253" s="49">
        <f>IF($B253="","",SUMIFS(Investments!$F$6:$F$1005,Investments!$B$6:$B$1005,$B253))</f>
        <v/>
      </c>
      <c r="E253" s="49">
        <f>IF($B253="","",SUMIFS(Investments!$G$6:$G$1005,Investments!$B$6:$B$1005,$B253))</f>
        <v/>
      </c>
      <c r="F253" s="49">
        <f>IF($B253="","",SUMIFS(Investments!$Q$6:$Q$1005,Investments!$B$6:$B$1005,$B253))</f>
        <v/>
      </c>
      <c r="G253" s="49">
        <f>IF($B253="","",SUMIFS(Investments!$I$6:$I$1005,Investments!$B$6:$B$1005,$B253)+SUMIFS(Investments!$J$6:$J$1005,Investments!$B$6:$B$1005,$B253)+SUMIFS(Investments!$K$6:$K$1005,Investments!$B$6:$B$1005,$B253))</f>
        <v/>
      </c>
      <c r="H253" s="49">
        <f>IF($B253="","",SUMIFS(Investments!$L$6:$L$1005,Investments!$B$6:$B$1005,$B253))</f>
        <v/>
      </c>
      <c r="I253" s="49">
        <f>IF($B253="","",($H253+$G253)-$F253)</f>
        <v/>
      </c>
      <c r="J253" s="26">
        <f>IF(OR($B253="",$F253=0),"",$I253/$F253)</f>
        <v/>
      </c>
      <c r="K253" s="26">
        <f>IF(OR($B253="",$H253=0),"",SUMPRODUCT((Investments!$B$6:$B$1005=$B253)*Investments!$L$6:$L$1005*Investments!$O$6:$O$1005)/$H253)</f>
        <v/>
      </c>
      <c r="L253" s="26">
        <f>IF(OR($B253="",$C$12=0),"",$H253/$C$12)</f>
        <v/>
      </c>
    </row>
    <row r="254">
      <c r="B254" s="27">
        <f>IF(Lists!$A25="","",Lists!$A25)</f>
        <v/>
      </c>
      <c r="C254" s="50">
        <f>IF($B254="","",COUNTIFS(Investments!$B$6:$B$1005,$B254))</f>
        <v/>
      </c>
      <c r="D254" s="39">
        <f>IF($B254="","",SUMIFS(Investments!$F$6:$F$1005,Investments!$B$6:$B$1005,$B254))</f>
        <v/>
      </c>
      <c r="E254" s="39">
        <f>IF($B254="","",SUMIFS(Investments!$G$6:$G$1005,Investments!$B$6:$B$1005,$B254))</f>
        <v/>
      </c>
      <c r="F254" s="39">
        <f>IF($B254="","",SUMIFS(Investments!$Q$6:$Q$1005,Investments!$B$6:$B$1005,$B254))</f>
        <v/>
      </c>
      <c r="G254" s="39">
        <f>IF($B254="","",SUMIFS(Investments!$I$6:$I$1005,Investments!$B$6:$B$1005,$B254)+SUMIFS(Investments!$J$6:$J$1005,Investments!$B$6:$B$1005,$B254)+SUMIFS(Investments!$K$6:$K$1005,Investments!$B$6:$B$1005,$B254))</f>
        <v/>
      </c>
      <c r="H254" s="39">
        <f>IF($B254="","",SUMIFS(Investments!$L$6:$L$1005,Investments!$B$6:$B$1005,$B254))</f>
        <v/>
      </c>
      <c r="I254" s="39">
        <f>IF($B254="","",($H254+$G254)-$F254)</f>
        <v/>
      </c>
      <c r="J254" s="31">
        <f>IF(OR($B254="",$F254=0),"",$I254/$F254)</f>
        <v/>
      </c>
      <c r="K254" s="31">
        <f>IF(OR($B254="",$H254=0),"",SUMPRODUCT((Investments!$B$6:$B$1005=$B254)*Investments!$L$6:$L$1005*Investments!$O$6:$O$1005)/$H254)</f>
        <v/>
      </c>
      <c r="L254" s="31">
        <f>IF(OR($B254="",$C$12=0),"",$H254/$C$12)</f>
        <v/>
      </c>
    </row>
    <row r="255">
      <c r="B255" s="22">
        <f>IF(Lists!$A26="","",Lists!$A26)</f>
        <v/>
      </c>
      <c r="C255" s="48">
        <f>IF($B255="","",COUNTIFS(Investments!$B$6:$B$1005,$B255))</f>
        <v/>
      </c>
      <c r="D255" s="49">
        <f>IF($B255="","",SUMIFS(Investments!$F$6:$F$1005,Investments!$B$6:$B$1005,$B255))</f>
        <v/>
      </c>
      <c r="E255" s="49">
        <f>IF($B255="","",SUMIFS(Investments!$G$6:$G$1005,Investments!$B$6:$B$1005,$B255))</f>
        <v/>
      </c>
      <c r="F255" s="49">
        <f>IF($B255="","",SUMIFS(Investments!$Q$6:$Q$1005,Investments!$B$6:$B$1005,$B255))</f>
        <v/>
      </c>
      <c r="G255" s="49">
        <f>IF($B255="","",SUMIFS(Investments!$I$6:$I$1005,Investments!$B$6:$B$1005,$B255)+SUMIFS(Investments!$J$6:$J$1005,Investments!$B$6:$B$1005,$B255)+SUMIFS(Investments!$K$6:$K$1005,Investments!$B$6:$B$1005,$B255))</f>
        <v/>
      </c>
      <c r="H255" s="49">
        <f>IF($B255="","",SUMIFS(Investments!$L$6:$L$1005,Investments!$B$6:$B$1005,$B255))</f>
        <v/>
      </c>
      <c r="I255" s="49">
        <f>IF($B255="","",($H255+$G255)-$F255)</f>
        <v/>
      </c>
      <c r="J255" s="26">
        <f>IF(OR($B255="",$F255=0),"",$I255/$F255)</f>
        <v/>
      </c>
      <c r="K255" s="26">
        <f>IF(OR($B255="",$H255=0),"",SUMPRODUCT((Investments!$B$6:$B$1005=$B255)*Investments!$L$6:$L$1005*Investments!$O$6:$O$1005)/$H255)</f>
        <v/>
      </c>
      <c r="L255" s="26">
        <f>IF(OR($B255="",$C$12=0),"",$H255/$C$12)</f>
        <v/>
      </c>
    </row>
    <row r="256">
      <c r="B256" s="27">
        <f>IF(Lists!$A27="","",Lists!$A27)</f>
        <v/>
      </c>
      <c r="C256" s="50">
        <f>IF($B256="","",COUNTIFS(Investments!$B$6:$B$1005,$B256))</f>
        <v/>
      </c>
      <c r="D256" s="39">
        <f>IF($B256="","",SUMIFS(Investments!$F$6:$F$1005,Investments!$B$6:$B$1005,$B256))</f>
        <v/>
      </c>
      <c r="E256" s="39">
        <f>IF($B256="","",SUMIFS(Investments!$G$6:$G$1005,Investments!$B$6:$B$1005,$B256))</f>
        <v/>
      </c>
      <c r="F256" s="39">
        <f>IF($B256="","",SUMIFS(Investments!$Q$6:$Q$1005,Investments!$B$6:$B$1005,$B256))</f>
        <v/>
      </c>
      <c r="G256" s="39">
        <f>IF($B256="","",SUMIFS(Investments!$I$6:$I$1005,Investments!$B$6:$B$1005,$B256)+SUMIFS(Investments!$J$6:$J$1005,Investments!$B$6:$B$1005,$B256)+SUMIFS(Investments!$K$6:$K$1005,Investments!$B$6:$B$1005,$B256))</f>
        <v/>
      </c>
      <c r="H256" s="39">
        <f>IF($B256="","",SUMIFS(Investments!$L$6:$L$1005,Investments!$B$6:$B$1005,$B256))</f>
        <v/>
      </c>
      <c r="I256" s="39">
        <f>IF($B256="","",($H256+$G256)-$F256)</f>
        <v/>
      </c>
      <c r="J256" s="31">
        <f>IF(OR($B256="",$F256=0),"",$I256/$F256)</f>
        <v/>
      </c>
      <c r="K256" s="31">
        <f>IF(OR($B256="",$H256=0),"",SUMPRODUCT((Investments!$B$6:$B$1005=$B256)*Investments!$L$6:$L$1005*Investments!$O$6:$O$1005)/$H256)</f>
        <v/>
      </c>
      <c r="L256" s="31">
        <f>IF(OR($B256="",$C$12=0),"",$H256/$C$12)</f>
        <v/>
      </c>
    </row>
    <row r="257">
      <c r="B257" s="22">
        <f>IF(Lists!$A28="","",Lists!$A28)</f>
        <v/>
      </c>
      <c r="C257" s="48">
        <f>IF($B257="","",COUNTIFS(Investments!$B$6:$B$1005,$B257))</f>
        <v/>
      </c>
      <c r="D257" s="49">
        <f>IF($B257="","",SUMIFS(Investments!$F$6:$F$1005,Investments!$B$6:$B$1005,$B257))</f>
        <v/>
      </c>
      <c r="E257" s="49">
        <f>IF($B257="","",SUMIFS(Investments!$G$6:$G$1005,Investments!$B$6:$B$1005,$B257))</f>
        <v/>
      </c>
      <c r="F257" s="49">
        <f>IF($B257="","",SUMIFS(Investments!$Q$6:$Q$1005,Investments!$B$6:$B$1005,$B257))</f>
        <v/>
      </c>
      <c r="G257" s="49">
        <f>IF($B257="","",SUMIFS(Investments!$I$6:$I$1005,Investments!$B$6:$B$1005,$B257)+SUMIFS(Investments!$J$6:$J$1005,Investments!$B$6:$B$1005,$B257)+SUMIFS(Investments!$K$6:$K$1005,Investments!$B$6:$B$1005,$B257))</f>
        <v/>
      </c>
      <c r="H257" s="49">
        <f>IF($B257="","",SUMIFS(Investments!$L$6:$L$1005,Investments!$B$6:$B$1005,$B257))</f>
        <v/>
      </c>
      <c r="I257" s="49">
        <f>IF($B257="","",($H257+$G257)-$F257)</f>
        <v/>
      </c>
      <c r="J257" s="26">
        <f>IF(OR($B257="",$F257=0),"",$I257/$F257)</f>
        <v/>
      </c>
      <c r="K257" s="26">
        <f>IF(OR($B257="",$H257=0),"",SUMPRODUCT((Investments!$B$6:$B$1005=$B257)*Investments!$L$6:$L$1005*Investments!$O$6:$O$1005)/$H257)</f>
        <v/>
      </c>
      <c r="L257" s="26">
        <f>IF(OR($B257="",$C$12=0),"",$H257/$C$12)</f>
        <v/>
      </c>
    </row>
    <row r="258">
      <c r="B258" s="27">
        <f>IF(Lists!$A29="","",Lists!$A29)</f>
        <v/>
      </c>
      <c r="C258" s="50">
        <f>IF($B258="","",COUNTIFS(Investments!$B$6:$B$1005,$B258))</f>
        <v/>
      </c>
      <c r="D258" s="39">
        <f>IF($B258="","",SUMIFS(Investments!$F$6:$F$1005,Investments!$B$6:$B$1005,$B258))</f>
        <v/>
      </c>
      <c r="E258" s="39">
        <f>IF($B258="","",SUMIFS(Investments!$G$6:$G$1005,Investments!$B$6:$B$1005,$B258))</f>
        <v/>
      </c>
      <c r="F258" s="39">
        <f>IF($B258="","",SUMIFS(Investments!$Q$6:$Q$1005,Investments!$B$6:$B$1005,$B258))</f>
        <v/>
      </c>
      <c r="G258" s="39">
        <f>IF($B258="","",SUMIFS(Investments!$I$6:$I$1005,Investments!$B$6:$B$1005,$B258)+SUMIFS(Investments!$J$6:$J$1005,Investments!$B$6:$B$1005,$B258)+SUMIFS(Investments!$K$6:$K$1005,Investments!$B$6:$B$1005,$B258))</f>
        <v/>
      </c>
      <c r="H258" s="39">
        <f>IF($B258="","",SUMIFS(Investments!$L$6:$L$1005,Investments!$B$6:$B$1005,$B258))</f>
        <v/>
      </c>
      <c r="I258" s="39">
        <f>IF($B258="","",($H258+$G258)-$F258)</f>
        <v/>
      </c>
      <c r="J258" s="31">
        <f>IF(OR($B258="",$F258=0),"",$I258/$F258)</f>
        <v/>
      </c>
      <c r="K258" s="31">
        <f>IF(OR($B258="",$H258=0),"",SUMPRODUCT((Investments!$B$6:$B$1005=$B258)*Investments!$L$6:$L$1005*Investments!$O$6:$O$1005)/$H258)</f>
        <v/>
      </c>
      <c r="L258" s="31">
        <f>IF(OR($B258="",$C$12=0),"",$H258/$C$12)</f>
        <v/>
      </c>
    </row>
    <row r="259">
      <c r="B259" s="22">
        <f>IF(Lists!$A30="","",Lists!$A30)</f>
        <v/>
      </c>
      <c r="C259" s="48">
        <f>IF($B259="","",COUNTIFS(Investments!$B$6:$B$1005,$B259))</f>
        <v/>
      </c>
      <c r="D259" s="49">
        <f>IF($B259="","",SUMIFS(Investments!$F$6:$F$1005,Investments!$B$6:$B$1005,$B259))</f>
        <v/>
      </c>
      <c r="E259" s="49">
        <f>IF($B259="","",SUMIFS(Investments!$G$6:$G$1005,Investments!$B$6:$B$1005,$B259))</f>
        <v/>
      </c>
      <c r="F259" s="49">
        <f>IF($B259="","",SUMIFS(Investments!$Q$6:$Q$1005,Investments!$B$6:$B$1005,$B259))</f>
        <v/>
      </c>
      <c r="G259" s="49">
        <f>IF($B259="","",SUMIFS(Investments!$I$6:$I$1005,Investments!$B$6:$B$1005,$B259)+SUMIFS(Investments!$J$6:$J$1005,Investments!$B$6:$B$1005,$B259)+SUMIFS(Investments!$K$6:$K$1005,Investments!$B$6:$B$1005,$B259))</f>
        <v/>
      </c>
      <c r="H259" s="49">
        <f>IF($B259="","",SUMIFS(Investments!$L$6:$L$1005,Investments!$B$6:$B$1005,$B259))</f>
        <v/>
      </c>
      <c r="I259" s="49">
        <f>IF($B259="","",($H259+$G259)-$F259)</f>
        <v/>
      </c>
      <c r="J259" s="26">
        <f>IF(OR($B259="",$F259=0),"",$I259/$F259)</f>
        <v/>
      </c>
      <c r="K259" s="26">
        <f>IF(OR($B259="",$H259=0),"",SUMPRODUCT((Investments!$B$6:$B$1005=$B259)*Investments!$L$6:$L$1005*Investments!$O$6:$O$1005)/$H259)</f>
        <v/>
      </c>
      <c r="L259" s="26">
        <f>IF(OR($B259="",$C$12=0),"",$H259/$C$12)</f>
        <v/>
      </c>
    </row>
    <row r="260">
      <c r="B260" s="27">
        <f>IF(Lists!$A31="","",Lists!$A31)</f>
        <v/>
      </c>
      <c r="C260" s="50">
        <f>IF($B260="","",COUNTIFS(Investments!$B$6:$B$1005,$B260))</f>
        <v/>
      </c>
      <c r="D260" s="39">
        <f>IF($B260="","",SUMIFS(Investments!$F$6:$F$1005,Investments!$B$6:$B$1005,$B260))</f>
        <v/>
      </c>
      <c r="E260" s="39">
        <f>IF($B260="","",SUMIFS(Investments!$G$6:$G$1005,Investments!$B$6:$B$1005,$B260))</f>
        <v/>
      </c>
      <c r="F260" s="39">
        <f>IF($B260="","",SUMIFS(Investments!$Q$6:$Q$1005,Investments!$B$6:$B$1005,$B260))</f>
        <v/>
      </c>
      <c r="G260" s="39">
        <f>IF($B260="","",SUMIFS(Investments!$I$6:$I$1005,Investments!$B$6:$B$1005,$B260)+SUMIFS(Investments!$J$6:$J$1005,Investments!$B$6:$B$1005,$B260)+SUMIFS(Investments!$K$6:$K$1005,Investments!$B$6:$B$1005,$B260))</f>
        <v/>
      </c>
      <c r="H260" s="39">
        <f>IF($B260="","",SUMIFS(Investments!$L$6:$L$1005,Investments!$B$6:$B$1005,$B260))</f>
        <v/>
      </c>
      <c r="I260" s="39">
        <f>IF($B260="","",($H260+$G260)-$F260)</f>
        <v/>
      </c>
      <c r="J260" s="31">
        <f>IF(OR($B260="",$F260=0),"",$I260/$F260)</f>
        <v/>
      </c>
      <c r="K260" s="31">
        <f>IF(OR($B260="",$H260=0),"",SUMPRODUCT((Investments!$B$6:$B$1005=$B260)*Investments!$L$6:$L$1005*Investments!$O$6:$O$1005)/$H260)</f>
        <v/>
      </c>
      <c r="L260" s="31">
        <f>IF(OR($B260="",$C$12=0),"",$H260/$C$12)</f>
        <v/>
      </c>
    </row>
    <row r="261">
      <c r="B261" s="22">
        <f>IF(Lists!$A32="","",Lists!$A32)</f>
        <v/>
      </c>
      <c r="C261" s="48">
        <f>IF($B261="","",COUNTIFS(Investments!$B$6:$B$1005,$B261))</f>
        <v/>
      </c>
      <c r="D261" s="49">
        <f>IF($B261="","",SUMIFS(Investments!$F$6:$F$1005,Investments!$B$6:$B$1005,$B261))</f>
        <v/>
      </c>
      <c r="E261" s="49">
        <f>IF($B261="","",SUMIFS(Investments!$G$6:$G$1005,Investments!$B$6:$B$1005,$B261))</f>
        <v/>
      </c>
      <c r="F261" s="49">
        <f>IF($B261="","",SUMIFS(Investments!$Q$6:$Q$1005,Investments!$B$6:$B$1005,$B261))</f>
        <v/>
      </c>
      <c r="G261" s="49">
        <f>IF($B261="","",SUMIFS(Investments!$I$6:$I$1005,Investments!$B$6:$B$1005,$B261)+SUMIFS(Investments!$J$6:$J$1005,Investments!$B$6:$B$1005,$B261)+SUMIFS(Investments!$K$6:$K$1005,Investments!$B$6:$B$1005,$B261))</f>
        <v/>
      </c>
      <c r="H261" s="49">
        <f>IF($B261="","",SUMIFS(Investments!$L$6:$L$1005,Investments!$B$6:$B$1005,$B261))</f>
        <v/>
      </c>
      <c r="I261" s="49">
        <f>IF($B261="","",($H261+$G261)-$F261)</f>
        <v/>
      </c>
      <c r="J261" s="26">
        <f>IF(OR($B261="",$F261=0),"",$I261/$F261)</f>
        <v/>
      </c>
      <c r="K261" s="26">
        <f>IF(OR($B261="",$H261=0),"",SUMPRODUCT((Investments!$B$6:$B$1005=$B261)*Investments!$L$6:$L$1005*Investments!$O$6:$O$1005)/$H261)</f>
        <v/>
      </c>
      <c r="L261" s="26">
        <f>IF(OR($B261="",$C$12=0),"",$H261/$C$12)</f>
        <v/>
      </c>
    </row>
    <row r="262">
      <c r="B262" s="27">
        <f>IF(Lists!$A33="","",Lists!$A33)</f>
        <v/>
      </c>
      <c r="C262" s="50">
        <f>IF($B262="","",COUNTIFS(Investments!$B$6:$B$1005,$B262))</f>
        <v/>
      </c>
      <c r="D262" s="39">
        <f>IF($B262="","",SUMIFS(Investments!$F$6:$F$1005,Investments!$B$6:$B$1005,$B262))</f>
        <v/>
      </c>
      <c r="E262" s="39">
        <f>IF($B262="","",SUMIFS(Investments!$G$6:$G$1005,Investments!$B$6:$B$1005,$B262))</f>
        <v/>
      </c>
      <c r="F262" s="39">
        <f>IF($B262="","",SUMIFS(Investments!$Q$6:$Q$1005,Investments!$B$6:$B$1005,$B262))</f>
        <v/>
      </c>
      <c r="G262" s="39">
        <f>IF($B262="","",SUMIFS(Investments!$I$6:$I$1005,Investments!$B$6:$B$1005,$B262)+SUMIFS(Investments!$J$6:$J$1005,Investments!$B$6:$B$1005,$B262)+SUMIFS(Investments!$K$6:$K$1005,Investments!$B$6:$B$1005,$B262))</f>
        <v/>
      </c>
      <c r="H262" s="39">
        <f>IF($B262="","",SUMIFS(Investments!$L$6:$L$1005,Investments!$B$6:$B$1005,$B262))</f>
        <v/>
      </c>
      <c r="I262" s="39">
        <f>IF($B262="","",($H262+$G262)-$F262)</f>
        <v/>
      </c>
      <c r="J262" s="31">
        <f>IF(OR($B262="",$F262=0),"",$I262/$F262)</f>
        <v/>
      </c>
      <c r="K262" s="31">
        <f>IF(OR($B262="",$H262=0),"",SUMPRODUCT((Investments!$B$6:$B$1005=$B262)*Investments!$L$6:$L$1005*Investments!$O$6:$O$1005)/$H262)</f>
        <v/>
      </c>
      <c r="L262" s="31">
        <f>IF(OR($B262="",$C$12=0),"",$H262/$C$12)</f>
        <v/>
      </c>
    </row>
    <row r="263">
      <c r="B263" s="22">
        <f>IF(Lists!$A34="","",Lists!$A34)</f>
        <v/>
      </c>
      <c r="C263" s="48">
        <f>IF($B263="","",COUNTIFS(Investments!$B$6:$B$1005,$B263))</f>
        <v/>
      </c>
      <c r="D263" s="49">
        <f>IF($B263="","",SUMIFS(Investments!$F$6:$F$1005,Investments!$B$6:$B$1005,$B263))</f>
        <v/>
      </c>
      <c r="E263" s="49">
        <f>IF($B263="","",SUMIFS(Investments!$G$6:$G$1005,Investments!$B$6:$B$1005,$B263))</f>
        <v/>
      </c>
      <c r="F263" s="49">
        <f>IF($B263="","",SUMIFS(Investments!$Q$6:$Q$1005,Investments!$B$6:$B$1005,$B263))</f>
        <v/>
      </c>
      <c r="G263" s="49">
        <f>IF($B263="","",SUMIFS(Investments!$I$6:$I$1005,Investments!$B$6:$B$1005,$B263)+SUMIFS(Investments!$J$6:$J$1005,Investments!$B$6:$B$1005,$B263)+SUMIFS(Investments!$K$6:$K$1005,Investments!$B$6:$B$1005,$B263))</f>
        <v/>
      </c>
      <c r="H263" s="49">
        <f>IF($B263="","",SUMIFS(Investments!$L$6:$L$1005,Investments!$B$6:$B$1005,$B263))</f>
        <v/>
      </c>
      <c r="I263" s="49">
        <f>IF($B263="","",($H263+$G263)-$F263)</f>
        <v/>
      </c>
      <c r="J263" s="26">
        <f>IF(OR($B263="",$F263=0),"",$I263/$F263)</f>
        <v/>
      </c>
      <c r="K263" s="26">
        <f>IF(OR($B263="",$H263=0),"",SUMPRODUCT((Investments!$B$6:$B$1005=$B263)*Investments!$L$6:$L$1005*Investments!$O$6:$O$1005)/$H263)</f>
        <v/>
      </c>
      <c r="L263" s="26">
        <f>IF(OR($B263="",$C$12=0),"",$H263/$C$12)</f>
        <v/>
      </c>
    </row>
    <row r="264">
      <c r="B264" s="27">
        <f>IF(Lists!$A35="","",Lists!$A35)</f>
        <v/>
      </c>
      <c r="C264" s="50">
        <f>IF($B264="","",COUNTIFS(Investments!$B$6:$B$1005,$B264))</f>
        <v/>
      </c>
      <c r="D264" s="39">
        <f>IF($B264="","",SUMIFS(Investments!$F$6:$F$1005,Investments!$B$6:$B$1005,$B264))</f>
        <v/>
      </c>
      <c r="E264" s="39">
        <f>IF($B264="","",SUMIFS(Investments!$G$6:$G$1005,Investments!$B$6:$B$1005,$B264))</f>
        <v/>
      </c>
      <c r="F264" s="39">
        <f>IF($B264="","",SUMIFS(Investments!$Q$6:$Q$1005,Investments!$B$6:$B$1005,$B264))</f>
        <v/>
      </c>
      <c r="G264" s="39">
        <f>IF($B264="","",SUMIFS(Investments!$I$6:$I$1005,Investments!$B$6:$B$1005,$B264)+SUMIFS(Investments!$J$6:$J$1005,Investments!$B$6:$B$1005,$B264)+SUMIFS(Investments!$K$6:$K$1005,Investments!$B$6:$B$1005,$B264))</f>
        <v/>
      </c>
      <c r="H264" s="39">
        <f>IF($B264="","",SUMIFS(Investments!$L$6:$L$1005,Investments!$B$6:$B$1005,$B264))</f>
        <v/>
      </c>
      <c r="I264" s="39">
        <f>IF($B264="","",($H264+$G264)-$F264)</f>
        <v/>
      </c>
      <c r="J264" s="31">
        <f>IF(OR($B264="",$F264=0),"",$I264/$F264)</f>
        <v/>
      </c>
      <c r="K264" s="31">
        <f>IF(OR($B264="",$H264=0),"",SUMPRODUCT((Investments!$B$6:$B$1005=$B264)*Investments!$L$6:$L$1005*Investments!$O$6:$O$1005)/$H264)</f>
        <v/>
      </c>
      <c r="L264" s="31">
        <f>IF(OR($B264="",$C$12=0),"",$H264/$C$12)</f>
        <v/>
      </c>
    </row>
    <row r="265">
      <c r="B265" s="22">
        <f>IF(Lists!$A36="","",Lists!$A36)</f>
        <v/>
      </c>
      <c r="C265" s="48">
        <f>IF($B265="","",COUNTIFS(Investments!$B$6:$B$1005,$B265))</f>
        <v/>
      </c>
      <c r="D265" s="49">
        <f>IF($B265="","",SUMIFS(Investments!$F$6:$F$1005,Investments!$B$6:$B$1005,$B265))</f>
        <v/>
      </c>
      <c r="E265" s="49">
        <f>IF($B265="","",SUMIFS(Investments!$G$6:$G$1005,Investments!$B$6:$B$1005,$B265))</f>
        <v/>
      </c>
      <c r="F265" s="49">
        <f>IF($B265="","",SUMIFS(Investments!$Q$6:$Q$1005,Investments!$B$6:$B$1005,$B265))</f>
        <v/>
      </c>
      <c r="G265" s="49">
        <f>IF($B265="","",SUMIFS(Investments!$I$6:$I$1005,Investments!$B$6:$B$1005,$B265)+SUMIFS(Investments!$J$6:$J$1005,Investments!$B$6:$B$1005,$B265)+SUMIFS(Investments!$K$6:$K$1005,Investments!$B$6:$B$1005,$B265))</f>
        <v/>
      </c>
      <c r="H265" s="49">
        <f>IF($B265="","",SUMIFS(Investments!$L$6:$L$1005,Investments!$B$6:$B$1005,$B265))</f>
        <v/>
      </c>
      <c r="I265" s="49">
        <f>IF($B265="","",($H265+$G265)-$F265)</f>
        <v/>
      </c>
      <c r="J265" s="26">
        <f>IF(OR($B265="",$F265=0),"",$I265/$F265)</f>
        <v/>
      </c>
      <c r="K265" s="26">
        <f>IF(OR($B265="",$H265=0),"",SUMPRODUCT((Investments!$B$6:$B$1005=$B265)*Investments!$L$6:$L$1005*Investments!$O$6:$O$1005)/$H265)</f>
        <v/>
      </c>
      <c r="L265" s="26">
        <f>IF(OR($B265="",$C$12=0),"",$H265/$C$12)</f>
        <v/>
      </c>
    </row>
    <row r="266">
      <c r="B266" s="51" t="inlineStr">
        <is>
          <t>TOTAL</t>
        </is>
      </c>
      <c r="C266" s="52">
        <f>SUM($C$231:$C$265)</f>
        <v/>
      </c>
      <c r="D266" s="53">
        <f>SUM($D$231:$D$265)</f>
        <v/>
      </c>
      <c r="E266" s="53">
        <f>SUM($E$231:$E$265)</f>
        <v/>
      </c>
      <c r="F266" s="53">
        <f>SUM($F$231:$F$265)</f>
        <v/>
      </c>
      <c r="G266" s="53">
        <f>SUM($G$231:$G$265)</f>
        <v/>
      </c>
      <c r="H266" s="53">
        <f>SUM($H$231:$H$265)</f>
        <v/>
      </c>
      <c r="I266" s="53">
        <f>($H$266+$G$266)-$F$266</f>
        <v/>
      </c>
      <c r="J266" s="54">
        <f>IF($F$266=0,"",$I$266/$F$266)</f>
        <v/>
      </c>
      <c r="K266" s="54">
        <f>IF($H$266=0,"",SUMPRODUCT(Investments!$L$6:$L$1005,Investments!$O$6:$O$1005)/$H$266)</f>
        <v/>
      </c>
      <c r="L266" s="54">
        <f>IF($C$12=0,"",$H$266/$C$12)</f>
        <v/>
      </c>
    </row>
    <row r="268">
      <c r="B268" s="32" t="inlineStr">
        <is>
          <t>Gain / Loss = (Cur. Value + Withdrawn) - Total Invested   |   Abs. Rtn. = Gain / Loss ÷ Total Invested   |   Wtd. XIRR is a current-value-weighted average of the scheme XIRRs (indicative).</t>
        </is>
      </c>
    </row>
    <row r="269">
      <c r="B269" s="32" t="inlineStr">
        <is>
          <t>Client rows follow the Clients sheet order; asset class and category rows follow the Lists sheet order.</t>
        </is>
      </c>
    </row>
  </sheetData>
  <mergeCells count="18">
    <mergeCell ref="B4:L4"/>
    <mergeCell ref="A2:L2"/>
    <mergeCell ref="C12:D12"/>
    <mergeCell ref="C6:D6"/>
    <mergeCell ref="C7:D7"/>
    <mergeCell ref="C10:D10"/>
    <mergeCell ref="C16:D16"/>
    <mergeCell ref="C15:D15"/>
    <mergeCell ref="C11:D11"/>
    <mergeCell ref="A1:L1"/>
    <mergeCell ref="C5:D5"/>
    <mergeCell ref="C14:D14"/>
    <mergeCell ref="C13:D13"/>
    <mergeCell ref="C9:D9"/>
    <mergeCell ref="B229:L229"/>
    <mergeCell ref="B221:L221"/>
    <mergeCell ref="B17:L17"/>
    <mergeCell ref="C8:D8"/>
  </mergeCells>
  <conditionalFormatting sqref="I19:I2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J19:J2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K19:K2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I223:I226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J223:J226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K223:K226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I231:I265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J231:J265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K231:K265">
    <cfRule type="cellIs" priority="17" operator="lessThan" dxfId="0">
      <formula>0</formula>
    </cfRule>
    <cfRule type="cellIs" priority="18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4"/>
  <sheetViews>
    <sheetView showGridLines="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16" customWidth="1" min="4" max="4"/>
    <col width="14" customWidth="1" min="5" max="5"/>
    <col width="17" customWidth="1" min="6" max="6"/>
    <col width="17" customWidth="1" min="7" max="7"/>
    <col width="17" customWidth="1" min="8" max="8"/>
    <col width="17" customWidth="1" min="9" max="9"/>
    <col width="11" customWidth="1" min="10" max="10"/>
    <col width="11" customWidth="1" min="11" max="11"/>
  </cols>
  <sheetData>
    <row r="1" ht="26" customHeight="1">
      <c r="A1" s="1" t="inlineStr">
        <is>
          <t>CLIENT PROFIT &amp; LOSS REVIEW</t>
        </is>
      </c>
    </row>
    <row r="2" ht="16" customHeight="1">
      <c r="A2" s="2" t="inlineStr">
        <is>
          <t>Pick a client below - the header, summary and scheme list fill in from the Clients and Investments sheets.</t>
        </is>
      </c>
    </row>
    <row r="4" ht="22" customHeight="1">
      <c r="B4" s="42" t="inlineStr">
        <is>
          <t>Select Client</t>
        </is>
      </c>
      <c r="C4" s="55" t="inlineStr">
        <is>
          <t>Sample Client (EXAMPLE)</t>
        </is>
      </c>
    </row>
    <row r="6">
      <c r="B6" s="15" t="inlineStr">
        <is>
          <t>Client Code</t>
        </is>
      </c>
      <c r="C6" s="56">
        <f>IF($C$4="","",IFERROR(IF(INDEX(Clients!$A$4:$A$203,MATCH($C$4,Clients!$B$4:$B$203,0))="","",INDEX(Clients!$A$4:$A$203,MATCH($C$4,Clients!$B$4:$B$203,0))),""))</f>
        <v/>
      </c>
      <c r="E6" s="15" t="inlineStr">
        <is>
          <t>Firm Name</t>
        </is>
      </c>
      <c r="F6" s="16" t="inlineStr">
        <is>
          <t>OPULENCIA CAPITAL PRIVATE LIMITED</t>
        </is>
      </c>
      <c r="G6" s="44" t="n"/>
      <c r="H6" s="44" t="n"/>
      <c r="I6" s="44" t="n"/>
      <c r="J6" s="44" t="n"/>
      <c r="K6" s="44" t="n"/>
    </row>
    <row r="7">
      <c r="B7" s="15" t="inlineStr">
        <is>
          <t>PAN</t>
        </is>
      </c>
      <c r="C7" s="56">
        <f>IF($C$4="","",IFERROR(IF(INDEX(Clients!$C$4:$C$203,MATCH($C$4,Clients!$B$4:$B$203,0))="","",INDEX(Clients!$C$4:$C$203,MATCH($C$4,Clients!$B$4:$B$203,0))),""))</f>
        <v/>
      </c>
      <c r="E7" s="15" t="inlineStr">
        <is>
          <t>Registration</t>
        </is>
      </c>
      <c r="F7" s="16" t="inlineStr">
        <is>
          <t>AMFI-Registered Mutual Fund Distributor</t>
        </is>
      </c>
      <c r="G7" s="44" t="n"/>
      <c r="H7" s="44" t="n"/>
      <c r="I7" s="44" t="n"/>
      <c r="J7" s="44" t="n"/>
      <c r="K7" s="44" t="n"/>
    </row>
    <row r="8">
      <c r="B8" s="15" t="inlineStr">
        <is>
          <t>Rep By / Family Head</t>
        </is>
      </c>
      <c r="C8" s="56">
        <f>IF($C$4="","",IFERROR(IF(INDEX(Clients!$D$4:$D$203,MATCH($C$4,Clients!$B$4:$B$203,0))="","",INDEX(Clients!$D$4:$D$203,MATCH($C$4,Clients!$B$4:$B$203,0))),""))</f>
        <v/>
      </c>
      <c r="E8" s="15" t="inlineStr">
        <is>
          <t>Office Address</t>
        </is>
      </c>
      <c r="F8" s="16" t="inlineStr">
        <is>
          <t>Flat No. 501, 5th Floor, Piyusha Society, Law College Road, Erandwane, Pune - 411004</t>
        </is>
      </c>
      <c r="G8" s="44" t="n"/>
      <c r="H8" s="44" t="n"/>
      <c r="I8" s="44" t="n"/>
      <c r="J8" s="44" t="n"/>
      <c r="K8" s="44" t="n"/>
    </row>
    <row r="9">
      <c r="B9" s="15" t="inlineStr">
        <is>
          <t>Mobile No.</t>
        </is>
      </c>
      <c r="C9" s="56">
        <f>IF($C$4="","",IFERROR(IF(INDEX(Clients!$F$4:$F$203,MATCH($C$4,Clients!$B$4:$B$203,0))="","",INDEX(Clients!$F$4:$F$203,MATCH($C$4,Clients!$B$4:$B$203,0))),""))</f>
        <v/>
      </c>
      <c r="E9" s="15" t="inlineStr">
        <is>
          <t>Tel. No.</t>
        </is>
      </c>
      <c r="F9" s="16" t="n"/>
      <c r="G9" s="44" t="n"/>
      <c r="H9" s="44" t="n"/>
      <c r="I9" s="44" t="n"/>
      <c r="J9" s="44" t="n"/>
      <c r="K9" s="44" t="n"/>
    </row>
    <row r="10">
      <c r="B10" s="15" t="inlineStr">
        <is>
          <t>Email</t>
        </is>
      </c>
      <c r="C10" s="56">
        <f>IF($C$4="","",IFERROR(IF(INDEX(Clients!$G$4:$G$203,MATCH($C$4,Clients!$B$4:$B$203,0))="","",INDEX(Clients!$G$4:$G$203,MATCH($C$4,Clients!$B$4:$B$203,0))),""))</f>
        <v/>
      </c>
      <c r="E10" s="15" t="inlineStr">
        <is>
          <t>Email</t>
        </is>
      </c>
      <c r="F10" s="16" t="n"/>
      <c r="G10" s="44" t="n"/>
      <c r="H10" s="44" t="n"/>
      <c r="I10" s="44" t="n"/>
      <c r="J10" s="44" t="n"/>
      <c r="K10" s="44" t="n"/>
    </row>
    <row r="11">
      <c r="B11" s="15" t="inlineStr">
        <is>
          <t>DOB</t>
        </is>
      </c>
      <c r="C11" s="57">
        <f>IF($C$4="","",IFERROR(IF(INDEX(Clients!$H$4:$H$203,MATCH($C$4,Clients!$B$4:$B$203,0))="","",INDEX(Clients!$H$4:$H$203,MATCH($C$4,Clients!$B$4:$B$203,0))),""))</f>
        <v/>
      </c>
      <c r="E11" s="15" t="inlineStr">
        <is>
          <t>Website</t>
        </is>
      </c>
      <c r="F11" s="16" t="n"/>
      <c r="G11" s="44" t="n"/>
      <c r="H11" s="44" t="n"/>
      <c r="I11" s="44" t="n"/>
      <c r="J11" s="44" t="n"/>
      <c r="K11" s="44" t="n"/>
    </row>
    <row r="12">
      <c r="B12" s="15" t="inlineStr">
        <is>
          <t>Address</t>
        </is>
      </c>
      <c r="C12" s="56">
        <f>IF($C$4="","",IFERROR(IF(INDEX(Clients!$I$4:$I$203,MATCH($C$4,Clients!$B$4:$B$203,0))="","",INDEX(Clients!$I$4:$I$203,MATCH($C$4,Clients!$B$4:$B$203,0))),""))</f>
        <v/>
      </c>
      <c r="E12" s="32" t="inlineStr">
        <is>
          <t>Firm block - type your own details once; they stay put when the client changes.</t>
        </is>
      </c>
    </row>
    <row r="13">
      <c r="B13" s="15" t="inlineStr">
        <is>
          <t>Advisor / RM</t>
        </is>
      </c>
      <c r="C13" s="56">
        <f>IF($C$4="","",IFERROR(IF(INDEX(Clients!$J$4:$J$203,MATCH($C$4,Clients!$B$4:$B$203,0))="","",INDEX(Clients!$J$4:$J$203,MATCH($C$4,Clients!$B$4:$B$203,0))),""))</f>
        <v/>
      </c>
    </row>
    <row r="15">
      <c r="A15" s="42" t="inlineStr">
        <is>
          <t>SUMMARY FOR SELECTED CLIENT</t>
        </is>
      </c>
    </row>
    <row r="16" ht="30" customHeight="1">
      <c r="B16" s="8" t="inlineStr">
        <is>
          <t>Schemes</t>
        </is>
      </c>
      <c r="C16" s="8" t="inlineStr">
        <is>
          <t>Purchase</t>
        </is>
      </c>
      <c r="D16" s="8" t="inlineStr">
        <is>
          <t>Switch In</t>
        </is>
      </c>
      <c r="E16" s="8" t="inlineStr">
        <is>
          <t>Total Invested</t>
        </is>
      </c>
      <c r="F16" s="8" t="inlineStr">
        <is>
          <t>Withdrawn</t>
        </is>
      </c>
      <c r="G16" s="8" t="inlineStr">
        <is>
          <t>Cur. Value</t>
        </is>
      </c>
      <c r="H16" s="8" t="inlineStr">
        <is>
          <t>Gain / Loss</t>
        </is>
      </c>
      <c r="I16" s="8" t="inlineStr">
        <is>
          <t>Abs. Rtn.</t>
        </is>
      </c>
      <c r="J16" s="8" t="inlineStr">
        <is>
          <t>Wtd. XIRR</t>
        </is>
      </c>
    </row>
    <row r="17">
      <c r="B17" s="43">
        <f>IF($C$4="","",COUNTIFS(Investments!$A$6:$A$1005,$C$4))</f>
        <v/>
      </c>
      <c r="C17" s="45">
        <f>IF($C$4="","",SUMIFS(Investments!$F$6:$F$1005,Investments!$A$6:$A$1005,$C$4))</f>
        <v/>
      </c>
      <c r="D17" s="45">
        <f>IF($C$4="","",SUMIFS(Investments!$G$6:$G$1005,Investments!$A$6:$A$1005,$C$4))</f>
        <v/>
      </c>
      <c r="E17" s="45">
        <f>IF($C$4="","",SUMIFS(Investments!$Q$6:$Q$1005,Investments!$A$6:$A$1005,$C$4))</f>
        <v/>
      </c>
      <c r="F17" s="45">
        <f>IF($C$4="","",SUMIFS(Investments!$I$6:$I$1005,Investments!$A$6:$A$1005,$C$4)+SUMIFS(Investments!$J$6:$J$1005,Investments!$A$6:$A$1005,$C$4)+SUMIFS(Investments!$K$6:$K$1005,Investments!$A$6:$A$1005,$C$4))</f>
        <v/>
      </c>
      <c r="G17" s="45">
        <f>IF($C$4="","",SUMIFS(Investments!$L$6:$L$1005,Investments!$A$6:$A$1005,$C$4))</f>
        <v/>
      </c>
      <c r="H17" s="45">
        <f>IF($C$4="","",($G$17+$F$17)-$E$17)</f>
        <v/>
      </c>
      <c r="I17" s="46">
        <f>IF(OR($C$4="",$E$17=0),"",$H$17/$E$17)</f>
        <v/>
      </c>
      <c r="J17" s="46">
        <f>IF(OR($C$4="",$G$17=0),"",SUMPRODUCT((Investments!$A$6:$A$1005=$C$4)*Investments!$L$6:$L$1005*Investments!$O$6:$O$1005)/$G$17)</f>
        <v/>
      </c>
    </row>
    <row r="19">
      <c r="A19" s="42" t="inlineStr">
        <is>
          <t>SCHEME-WISE DETAIL</t>
        </is>
      </c>
    </row>
    <row r="21" ht="30" customHeight="1">
      <c r="A21" s="8" t="inlineStr">
        <is>
          <t>Sr.</t>
        </is>
      </c>
      <c r="B21" s="8" t="inlineStr">
        <is>
          <t>Category</t>
        </is>
      </c>
      <c r="C21" s="8" t="inlineStr">
        <is>
          <t>Scheme Name</t>
        </is>
      </c>
      <c r="D21" s="8" t="inlineStr">
        <is>
          <t>Folio No.</t>
        </is>
      </c>
      <c r="E21" s="8" t="inlineStr">
        <is>
          <t>Inv. Since</t>
        </is>
      </c>
      <c r="F21" s="8" t="inlineStr">
        <is>
          <t>Total Invested</t>
        </is>
      </c>
      <c r="G21" s="8" t="inlineStr">
        <is>
          <t>Withdrawn</t>
        </is>
      </c>
      <c r="H21" s="8" t="inlineStr">
        <is>
          <t>Cur. Value</t>
        </is>
      </c>
      <c r="I21" s="8" t="inlineStr">
        <is>
          <t>Gain / Loss</t>
        </is>
      </c>
      <c r="J21" s="8" t="inlineStr">
        <is>
          <t>Abs. Rtn.</t>
        </is>
      </c>
      <c r="K21" s="8" t="inlineStr">
        <is>
          <t>XIRR</t>
        </is>
      </c>
    </row>
    <row r="22">
      <c r="A22" s="58">
        <f>IF($C$4="","",IF(1&gt;COUNTIFS(Investments!$A$6:$A$1005,$C$4),"",1))</f>
        <v/>
      </c>
      <c r="B22" s="22">
        <f>IF($A22="","",IFERROR(IF(INDEX(Investments!$B$6:$B$1005,MATCH($A22,Investments!$V$6:$V$1005,0))="","",INDEX(Investments!$B$6:$B$1005,MATCH($A22,Investments!$V$6:$V$1005,0))),""))</f>
        <v/>
      </c>
      <c r="C22" s="22">
        <f>IF($A22="","",IFERROR(IF(INDEX(Investments!$C$6:$C$1005,MATCH($A22,Investments!$V$6:$V$1005,0))="","",INDEX(Investments!$C$6:$C$1005,MATCH($A22,Investments!$V$6:$V$1005,0))),""))</f>
        <v/>
      </c>
      <c r="D22" s="22">
        <f>IF($A22="","",IFERROR(IF(INDEX(Investments!$D$6:$D$1005,MATCH($A22,Investments!$V$6:$V$1005,0))="","",INDEX(Investments!$D$6:$D$1005,MATCH($A22,Investments!$V$6:$V$1005,0))),""))</f>
        <v/>
      </c>
      <c r="E22" s="23">
        <f>IF($A22="","",IFERROR(IF(INDEX(Investments!$E$6:$E$1005,MATCH($A22,Investments!$V$6:$V$1005,0))="","",INDEX(Investments!$E$6:$E$1005,MATCH($A22,Investments!$V$6:$V$1005,0))),""))</f>
        <v/>
      </c>
      <c r="F22" s="49">
        <f>IF($A22="","",IFERROR(IF(INDEX(Investments!$Q$6:$Q$1005,MATCH($A22,Investments!$V$6:$V$1005,0))="","",INDEX(Investments!$Q$6:$Q$1005,MATCH($A22,Investments!$V$6:$V$1005,0))),""))</f>
        <v/>
      </c>
      <c r="G22" s="49">
        <f>IF($A22="","",IFERROR(IF(INDEX(Investments!$R$6:$R$1005,MATCH($A22,Investments!$V$6:$V$1005,0))="","",INDEX(Investments!$R$6:$R$1005,MATCH($A22,Investments!$V$6:$V$1005,0))),""))</f>
        <v/>
      </c>
      <c r="H22" s="49">
        <f>IF($A22="","",IFERROR(IF(INDEX(Investments!$L$6:$L$1005,MATCH($A22,Investments!$V$6:$V$1005,0))="","",INDEX(Investments!$L$6:$L$1005,MATCH($A22,Investments!$V$6:$V$1005,0))),""))</f>
        <v/>
      </c>
      <c r="I22" s="49">
        <f>IF($A22="","",IFERROR(IF(INDEX(Investments!$S$6:$S$1005,MATCH($A22,Investments!$V$6:$V$1005,0))="","",INDEX(Investments!$S$6:$S$1005,MATCH($A22,Investments!$V$6:$V$1005,0))),""))</f>
        <v/>
      </c>
      <c r="J22" s="26">
        <f>IF($A22="","",IFERROR(IF(INDEX(Investments!$T$6:$T$1005,MATCH($A22,Investments!$V$6:$V$1005,0))="","",INDEX(Investments!$T$6:$T$1005,MATCH($A22,Investments!$V$6:$V$1005,0))),""))</f>
        <v/>
      </c>
      <c r="K22" s="26">
        <f>IF($A22="","",IFERROR(IF(INDEX(Investments!$O$6:$O$1005,MATCH($A22,Investments!$V$6:$V$1005,0))="","",INDEX(Investments!$O$6:$O$1005,MATCH($A22,Investments!$V$6:$V$1005,0))),""))</f>
        <v/>
      </c>
    </row>
    <row r="23">
      <c r="A23" s="59">
        <f>IF($C$4="","",IF(2&gt;COUNTIFS(Investments!$A$6:$A$1005,$C$4),"",2))</f>
        <v/>
      </c>
      <c r="B23" s="27">
        <f>IF($A23="","",IFERROR(IF(INDEX(Investments!$B$6:$B$1005,MATCH($A23,Investments!$V$6:$V$1005,0))="","",INDEX(Investments!$B$6:$B$1005,MATCH($A23,Investments!$V$6:$V$1005,0))),""))</f>
        <v/>
      </c>
      <c r="C23" s="27">
        <f>IF($A23="","",IFERROR(IF(INDEX(Investments!$C$6:$C$1005,MATCH($A23,Investments!$V$6:$V$1005,0))="","",INDEX(Investments!$C$6:$C$1005,MATCH($A23,Investments!$V$6:$V$1005,0))),""))</f>
        <v/>
      </c>
      <c r="D23" s="27">
        <f>IF($A23="","",IFERROR(IF(INDEX(Investments!$D$6:$D$1005,MATCH($A23,Investments!$V$6:$V$1005,0))="","",INDEX(Investments!$D$6:$D$1005,MATCH($A23,Investments!$V$6:$V$1005,0))),""))</f>
        <v/>
      </c>
      <c r="E23" s="28">
        <f>IF($A23="","",IFERROR(IF(INDEX(Investments!$E$6:$E$1005,MATCH($A23,Investments!$V$6:$V$1005,0))="","",INDEX(Investments!$E$6:$E$1005,MATCH($A23,Investments!$V$6:$V$1005,0))),""))</f>
        <v/>
      </c>
      <c r="F23" s="39">
        <f>IF($A23="","",IFERROR(IF(INDEX(Investments!$Q$6:$Q$1005,MATCH($A23,Investments!$V$6:$V$1005,0))="","",INDEX(Investments!$Q$6:$Q$1005,MATCH($A23,Investments!$V$6:$V$1005,0))),""))</f>
        <v/>
      </c>
      <c r="G23" s="39">
        <f>IF($A23="","",IFERROR(IF(INDEX(Investments!$R$6:$R$1005,MATCH($A23,Investments!$V$6:$V$1005,0))="","",INDEX(Investments!$R$6:$R$1005,MATCH($A23,Investments!$V$6:$V$1005,0))),""))</f>
        <v/>
      </c>
      <c r="H23" s="39">
        <f>IF($A23="","",IFERROR(IF(INDEX(Investments!$L$6:$L$1005,MATCH($A23,Investments!$V$6:$V$1005,0))="","",INDEX(Investments!$L$6:$L$1005,MATCH($A23,Investments!$V$6:$V$1005,0))),""))</f>
        <v/>
      </c>
      <c r="I23" s="39">
        <f>IF($A23="","",IFERROR(IF(INDEX(Investments!$S$6:$S$1005,MATCH($A23,Investments!$V$6:$V$1005,0))="","",INDEX(Investments!$S$6:$S$1005,MATCH($A23,Investments!$V$6:$V$1005,0))),""))</f>
        <v/>
      </c>
      <c r="J23" s="31">
        <f>IF($A23="","",IFERROR(IF(INDEX(Investments!$T$6:$T$1005,MATCH($A23,Investments!$V$6:$V$1005,0))="","",INDEX(Investments!$T$6:$T$1005,MATCH($A23,Investments!$V$6:$V$1005,0))),""))</f>
        <v/>
      </c>
      <c r="K23" s="31">
        <f>IF($A23="","",IFERROR(IF(INDEX(Investments!$O$6:$O$1005,MATCH($A23,Investments!$V$6:$V$1005,0))="","",INDEX(Investments!$O$6:$O$1005,MATCH($A23,Investments!$V$6:$V$1005,0))),""))</f>
        <v/>
      </c>
    </row>
    <row r="24">
      <c r="A24" s="58">
        <f>IF($C$4="","",IF(3&gt;COUNTIFS(Investments!$A$6:$A$1005,$C$4),"",3))</f>
        <v/>
      </c>
      <c r="B24" s="22">
        <f>IF($A24="","",IFERROR(IF(INDEX(Investments!$B$6:$B$1005,MATCH($A24,Investments!$V$6:$V$1005,0))="","",INDEX(Investments!$B$6:$B$1005,MATCH($A24,Investments!$V$6:$V$1005,0))),""))</f>
        <v/>
      </c>
      <c r="C24" s="22">
        <f>IF($A24="","",IFERROR(IF(INDEX(Investments!$C$6:$C$1005,MATCH($A24,Investments!$V$6:$V$1005,0))="","",INDEX(Investments!$C$6:$C$1005,MATCH($A24,Investments!$V$6:$V$1005,0))),""))</f>
        <v/>
      </c>
      <c r="D24" s="22">
        <f>IF($A24="","",IFERROR(IF(INDEX(Investments!$D$6:$D$1005,MATCH($A24,Investments!$V$6:$V$1005,0))="","",INDEX(Investments!$D$6:$D$1005,MATCH($A24,Investments!$V$6:$V$1005,0))),""))</f>
        <v/>
      </c>
      <c r="E24" s="23">
        <f>IF($A24="","",IFERROR(IF(INDEX(Investments!$E$6:$E$1005,MATCH($A24,Investments!$V$6:$V$1005,0))="","",INDEX(Investments!$E$6:$E$1005,MATCH($A24,Investments!$V$6:$V$1005,0))),""))</f>
        <v/>
      </c>
      <c r="F24" s="49">
        <f>IF($A24="","",IFERROR(IF(INDEX(Investments!$Q$6:$Q$1005,MATCH($A24,Investments!$V$6:$V$1005,0))="","",INDEX(Investments!$Q$6:$Q$1005,MATCH($A24,Investments!$V$6:$V$1005,0))),""))</f>
        <v/>
      </c>
      <c r="G24" s="49">
        <f>IF($A24="","",IFERROR(IF(INDEX(Investments!$R$6:$R$1005,MATCH($A24,Investments!$V$6:$V$1005,0))="","",INDEX(Investments!$R$6:$R$1005,MATCH($A24,Investments!$V$6:$V$1005,0))),""))</f>
        <v/>
      </c>
      <c r="H24" s="49">
        <f>IF($A24="","",IFERROR(IF(INDEX(Investments!$L$6:$L$1005,MATCH($A24,Investments!$V$6:$V$1005,0))="","",INDEX(Investments!$L$6:$L$1005,MATCH($A24,Investments!$V$6:$V$1005,0))),""))</f>
        <v/>
      </c>
      <c r="I24" s="49">
        <f>IF($A24="","",IFERROR(IF(INDEX(Investments!$S$6:$S$1005,MATCH($A24,Investments!$V$6:$V$1005,0))="","",INDEX(Investments!$S$6:$S$1005,MATCH($A24,Investments!$V$6:$V$1005,0))),""))</f>
        <v/>
      </c>
      <c r="J24" s="26">
        <f>IF($A24="","",IFERROR(IF(INDEX(Investments!$T$6:$T$1005,MATCH($A24,Investments!$V$6:$V$1005,0))="","",INDEX(Investments!$T$6:$T$1005,MATCH($A24,Investments!$V$6:$V$1005,0))),""))</f>
        <v/>
      </c>
      <c r="K24" s="26">
        <f>IF($A24="","",IFERROR(IF(INDEX(Investments!$O$6:$O$1005,MATCH($A24,Investments!$V$6:$V$1005,0))="","",INDEX(Investments!$O$6:$O$1005,MATCH($A24,Investments!$V$6:$V$1005,0))),""))</f>
        <v/>
      </c>
    </row>
    <row r="25">
      <c r="A25" s="59">
        <f>IF($C$4="","",IF(4&gt;COUNTIFS(Investments!$A$6:$A$1005,$C$4),"",4))</f>
        <v/>
      </c>
      <c r="B25" s="27">
        <f>IF($A25="","",IFERROR(IF(INDEX(Investments!$B$6:$B$1005,MATCH($A25,Investments!$V$6:$V$1005,0))="","",INDEX(Investments!$B$6:$B$1005,MATCH($A25,Investments!$V$6:$V$1005,0))),""))</f>
        <v/>
      </c>
      <c r="C25" s="27">
        <f>IF($A25="","",IFERROR(IF(INDEX(Investments!$C$6:$C$1005,MATCH($A25,Investments!$V$6:$V$1005,0))="","",INDEX(Investments!$C$6:$C$1005,MATCH($A25,Investments!$V$6:$V$1005,0))),""))</f>
        <v/>
      </c>
      <c r="D25" s="27">
        <f>IF($A25="","",IFERROR(IF(INDEX(Investments!$D$6:$D$1005,MATCH($A25,Investments!$V$6:$V$1005,0))="","",INDEX(Investments!$D$6:$D$1005,MATCH($A25,Investments!$V$6:$V$1005,0))),""))</f>
        <v/>
      </c>
      <c r="E25" s="28">
        <f>IF($A25="","",IFERROR(IF(INDEX(Investments!$E$6:$E$1005,MATCH($A25,Investments!$V$6:$V$1005,0))="","",INDEX(Investments!$E$6:$E$1005,MATCH($A25,Investments!$V$6:$V$1005,0))),""))</f>
        <v/>
      </c>
      <c r="F25" s="39">
        <f>IF($A25="","",IFERROR(IF(INDEX(Investments!$Q$6:$Q$1005,MATCH($A25,Investments!$V$6:$V$1005,0))="","",INDEX(Investments!$Q$6:$Q$1005,MATCH($A25,Investments!$V$6:$V$1005,0))),""))</f>
        <v/>
      </c>
      <c r="G25" s="39">
        <f>IF($A25="","",IFERROR(IF(INDEX(Investments!$R$6:$R$1005,MATCH($A25,Investments!$V$6:$V$1005,0))="","",INDEX(Investments!$R$6:$R$1005,MATCH($A25,Investments!$V$6:$V$1005,0))),""))</f>
        <v/>
      </c>
      <c r="H25" s="39">
        <f>IF($A25="","",IFERROR(IF(INDEX(Investments!$L$6:$L$1005,MATCH($A25,Investments!$V$6:$V$1005,0))="","",INDEX(Investments!$L$6:$L$1005,MATCH($A25,Investments!$V$6:$V$1005,0))),""))</f>
        <v/>
      </c>
      <c r="I25" s="39">
        <f>IF($A25="","",IFERROR(IF(INDEX(Investments!$S$6:$S$1005,MATCH($A25,Investments!$V$6:$V$1005,0))="","",INDEX(Investments!$S$6:$S$1005,MATCH($A25,Investments!$V$6:$V$1005,0))),""))</f>
        <v/>
      </c>
      <c r="J25" s="31">
        <f>IF($A25="","",IFERROR(IF(INDEX(Investments!$T$6:$T$1005,MATCH($A25,Investments!$V$6:$V$1005,0))="","",INDEX(Investments!$T$6:$T$1005,MATCH($A25,Investments!$V$6:$V$1005,0))),""))</f>
        <v/>
      </c>
      <c r="K25" s="31">
        <f>IF($A25="","",IFERROR(IF(INDEX(Investments!$O$6:$O$1005,MATCH($A25,Investments!$V$6:$V$1005,0))="","",INDEX(Investments!$O$6:$O$1005,MATCH($A25,Investments!$V$6:$V$1005,0))),""))</f>
        <v/>
      </c>
    </row>
    <row r="26">
      <c r="A26" s="58">
        <f>IF($C$4="","",IF(5&gt;COUNTIFS(Investments!$A$6:$A$1005,$C$4),"",5))</f>
        <v/>
      </c>
      <c r="B26" s="22">
        <f>IF($A26="","",IFERROR(IF(INDEX(Investments!$B$6:$B$1005,MATCH($A26,Investments!$V$6:$V$1005,0))="","",INDEX(Investments!$B$6:$B$1005,MATCH($A26,Investments!$V$6:$V$1005,0))),""))</f>
        <v/>
      </c>
      <c r="C26" s="22">
        <f>IF($A26="","",IFERROR(IF(INDEX(Investments!$C$6:$C$1005,MATCH($A26,Investments!$V$6:$V$1005,0))="","",INDEX(Investments!$C$6:$C$1005,MATCH($A26,Investments!$V$6:$V$1005,0))),""))</f>
        <v/>
      </c>
      <c r="D26" s="22">
        <f>IF($A26="","",IFERROR(IF(INDEX(Investments!$D$6:$D$1005,MATCH($A26,Investments!$V$6:$V$1005,0))="","",INDEX(Investments!$D$6:$D$1005,MATCH($A26,Investments!$V$6:$V$1005,0))),""))</f>
        <v/>
      </c>
      <c r="E26" s="23">
        <f>IF($A26="","",IFERROR(IF(INDEX(Investments!$E$6:$E$1005,MATCH($A26,Investments!$V$6:$V$1005,0))="","",INDEX(Investments!$E$6:$E$1005,MATCH($A26,Investments!$V$6:$V$1005,0))),""))</f>
        <v/>
      </c>
      <c r="F26" s="49">
        <f>IF($A26="","",IFERROR(IF(INDEX(Investments!$Q$6:$Q$1005,MATCH($A26,Investments!$V$6:$V$1005,0))="","",INDEX(Investments!$Q$6:$Q$1005,MATCH($A26,Investments!$V$6:$V$1005,0))),""))</f>
        <v/>
      </c>
      <c r="G26" s="49">
        <f>IF($A26="","",IFERROR(IF(INDEX(Investments!$R$6:$R$1005,MATCH($A26,Investments!$V$6:$V$1005,0))="","",INDEX(Investments!$R$6:$R$1005,MATCH($A26,Investments!$V$6:$V$1005,0))),""))</f>
        <v/>
      </c>
      <c r="H26" s="49">
        <f>IF($A26="","",IFERROR(IF(INDEX(Investments!$L$6:$L$1005,MATCH($A26,Investments!$V$6:$V$1005,0))="","",INDEX(Investments!$L$6:$L$1005,MATCH($A26,Investments!$V$6:$V$1005,0))),""))</f>
        <v/>
      </c>
      <c r="I26" s="49">
        <f>IF($A26="","",IFERROR(IF(INDEX(Investments!$S$6:$S$1005,MATCH($A26,Investments!$V$6:$V$1005,0))="","",INDEX(Investments!$S$6:$S$1005,MATCH($A26,Investments!$V$6:$V$1005,0))),""))</f>
        <v/>
      </c>
      <c r="J26" s="26">
        <f>IF($A26="","",IFERROR(IF(INDEX(Investments!$T$6:$T$1005,MATCH($A26,Investments!$V$6:$V$1005,0))="","",INDEX(Investments!$T$6:$T$1005,MATCH($A26,Investments!$V$6:$V$1005,0))),""))</f>
        <v/>
      </c>
      <c r="K26" s="26">
        <f>IF($A26="","",IFERROR(IF(INDEX(Investments!$O$6:$O$1005,MATCH($A26,Investments!$V$6:$V$1005,0))="","",INDEX(Investments!$O$6:$O$1005,MATCH($A26,Investments!$V$6:$V$1005,0))),""))</f>
        <v/>
      </c>
    </row>
    <row r="27">
      <c r="A27" s="59">
        <f>IF($C$4="","",IF(6&gt;COUNTIFS(Investments!$A$6:$A$1005,$C$4),"",6))</f>
        <v/>
      </c>
      <c r="B27" s="27">
        <f>IF($A27="","",IFERROR(IF(INDEX(Investments!$B$6:$B$1005,MATCH($A27,Investments!$V$6:$V$1005,0))="","",INDEX(Investments!$B$6:$B$1005,MATCH($A27,Investments!$V$6:$V$1005,0))),""))</f>
        <v/>
      </c>
      <c r="C27" s="27">
        <f>IF($A27="","",IFERROR(IF(INDEX(Investments!$C$6:$C$1005,MATCH($A27,Investments!$V$6:$V$1005,0))="","",INDEX(Investments!$C$6:$C$1005,MATCH($A27,Investments!$V$6:$V$1005,0))),""))</f>
        <v/>
      </c>
      <c r="D27" s="27">
        <f>IF($A27="","",IFERROR(IF(INDEX(Investments!$D$6:$D$1005,MATCH($A27,Investments!$V$6:$V$1005,0))="","",INDEX(Investments!$D$6:$D$1005,MATCH($A27,Investments!$V$6:$V$1005,0))),""))</f>
        <v/>
      </c>
      <c r="E27" s="28">
        <f>IF($A27="","",IFERROR(IF(INDEX(Investments!$E$6:$E$1005,MATCH($A27,Investments!$V$6:$V$1005,0))="","",INDEX(Investments!$E$6:$E$1005,MATCH($A27,Investments!$V$6:$V$1005,0))),""))</f>
        <v/>
      </c>
      <c r="F27" s="39">
        <f>IF($A27="","",IFERROR(IF(INDEX(Investments!$Q$6:$Q$1005,MATCH($A27,Investments!$V$6:$V$1005,0))="","",INDEX(Investments!$Q$6:$Q$1005,MATCH($A27,Investments!$V$6:$V$1005,0))),""))</f>
        <v/>
      </c>
      <c r="G27" s="39">
        <f>IF($A27="","",IFERROR(IF(INDEX(Investments!$R$6:$R$1005,MATCH($A27,Investments!$V$6:$V$1005,0))="","",INDEX(Investments!$R$6:$R$1005,MATCH($A27,Investments!$V$6:$V$1005,0))),""))</f>
        <v/>
      </c>
      <c r="H27" s="39">
        <f>IF($A27="","",IFERROR(IF(INDEX(Investments!$L$6:$L$1005,MATCH($A27,Investments!$V$6:$V$1005,0))="","",INDEX(Investments!$L$6:$L$1005,MATCH($A27,Investments!$V$6:$V$1005,0))),""))</f>
        <v/>
      </c>
      <c r="I27" s="39">
        <f>IF($A27="","",IFERROR(IF(INDEX(Investments!$S$6:$S$1005,MATCH($A27,Investments!$V$6:$V$1005,0))="","",INDEX(Investments!$S$6:$S$1005,MATCH($A27,Investments!$V$6:$V$1005,0))),""))</f>
        <v/>
      </c>
      <c r="J27" s="31">
        <f>IF($A27="","",IFERROR(IF(INDEX(Investments!$T$6:$T$1005,MATCH($A27,Investments!$V$6:$V$1005,0))="","",INDEX(Investments!$T$6:$T$1005,MATCH($A27,Investments!$V$6:$V$1005,0))),""))</f>
        <v/>
      </c>
      <c r="K27" s="31">
        <f>IF($A27="","",IFERROR(IF(INDEX(Investments!$O$6:$O$1005,MATCH($A27,Investments!$V$6:$V$1005,0))="","",INDEX(Investments!$O$6:$O$1005,MATCH($A27,Investments!$V$6:$V$1005,0))),""))</f>
        <v/>
      </c>
    </row>
    <row r="28">
      <c r="A28" s="58">
        <f>IF($C$4="","",IF(7&gt;COUNTIFS(Investments!$A$6:$A$1005,$C$4),"",7))</f>
        <v/>
      </c>
      <c r="B28" s="22">
        <f>IF($A28="","",IFERROR(IF(INDEX(Investments!$B$6:$B$1005,MATCH($A28,Investments!$V$6:$V$1005,0))="","",INDEX(Investments!$B$6:$B$1005,MATCH($A28,Investments!$V$6:$V$1005,0))),""))</f>
        <v/>
      </c>
      <c r="C28" s="22">
        <f>IF($A28="","",IFERROR(IF(INDEX(Investments!$C$6:$C$1005,MATCH($A28,Investments!$V$6:$V$1005,0))="","",INDEX(Investments!$C$6:$C$1005,MATCH($A28,Investments!$V$6:$V$1005,0))),""))</f>
        <v/>
      </c>
      <c r="D28" s="22">
        <f>IF($A28="","",IFERROR(IF(INDEX(Investments!$D$6:$D$1005,MATCH($A28,Investments!$V$6:$V$1005,0))="","",INDEX(Investments!$D$6:$D$1005,MATCH($A28,Investments!$V$6:$V$1005,0))),""))</f>
        <v/>
      </c>
      <c r="E28" s="23">
        <f>IF($A28="","",IFERROR(IF(INDEX(Investments!$E$6:$E$1005,MATCH($A28,Investments!$V$6:$V$1005,0))="","",INDEX(Investments!$E$6:$E$1005,MATCH($A28,Investments!$V$6:$V$1005,0))),""))</f>
        <v/>
      </c>
      <c r="F28" s="49">
        <f>IF($A28="","",IFERROR(IF(INDEX(Investments!$Q$6:$Q$1005,MATCH($A28,Investments!$V$6:$V$1005,0))="","",INDEX(Investments!$Q$6:$Q$1005,MATCH($A28,Investments!$V$6:$V$1005,0))),""))</f>
        <v/>
      </c>
      <c r="G28" s="49">
        <f>IF($A28="","",IFERROR(IF(INDEX(Investments!$R$6:$R$1005,MATCH($A28,Investments!$V$6:$V$1005,0))="","",INDEX(Investments!$R$6:$R$1005,MATCH($A28,Investments!$V$6:$V$1005,0))),""))</f>
        <v/>
      </c>
      <c r="H28" s="49">
        <f>IF($A28="","",IFERROR(IF(INDEX(Investments!$L$6:$L$1005,MATCH($A28,Investments!$V$6:$V$1005,0))="","",INDEX(Investments!$L$6:$L$1005,MATCH($A28,Investments!$V$6:$V$1005,0))),""))</f>
        <v/>
      </c>
      <c r="I28" s="49">
        <f>IF($A28="","",IFERROR(IF(INDEX(Investments!$S$6:$S$1005,MATCH($A28,Investments!$V$6:$V$1005,0))="","",INDEX(Investments!$S$6:$S$1005,MATCH($A28,Investments!$V$6:$V$1005,0))),""))</f>
        <v/>
      </c>
      <c r="J28" s="26">
        <f>IF($A28="","",IFERROR(IF(INDEX(Investments!$T$6:$T$1005,MATCH($A28,Investments!$V$6:$V$1005,0))="","",INDEX(Investments!$T$6:$T$1005,MATCH($A28,Investments!$V$6:$V$1005,0))),""))</f>
        <v/>
      </c>
      <c r="K28" s="26">
        <f>IF($A28="","",IFERROR(IF(INDEX(Investments!$O$6:$O$1005,MATCH($A28,Investments!$V$6:$V$1005,0))="","",INDEX(Investments!$O$6:$O$1005,MATCH($A28,Investments!$V$6:$V$1005,0))),""))</f>
        <v/>
      </c>
    </row>
    <row r="29">
      <c r="A29" s="59">
        <f>IF($C$4="","",IF(8&gt;COUNTIFS(Investments!$A$6:$A$1005,$C$4),"",8))</f>
        <v/>
      </c>
      <c r="B29" s="27">
        <f>IF($A29="","",IFERROR(IF(INDEX(Investments!$B$6:$B$1005,MATCH($A29,Investments!$V$6:$V$1005,0))="","",INDEX(Investments!$B$6:$B$1005,MATCH($A29,Investments!$V$6:$V$1005,0))),""))</f>
        <v/>
      </c>
      <c r="C29" s="27">
        <f>IF($A29="","",IFERROR(IF(INDEX(Investments!$C$6:$C$1005,MATCH($A29,Investments!$V$6:$V$1005,0))="","",INDEX(Investments!$C$6:$C$1005,MATCH($A29,Investments!$V$6:$V$1005,0))),""))</f>
        <v/>
      </c>
      <c r="D29" s="27">
        <f>IF($A29="","",IFERROR(IF(INDEX(Investments!$D$6:$D$1005,MATCH($A29,Investments!$V$6:$V$1005,0))="","",INDEX(Investments!$D$6:$D$1005,MATCH($A29,Investments!$V$6:$V$1005,0))),""))</f>
        <v/>
      </c>
      <c r="E29" s="28">
        <f>IF($A29="","",IFERROR(IF(INDEX(Investments!$E$6:$E$1005,MATCH($A29,Investments!$V$6:$V$1005,0))="","",INDEX(Investments!$E$6:$E$1005,MATCH($A29,Investments!$V$6:$V$1005,0))),""))</f>
        <v/>
      </c>
      <c r="F29" s="39">
        <f>IF($A29="","",IFERROR(IF(INDEX(Investments!$Q$6:$Q$1005,MATCH($A29,Investments!$V$6:$V$1005,0))="","",INDEX(Investments!$Q$6:$Q$1005,MATCH($A29,Investments!$V$6:$V$1005,0))),""))</f>
        <v/>
      </c>
      <c r="G29" s="39">
        <f>IF($A29="","",IFERROR(IF(INDEX(Investments!$R$6:$R$1005,MATCH($A29,Investments!$V$6:$V$1005,0))="","",INDEX(Investments!$R$6:$R$1005,MATCH($A29,Investments!$V$6:$V$1005,0))),""))</f>
        <v/>
      </c>
      <c r="H29" s="39">
        <f>IF($A29="","",IFERROR(IF(INDEX(Investments!$L$6:$L$1005,MATCH($A29,Investments!$V$6:$V$1005,0))="","",INDEX(Investments!$L$6:$L$1005,MATCH($A29,Investments!$V$6:$V$1005,0))),""))</f>
        <v/>
      </c>
      <c r="I29" s="39">
        <f>IF($A29="","",IFERROR(IF(INDEX(Investments!$S$6:$S$1005,MATCH($A29,Investments!$V$6:$V$1005,0))="","",INDEX(Investments!$S$6:$S$1005,MATCH($A29,Investments!$V$6:$V$1005,0))),""))</f>
        <v/>
      </c>
      <c r="J29" s="31">
        <f>IF($A29="","",IFERROR(IF(INDEX(Investments!$T$6:$T$1005,MATCH($A29,Investments!$V$6:$V$1005,0))="","",INDEX(Investments!$T$6:$T$1005,MATCH($A29,Investments!$V$6:$V$1005,0))),""))</f>
        <v/>
      </c>
      <c r="K29" s="31">
        <f>IF($A29="","",IFERROR(IF(INDEX(Investments!$O$6:$O$1005,MATCH($A29,Investments!$V$6:$V$1005,0))="","",INDEX(Investments!$O$6:$O$1005,MATCH($A29,Investments!$V$6:$V$1005,0))),""))</f>
        <v/>
      </c>
    </row>
    <row r="30">
      <c r="A30" s="58">
        <f>IF($C$4="","",IF(9&gt;COUNTIFS(Investments!$A$6:$A$1005,$C$4),"",9))</f>
        <v/>
      </c>
      <c r="B30" s="22">
        <f>IF($A30="","",IFERROR(IF(INDEX(Investments!$B$6:$B$1005,MATCH($A30,Investments!$V$6:$V$1005,0))="","",INDEX(Investments!$B$6:$B$1005,MATCH($A30,Investments!$V$6:$V$1005,0))),""))</f>
        <v/>
      </c>
      <c r="C30" s="22">
        <f>IF($A30="","",IFERROR(IF(INDEX(Investments!$C$6:$C$1005,MATCH($A30,Investments!$V$6:$V$1005,0))="","",INDEX(Investments!$C$6:$C$1005,MATCH($A30,Investments!$V$6:$V$1005,0))),""))</f>
        <v/>
      </c>
      <c r="D30" s="22">
        <f>IF($A30="","",IFERROR(IF(INDEX(Investments!$D$6:$D$1005,MATCH($A30,Investments!$V$6:$V$1005,0))="","",INDEX(Investments!$D$6:$D$1005,MATCH($A30,Investments!$V$6:$V$1005,0))),""))</f>
        <v/>
      </c>
      <c r="E30" s="23">
        <f>IF($A30="","",IFERROR(IF(INDEX(Investments!$E$6:$E$1005,MATCH($A30,Investments!$V$6:$V$1005,0))="","",INDEX(Investments!$E$6:$E$1005,MATCH($A30,Investments!$V$6:$V$1005,0))),""))</f>
        <v/>
      </c>
      <c r="F30" s="49">
        <f>IF($A30="","",IFERROR(IF(INDEX(Investments!$Q$6:$Q$1005,MATCH($A30,Investments!$V$6:$V$1005,0))="","",INDEX(Investments!$Q$6:$Q$1005,MATCH($A30,Investments!$V$6:$V$1005,0))),""))</f>
        <v/>
      </c>
      <c r="G30" s="49">
        <f>IF($A30="","",IFERROR(IF(INDEX(Investments!$R$6:$R$1005,MATCH($A30,Investments!$V$6:$V$1005,0))="","",INDEX(Investments!$R$6:$R$1005,MATCH($A30,Investments!$V$6:$V$1005,0))),""))</f>
        <v/>
      </c>
      <c r="H30" s="49">
        <f>IF($A30="","",IFERROR(IF(INDEX(Investments!$L$6:$L$1005,MATCH($A30,Investments!$V$6:$V$1005,0))="","",INDEX(Investments!$L$6:$L$1005,MATCH($A30,Investments!$V$6:$V$1005,0))),""))</f>
        <v/>
      </c>
      <c r="I30" s="49">
        <f>IF($A30="","",IFERROR(IF(INDEX(Investments!$S$6:$S$1005,MATCH($A30,Investments!$V$6:$V$1005,0))="","",INDEX(Investments!$S$6:$S$1005,MATCH($A30,Investments!$V$6:$V$1005,0))),""))</f>
        <v/>
      </c>
      <c r="J30" s="26">
        <f>IF($A30="","",IFERROR(IF(INDEX(Investments!$T$6:$T$1005,MATCH($A30,Investments!$V$6:$V$1005,0))="","",INDEX(Investments!$T$6:$T$1005,MATCH($A30,Investments!$V$6:$V$1005,0))),""))</f>
        <v/>
      </c>
      <c r="K30" s="26">
        <f>IF($A30="","",IFERROR(IF(INDEX(Investments!$O$6:$O$1005,MATCH($A30,Investments!$V$6:$V$1005,0))="","",INDEX(Investments!$O$6:$O$1005,MATCH($A30,Investments!$V$6:$V$1005,0))),""))</f>
        <v/>
      </c>
    </row>
    <row r="31">
      <c r="A31" s="59">
        <f>IF($C$4="","",IF(10&gt;COUNTIFS(Investments!$A$6:$A$1005,$C$4),"",10))</f>
        <v/>
      </c>
      <c r="B31" s="27">
        <f>IF($A31="","",IFERROR(IF(INDEX(Investments!$B$6:$B$1005,MATCH($A31,Investments!$V$6:$V$1005,0))="","",INDEX(Investments!$B$6:$B$1005,MATCH($A31,Investments!$V$6:$V$1005,0))),""))</f>
        <v/>
      </c>
      <c r="C31" s="27">
        <f>IF($A31="","",IFERROR(IF(INDEX(Investments!$C$6:$C$1005,MATCH($A31,Investments!$V$6:$V$1005,0))="","",INDEX(Investments!$C$6:$C$1005,MATCH($A31,Investments!$V$6:$V$1005,0))),""))</f>
        <v/>
      </c>
      <c r="D31" s="27">
        <f>IF($A31="","",IFERROR(IF(INDEX(Investments!$D$6:$D$1005,MATCH($A31,Investments!$V$6:$V$1005,0))="","",INDEX(Investments!$D$6:$D$1005,MATCH($A31,Investments!$V$6:$V$1005,0))),""))</f>
        <v/>
      </c>
      <c r="E31" s="28">
        <f>IF($A31="","",IFERROR(IF(INDEX(Investments!$E$6:$E$1005,MATCH($A31,Investments!$V$6:$V$1005,0))="","",INDEX(Investments!$E$6:$E$1005,MATCH($A31,Investments!$V$6:$V$1005,0))),""))</f>
        <v/>
      </c>
      <c r="F31" s="39">
        <f>IF($A31="","",IFERROR(IF(INDEX(Investments!$Q$6:$Q$1005,MATCH($A31,Investments!$V$6:$V$1005,0))="","",INDEX(Investments!$Q$6:$Q$1005,MATCH($A31,Investments!$V$6:$V$1005,0))),""))</f>
        <v/>
      </c>
      <c r="G31" s="39">
        <f>IF($A31="","",IFERROR(IF(INDEX(Investments!$R$6:$R$1005,MATCH($A31,Investments!$V$6:$V$1005,0))="","",INDEX(Investments!$R$6:$R$1005,MATCH($A31,Investments!$V$6:$V$1005,0))),""))</f>
        <v/>
      </c>
      <c r="H31" s="39">
        <f>IF($A31="","",IFERROR(IF(INDEX(Investments!$L$6:$L$1005,MATCH($A31,Investments!$V$6:$V$1005,0))="","",INDEX(Investments!$L$6:$L$1005,MATCH($A31,Investments!$V$6:$V$1005,0))),""))</f>
        <v/>
      </c>
      <c r="I31" s="39">
        <f>IF($A31="","",IFERROR(IF(INDEX(Investments!$S$6:$S$1005,MATCH($A31,Investments!$V$6:$V$1005,0))="","",INDEX(Investments!$S$6:$S$1005,MATCH($A31,Investments!$V$6:$V$1005,0))),""))</f>
        <v/>
      </c>
      <c r="J31" s="31">
        <f>IF($A31="","",IFERROR(IF(INDEX(Investments!$T$6:$T$1005,MATCH($A31,Investments!$V$6:$V$1005,0))="","",INDEX(Investments!$T$6:$T$1005,MATCH($A31,Investments!$V$6:$V$1005,0))),""))</f>
        <v/>
      </c>
      <c r="K31" s="31">
        <f>IF($A31="","",IFERROR(IF(INDEX(Investments!$O$6:$O$1005,MATCH($A31,Investments!$V$6:$V$1005,0))="","",INDEX(Investments!$O$6:$O$1005,MATCH($A31,Investments!$V$6:$V$1005,0))),""))</f>
        <v/>
      </c>
    </row>
    <row r="32">
      <c r="A32" s="58">
        <f>IF($C$4="","",IF(11&gt;COUNTIFS(Investments!$A$6:$A$1005,$C$4),"",11))</f>
        <v/>
      </c>
      <c r="B32" s="22">
        <f>IF($A32="","",IFERROR(IF(INDEX(Investments!$B$6:$B$1005,MATCH($A32,Investments!$V$6:$V$1005,0))="","",INDEX(Investments!$B$6:$B$1005,MATCH($A32,Investments!$V$6:$V$1005,0))),""))</f>
        <v/>
      </c>
      <c r="C32" s="22">
        <f>IF($A32="","",IFERROR(IF(INDEX(Investments!$C$6:$C$1005,MATCH($A32,Investments!$V$6:$V$1005,0))="","",INDEX(Investments!$C$6:$C$1005,MATCH($A32,Investments!$V$6:$V$1005,0))),""))</f>
        <v/>
      </c>
      <c r="D32" s="22">
        <f>IF($A32="","",IFERROR(IF(INDEX(Investments!$D$6:$D$1005,MATCH($A32,Investments!$V$6:$V$1005,0))="","",INDEX(Investments!$D$6:$D$1005,MATCH($A32,Investments!$V$6:$V$1005,0))),""))</f>
        <v/>
      </c>
      <c r="E32" s="23">
        <f>IF($A32="","",IFERROR(IF(INDEX(Investments!$E$6:$E$1005,MATCH($A32,Investments!$V$6:$V$1005,0))="","",INDEX(Investments!$E$6:$E$1005,MATCH($A32,Investments!$V$6:$V$1005,0))),""))</f>
        <v/>
      </c>
      <c r="F32" s="49">
        <f>IF($A32="","",IFERROR(IF(INDEX(Investments!$Q$6:$Q$1005,MATCH($A32,Investments!$V$6:$V$1005,0))="","",INDEX(Investments!$Q$6:$Q$1005,MATCH($A32,Investments!$V$6:$V$1005,0))),""))</f>
        <v/>
      </c>
      <c r="G32" s="49">
        <f>IF($A32="","",IFERROR(IF(INDEX(Investments!$R$6:$R$1005,MATCH($A32,Investments!$V$6:$V$1005,0))="","",INDEX(Investments!$R$6:$R$1005,MATCH($A32,Investments!$V$6:$V$1005,0))),""))</f>
        <v/>
      </c>
      <c r="H32" s="49">
        <f>IF($A32="","",IFERROR(IF(INDEX(Investments!$L$6:$L$1005,MATCH($A32,Investments!$V$6:$V$1005,0))="","",INDEX(Investments!$L$6:$L$1005,MATCH($A32,Investments!$V$6:$V$1005,0))),""))</f>
        <v/>
      </c>
      <c r="I32" s="49">
        <f>IF($A32="","",IFERROR(IF(INDEX(Investments!$S$6:$S$1005,MATCH($A32,Investments!$V$6:$V$1005,0))="","",INDEX(Investments!$S$6:$S$1005,MATCH($A32,Investments!$V$6:$V$1005,0))),""))</f>
        <v/>
      </c>
      <c r="J32" s="26">
        <f>IF($A32="","",IFERROR(IF(INDEX(Investments!$T$6:$T$1005,MATCH($A32,Investments!$V$6:$V$1005,0))="","",INDEX(Investments!$T$6:$T$1005,MATCH($A32,Investments!$V$6:$V$1005,0))),""))</f>
        <v/>
      </c>
      <c r="K32" s="26">
        <f>IF($A32="","",IFERROR(IF(INDEX(Investments!$O$6:$O$1005,MATCH($A32,Investments!$V$6:$V$1005,0))="","",INDEX(Investments!$O$6:$O$1005,MATCH($A32,Investments!$V$6:$V$1005,0))),""))</f>
        <v/>
      </c>
    </row>
    <row r="33">
      <c r="A33" s="59">
        <f>IF($C$4="","",IF(12&gt;COUNTIFS(Investments!$A$6:$A$1005,$C$4),"",12))</f>
        <v/>
      </c>
      <c r="B33" s="27">
        <f>IF($A33="","",IFERROR(IF(INDEX(Investments!$B$6:$B$1005,MATCH($A33,Investments!$V$6:$V$1005,0))="","",INDEX(Investments!$B$6:$B$1005,MATCH($A33,Investments!$V$6:$V$1005,0))),""))</f>
        <v/>
      </c>
      <c r="C33" s="27">
        <f>IF($A33="","",IFERROR(IF(INDEX(Investments!$C$6:$C$1005,MATCH($A33,Investments!$V$6:$V$1005,0))="","",INDEX(Investments!$C$6:$C$1005,MATCH($A33,Investments!$V$6:$V$1005,0))),""))</f>
        <v/>
      </c>
      <c r="D33" s="27">
        <f>IF($A33="","",IFERROR(IF(INDEX(Investments!$D$6:$D$1005,MATCH($A33,Investments!$V$6:$V$1005,0))="","",INDEX(Investments!$D$6:$D$1005,MATCH($A33,Investments!$V$6:$V$1005,0))),""))</f>
        <v/>
      </c>
      <c r="E33" s="28">
        <f>IF($A33="","",IFERROR(IF(INDEX(Investments!$E$6:$E$1005,MATCH($A33,Investments!$V$6:$V$1005,0))="","",INDEX(Investments!$E$6:$E$1005,MATCH($A33,Investments!$V$6:$V$1005,0))),""))</f>
        <v/>
      </c>
      <c r="F33" s="39">
        <f>IF($A33="","",IFERROR(IF(INDEX(Investments!$Q$6:$Q$1005,MATCH($A33,Investments!$V$6:$V$1005,0))="","",INDEX(Investments!$Q$6:$Q$1005,MATCH($A33,Investments!$V$6:$V$1005,0))),""))</f>
        <v/>
      </c>
      <c r="G33" s="39">
        <f>IF($A33="","",IFERROR(IF(INDEX(Investments!$R$6:$R$1005,MATCH($A33,Investments!$V$6:$V$1005,0))="","",INDEX(Investments!$R$6:$R$1005,MATCH($A33,Investments!$V$6:$V$1005,0))),""))</f>
        <v/>
      </c>
      <c r="H33" s="39">
        <f>IF($A33="","",IFERROR(IF(INDEX(Investments!$L$6:$L$1005,MATCH($A33,Investments!$V$6:$V$1005,0))="","",INDEX(Investments!$L$6:$L$1005,MATCH($A33,Investments!$V$6:$V$1005,0))),""))</f>
        <v/>
      </c>
      <c r="I33" s="39">
        <f>IF($A33="","",IFERROR(IF(INDEX(Investments!$S$6:$S$1005,MATCH($A33,Investments!$V$6:$V$1005,0))="","",INDEX(Investments!$S$6:$S$1005,MATCH($A33,Investments!$V$6:$V$1005,0))),""))</f>
        <v/>
      </c>
      <c r="J33" s="31">
        <f>IF($A33="","",IFERROR(IF(INDEX(Investments!$T$6:$T$1005,MATCH($A33,Investments!$V$6:$V$1005,0))="","",INDEX(Investments!$T$6:$T$1005,MATCH($A33,Investments!$V$6:$V$1005,0))),""))</f>
        <v/>
      </c>
      <c r="K33" s="31">
        <f>IF($A33="","",IFERROR(IF(INDEX(Investments!$O$6:$O$1005,MATCH($A33,Investments!$V$6:$V$1005,0))="","",INDEX(Investments!$O$6:$O$1005,MATCH($A33,Investments!$V$6:$V$1005,0))),""))</f>
        <v/>
      </c>
    </row>
    <row r="34">
      <c r="A34" s="58">
        <f>IF($C$4="","",IF(13&gt;COUNTIFS(Investments!$A$6:$A$1005,$C$4),"",13))</f>
        <v/>
      </c>
      <c r="B34" s="22">
        <f>IF($A34="","",IFERROR(IF(INDEX(Investments!$B$6:$B$1005,MATCH($A34,Investments!$V$6:$V$1005,0))="","",INDEX(Investments!$B$6:$B$1005,MATCH($A34,Investments!$V$6:$V$1005,0))),""))</f>
        <v/>
      </c>
      <c r="C34" s="22">
        <f>IF($A34="","",IFERROR(IF(INDEX(Investments!$C$6:$C$1005,MATCH($A34,Investments!$V$6:$V$1005,0))="","",INDEX(Investments!$C$6:$C$1005,MATCH($A34,Investments!$V$6:$V$1005,0))),""))</f>
        <v/>
      </c>
      <c r="D34" s="22">
        <f>IF($A34="","",IFERROR(IF(INDEX(Investments!$D$6:$D$1005,MATCH($A34,Investments!$V$6:$V$1005,0))="","",INDEX(Investments!$D$6:$D$1005,MATCH($A34,Investments!$V$6:$V$1005,0))),""))</f>
        <v/>
      </c>
      <c r="E34" s="23">
        <f>IF($A34="","",IFERROR(IF(INDEX(Investments!$E$6:$E$1005,MATCH($A34,Investments!$V$6:$V$1005,0))="","",INDEX(Investments!$E$6:$E$1005,MATCH($A34,Investments!$V$6:$V$1005,0))),""))</f>
        <v/>
      </c>
      <c r="F34" s="49">
        <f>IF($A34="","",IFERROR(IF(INDEX(Investments!$Q$6:$Q$1005,MATCH($A34,Investments!$V$6:$V$1005,0))="","",INDEX(Investments!$Q$6:$Q$1005,MATCH($A34,Investments!$V$6:$V$1005,0))),""))</f>
        <v/>
      </c>
      <c r="G34" s="49">
        <f>IF($A34="","",IFERROR(IF(INDEX(Investments!$R$6:$R$1005,MATCH($A34,Investments!$V$6:$V$1005,0))="","",INDEX(Investments!$R$6:$R$1005,MATCH($A34,Investments!$V$6:$V$1005,0))),""))</f>
        <v/>
      </c>
      <c r="H34" s="49">
        <f>IF($A34="","",IFERROR(IF(INDEX(Investments!$L$6:$L$1005,MATCH($A34,Investments!$V$6:$V$1005,0))="","",INDEX(Investments!$L$6:$L$1005,MATCH($A34,Investments!$V$6:$V$1005,0))),""))</f>
        <v/>
      </c>
      <c r="I34" s="49">
        <f>IF($A34="","",IFERROR(IF(INDEX(Investments!$S$6:$S$1005,MATCH($A34,Investments!$V$6:$V$1005,0))="","",INDEX(Investments!$S$6:$S$1005,MATCH($A34,Investments!$V$6:$V$1005,0))),""))</f>
        <v/>
      </c>
      <c r="J34" s="26">
        <f>IF($A34="","",IFERROR(IF(INDEX(Investments!$T$6:$T$1005,MATCH($A34,Investments!$V$6:$V$1005,0))="","",INDEX(Investments!$T$6:$T$1005,MATCH($A34,Investments!$V$6:$V$1005,0))),""))</f>
        <v/>
      </c>
      <c r="K34" s="26">
        <f>IF($A34="","",IFERROR(IF(INDEX(Investments!$O$6:$O$1005,MATCH($A34,Investments!$V$6:$V$1005,0))="","",INDEX(Investments!$O$6:$O$1005,MATCH($A34,Investments!$V$6:$V$1005,0))),""))</f>
        <v/>
      </c>
    </row>
    <row r="35">
      <c r="A35" s="59">
        <f>IF($C$4="","",IF(14&gt;COUNTIFS(Investments!$A$6:$A$1005,$C$4),"",14))</f>
        <v/>
      </c>
      <c r="B35" s="27">
        <f>IF($A35="","",IFERROR(IF(INDEX(Investments!$B$6:$B$1005,MATCH($A35,Investments!$V$6:$V$1005,0))="","",INDEX(Investments!$B$6:$B$1005,MATCH($A35,Investments!$V$6:$V$1005,0))),""))</f>
        <v/>
      </c>
      <c r="C35" s="27">
        <f>IF($A35="","",IFERROR(IF(INDEX(Investments!$C$6:$C$1005,MATCH($A35,Investments!$V$6:$V$1005,0))="","",INDEX(Investments!$C$6:$C$1005,MATCH($A35,Investments!$V$6:$V$1005,0))),""))</f>
        <v/>
      </c>
      <c r="D35" s="27">
        <f>IF($A35="","",IFERROR(IF(INDEX(Investments!$D$6:$D$1005,MATCH($A35,Investments!$V$6:$V$1005,0))="","",INDEX(Investments!$D$6:$D$1005,MATCH($A35,Investments!$V$6:$V$1005,0))),""))</f>
        <v/>
      </c>
      <c r="E35" s="28">
        <f>IF($A35="","",IFERROR(IF(INDEX(Investments!$E$6:$E$1005,MATCH($A35,Investments!$V$6:$V$1005,0))="","",INDEX(Investments!$E$6:$E$1005,MATCH($A35,Investments!$V$6:$V$1005,0))),""))</f>
        <v/>
      </c>
      <c r="F35" s="39">
        <f>IF($A35="","",IFERROR(IF(INDEX(Investments!$Q$6:$Q$1005,MATCH($A35,Investments!$V$6:$V$1005,0))="","",INDEX(Investments!$Q$6:$Q$1005,MATCH($A35,Investments!$V$6:$V$1005,0))),""))</f>
        <v/>
      </c>
      <c r="G35" s="39">
        <f>IF($A35="","",IFERROR(IF(INDEX(Investments!$R$6:$R$1005,MATCH($A35,Investments!$V$6:$V$1005,0))="","",INDEX(Investments!$R$6:$R$1005,MATCH($A35,Investments!$V$6:$V$1005,0))),""))</f>
        <v/>
      </c>
      <c r="H35" s="39">
        <f>IF($A35="","",IFERROR(IF(INDEX(Investments!$L$6:$L$1005,MATCH($A35,Investments!$V$6:$V$1005,0))="","",INDEX(Investments!$L$6:$L$1005,MATCH($A35,Investments!$V$6:$V$1005,0))),""))</f>
        <v/>
      </c>
      <c r="I35" s="39">
        <f>IF($A35="","",IFERROR(IF(INDEX(Investments!$S$6:$S$1005,MATCH($A35,Investments!$V$6:$V$1005,0))="","",INDEX(Investments!$S$6:$S$1005,MATCH($A35,Investments!$V$6:$V$1005,0))),""))</f>
        <v/>
      </c>
      <c r="J35" s="31">
        <f>IF($A35="","",IFERROR(IF(INDEX(Investments!$T$6:$T$1005,MATCH($A35,Investments!$V$6:$V$1005,0))="","",INDEX(Investments!$T$6:$T$1005,MATCH($A35,Investments!$V$6:$V$1005,0))),""))</f>
        <v/>
      </c>
      <c r="K35" s="31">
        <f>IF($A35="","",IFERROR(IF(INDEX(Investments!$O$6:$O$1005,MATCH($A35,Investments!$V$6:$V$1005,0))="","",INDEX(Investments!$O$6:$O$1005,MATCH($A35,Investments!$V$6:$V$1005,0))),""))</f>
        <v/>
      </c>
    </row>
    <row r="36">
      <c r="A36" s="58">
        <f>IF($C$4="","",IF(15&gt;COUNTIFS(Investments!$A$6:$A$1005,$C$4),"",15))</f>
        <v/>
      </c>
      <c r="B36" s="22">
        <f>IF($A36="","",IFERROR(IF(INDEX(Investments!$B$6:$B$1005,MATCH($A36,Investments!$V$6:$V$1005,0))="","",INDEX(Investments!$B$6:$B$1005,MATCH($A36,Investments!$V$6:$V$1005,0))),""))</f>
        <v/>
      </c>
      <c r="C36" s="22">
        <f>IF($A36="","",IFERROR(IF(INDEX(Investments!$C$6:$C$1005,MATCH($A36,Investments!$V$6:$V$1005,0))="","",INDEX(Investments!$C$6:$C$1005,MATCH($A36,Investments!$V$6:$V$1005,0))),""))</f>
        <v/>
      </c>
      <c r="D36" s="22">
        <f>IF($A36="","",IFERROR(IF(INDEX(Investments!$D$6:$D$1005,MATCH($A36,Investments!$V$6:$V$1005,0))="","",INDEX(Investments!$D$6:$D$1005,MATCH($A36,Investments!$V$6:$V$1005,0))),""))</f>
        <v/>
      </c>
      <c r="E36" s="23">
        <f>IF($A36="","",IFERROR(IF(INDEX(Investments!$E$6:$E$1005,MATCH($A36,Investments!$V$6:$V$1005,0))="","",INDEX(Investments!$E$6:$E$1005,MATCH($A36,Investments!$V$6:$V$1005,0))),""))</f>
        <v/>
      </c>
      <c r="F36" s="49">
        <f>IF($A36="","",IFERROR(IF(INDEX(Investments!$Q$6:$Q$1005,MATCH($A36,Investments!$V$6:$V$1005,0))="","",INDEX(Investments!$Q$6:$Q$1005,MATCH($A36,Investments!$V$6:$V$1005,0))),""))</f>
        <v/>
      </c>
      <c r="G36" s="49">
        <f>IF($A36="","",IFERROR(IF(INDEX(Investments!$R$6:$R$1005,MATCH($A36,Investments!$V$6:$V$1005,0))="","",INDEX(Investments!$R$6:$R$1005,MATCH($A36,Investments!$V$6:$V$1005,0))),""))</f>
        <v/>
      </c>
      <c r="H36" s="49">
        <f>IF($A36="","",IFERROR(IF(INDEX(Investments!$L$6:$L$1005,MATCH($A36,Investments!$V$6:$V$1005,0))="","",INDEX(Investments!$L$6:$L$1005,MATCH($A36,Investments!$V$6:$V$1005,0))),""))</f>
        <v/>
      </c>
      <c r="I36" s="49">
        <f>IF($A36="","",IFERROR(IF(INDEX(Investments!$S$6:$S$1005,MATCH($A36,Investments!$V$6:$V$1005,0))="","",INDEX(Investments!$S$6:$S$1005,MATCH($A36,Investments!$V$6:$V$1005,0))),""))</f>
        <v/>
      </c>
      <c r="J36" s="26">
        <f>IF($A36="","",IFERROR(IF(INDEX(Investments!$T$6:$T$1005,MATCH($A36,Investments!$V$6:$V$1005,0))="","",INDEX(Investments!$T$6:$T$1005,MATCH($A36,Investments!$V$6:$V$1005,0))),""))</f>
        <v/>
      </c>
      <c r="K36" s="26">
        <f>IF($A36="","",IFERROR(IF(INDEX(Investments!$O$6:$O$1005,MATCH($A36,Investments!$V$6:$V$1005,0))="","",INDEX(Investments!$O$6:$O$1005,MATCH($A36,Investments!$V$6:$V$1005,0))),""))</f>
        <v/>
      </c>
    </row>
    <row r="37">
      <c r="A37" s="59">
        <f>IF($C$4="","",IF(16&gt;COUNTIFS(Investments!$A$6:$A$1005,$C$4),"",16))</f>
        <v/>
      </c>
      <c r="B37" s="27">
        <f>IF($A37="","",IFERROR(IF(INDEX(Investments!$B$6:$B$1005,MATCH($A37,Investments!$V$6:$V$1005,0))="","",INDEX(Investments!$B$6:$B$1005,MATCH($A37,Investments!$V$6:$V$1005,0))),""))</f>
        <v/>
      </c>
      <c r="C37" s="27">
        <f>IF($A37="","",IFERROR(IF(INDEX(Investments!$C$6:$C$1005,MATCH($A37,Investments!$V$6:$V$1005,0))="","",INDEX(Investments!$C$6:$C$1005,MATCH($A37,Investments!$V$6:$V$1005,0))),""))</f>
        <v/>
      </c>
      <c r="D37" s="27">
        <f>IF($A37="","",IFERROR(IF(INDEX(Investments!$D$6:$D$1005,MATCH($A37,Investments!$V$6:$V$1005,0))="","",INDEX(Investments!$D$6:$D$1005,MATCH($A37,Investments!$V$6:$V$1005,0))),""))</f>
        <v/>
      </c>
      <c r="E37" s="28">
        <f>IF($A37="","",IFERROR(IF(INDEX(Investments!$E$6:$E$1005,MATCH($A37,Investments!$V$6:$V$1005,0))="","",INDEX(Investments!$E$6:$E$1005,MATCH($A37,Investments!$V$6:$V$1005,0))),""))</f>
        <v/>
      </c>
      <c r="F37" s="39">
        <f>IF($A37="","",IFERROR(IF(INDEX(Investments!$Q$6:$Q$1005,MATCH($A37,Investments!$V$6:$V$1005,0))="","",INDEX(Investments!$Q$6:$Q$1005,MATCH($A37,Investments!$V$6:$V$1005,0))),""))</f>
        <v/>
      </c>
      <c r="G37" s="39">
        <f>IF($A37="","",IFERROR(IF(INDEX(Investments!$R$6:$R$1005,MATCH($A37,Investments!$V$6:$V$1005,0))="","",INDEX(Investments!$R$6:$R$1005,MATCH($A37,Investments!$V$6:$V$1005,0))),""))</f>
        <v/>
      </c>
      <c r="H37" s="39">
        <f>IF($A37="","",IFERROR(IF(INDEX(Investments!$L$6:$L$1005,MATCH($A37,Investments!$V$6:$V$1005,0))="","",INDEX(Investments!$L$6:$L$1005,MATCH($A37,Investments!$V$6:$V$1005,0))),""))</f>
        <v/>
      </c>
      <c r="I37" s="39">
        <f>IF($A37="","",IFERROR(IF(INDEX(Investments!$S$6:$S$1005,MATCH($A37,Investments!$V$6:$V$1005,0))="","",INDEX(Investments!$S$6:$S$1005,MATCH($A37,Investments!$V$6:$V$1005,0))),""))</f>
        <v/>
      </c>
      <c r="J37" s="31">
        <f>IF($A37="","",IFERROR(IF(INDEX(Investments!$T$6:$T$1005,MATCH($A37,Investments!$V$6:$V$1005,0))="","",INDEX(Investments!$T$6:$T$1005,MATCH($A37,Investments!$V$6:$V$1005,0))),""))</f>
        <v/>
      </c>
      <c r="K37" s="31">
        <f>IF($A37="","",IFERROR(IF(INDEX(Investments!$O$6:$O$1005,MATCH($A37,Investments!$V$6:$V$1005,0))="","",INDEX(Investments!$O$6:$O$1005,MATCH($A37,Investments!$V$6:$V$1005,0))),""))</f>
        <v/>
      </c>
    </row>
    <row r="38">
      <c r="A38" s="58">
        <f>IF($C$4="","",IF(17&gt;COUNTIFS(Investments!$A$6:$A$1005,$C$4),"",17))</f>
        <v/>
      </c>
      <c r="B38" s="22">
        <f>IF($A38="","",IFERROR(IF(INDEX(Investments!$B$6:$B$1005,MATCH($A38,Investments!$V$6:$V$1005,0))="","",INDEX(Investments!$B$6:$B$1005,MATCH($A38,Investments!$V$6:$V$1005,0))),""))</f>
        <v/>
      </c>
      <c r="C38" s="22">
        <f>IF($A38="","",IFERROR(IF(INDEX(Investments!$C$6:$C$1005,MATCH($A38,Investments!$V$6:$V$1005,0))="","",INDEX(Investments!$C$6:$C$1005,MATCH($A38,Investments!$V$6:$V$1005,0))),""))</f>
        <v/>
      </c>
      <c r="D38" s="22">
        <f>IF($A38="","",IFERROR(IF(INDEX(Investments!$D$6:$D$1005,MATCH($A38,Investments!$V$6:$V$1005,0))="","",INDEX(Investments!$D$6:$D$1005,MATCH($A38,Investments!$V$6:$V$1005,0))),""))</f>
        <v/>
      </c>
      <c r="E38" s="23">
        <f>IF($A38="","",IFERROR(IF(INDEX(Investments!$E$6:$E$1005,MATCH($A38,Investments!$V$6:$V$1005,0))="","",INDEX(Investments!$E$6:$E$1005,MATCH($A38,Investments!$V$6:$V$1005,0))),""))</f>
        <v/>
      </c>
      <c r="F38" s="49">
        <f>IF($A38="","",IFERROR(IF(INDEX(Investments!$Q$6:$Q$1005,MATCH($A38,Investments!$V$6:$V$1005,0))="","",INDEX(Investments!$Q$6:$Q$1005,MATCH($A38,Investments!$V$6:$V$1005,0))),""))</f>
        <v/>
      </c>
      <c r="G38" s="49">
        <f>IF($A38="","",IFERROR(IF(INDEX(Investments!$R$6:$R$1005,MATCH($A38,Investments!$V$6:$V$1005,0))="","",INDEX(Investments!$R$6:$R$1005,MATCH($A38,Investments!$V$6:$V$1005,0))),""))</f>
        <v/>
      </c>
      <c r="H38" s="49">
        <f>IF($A38="","",IFERROR(IF(INDEX(Investments!$L$6:$L$1005,MATCH($A38,Investments!$V$6:$V$1005,0))="","",INDEX(Investments!$L$6:$L$1005,MATCH($A38,Investments!$V$6:$V$1005,0))),""))</f>
        <v/>
      </c>
      <c r="I38" s="49">
        <f>IF($A38="","",IFERROR(IF(INDEX(Investments!$S$6:$S$1005,MATCH($A38,Investments!$V$6:$V$1005,0))="","",INDEX(Investments!$S$6:$S$1005,MATCH($A38,Investments!$V$6:$V$1005,0))),""))</f>
        <v/>
      </c>
      <c r="J38" s="26">
        <f>IF($A38="","",IFERROR(IF(INDEX(Investments!$T$6:$T$1005,MATCH($A38,Investments!$V$6:$V$1005,0))="","",INDEX(Investments!$T$6:$T$1005,MATCH($A38,Investments!$V$6:$V$1005,0))),""))</f>
        <v/>
      </c>
      <c r="K38" s="26">
        <f>IF($A38="","",IFERROR(IF(INDEX(Investments!$O$6:$O$1005,MATCH($A38,Investments!$V$6:$V$1005,0))="","",INDEX(Investments!$O$6:$O$1005,MATCH($A38,Investments!$V$6:$V$1005,0))),""))</f>
        <v/>
      </c>
    </row>
    <row r="39">
      <c r="A39" s="59">
        <f>IF($C$4="","",IF(18&gt;COUNTIFS(Investments!$A$6:$A$1005,$C$4),"",18))</f>
        <v/>
      </c>
      <c r="B39" s="27">
        <f>IF($A39="","",IFERROR(IF(INDEX(Investments!$B$6:$B$1005,MATCH($A39,Investments!$V$6:$V$1005,0))="","",INDEX(Investments!$B$6:$B$1005,MATCH($A39,Investments!$V$6:$V$1005,0))),""))</f>
        <v/>
      </c>
      <c r="C39" s="27">
        <f>IF($A39="","",IFERROR(IF(INDEX(Investments!$C$6:$C$1005,MATCH($A39,Investments!$V$6:$V$1005,0))="","",INDEX(Investments!$C$6:$C$1005,MATCH($A39,Investments!$V$6:$V$1005,0))),""))</f>
        <v/>
      </c>
      <c r="D39" s="27">
        <f>IF($A39="","",IFERROR(IF(INDEX(Investments!$D$6:$D$1005,MATCH($A39,Investments!$V$6:$V$1005,0))="","",INDEX(Investments!$D$6:$D$1005,MATCH($A39,Investments!$V$6:$V$1005,0))),""))</f>
        <v/>
      </c>
      <c r="E39" s="28">
        <f>IF($A39="","",IFERROR(IF(INDEX(Investments!$E$6:$E$1005,MATCH($A39,Investments!$V$6:$V$1005,0))="","",INDEX(Investments!$E$6:$E$1005,MATCH($A39,Investments!$V$6:$V$1005,0))),""))</f>
        <v/>
      </c>
      <c r="F39" s="39">
        <f>IF($A39="","",IFERROR(IF(INDEX(Investments!$Q$6:$Q$1005,MATCH($A39,Investments!$V$6:$V$1005,0))="","",INDEX(Investments!$Q$6:$Q$1005,MATCH($A39,Investments!$V$6:$V$1005,0))),""))</f>
        <v/>
      </c>
      <c r="G39" s="39">
        <f>IF($A39="","",IFERROR(IF(INDEX(Investments!$R$6:$R$1005,MATCH($A39,Investments!$V$6:$V$1005,0))="","",INDEX(Investments!$R$6:$R$1005,MATCH($A39,Investments!$V$6:$V$1005,0))),""))</f>
        <v/>
      </c>
      <c r="H39" s="39">
        <f>IF($A39="","",IFERROR(IF(INDEX(Investments!$L$6:$L$1005,MATCH($A39,Investments!$V$6:$V$1005,0))="","",INDEX(Investments!$L$6:$L$1005,MATCH($A39,Investments!$V$6:$V$1005,0))),""))</f>
        <v/>
      </c>
      <c r="I39" s="39">
        <f>IF($A39="","",IFERROR(IF(INDEX(Investments!$S$6:$S$1005,MATCH($A39,Investments!$V$6:$V$1005,0))="","",INDEX(Investments!$S$6:$S$1005,MATCH($A39,Investments!$V$6:$V$1005,0))),""))</f>
        <v/>
      </c>
      <c r="J39" s="31">
        <f>IF($A39="","",IFERROR(IF(INDEX(Investments!$T$6:$T$1005,MATCH($A39,Investments!$V$6:$V$1005,0))="","",INDEX(Investments!$T$6:$T$1005,MATCH($A39,Investments!$V$6:$V$1005,0))),""))</f>
        <v/>
      </c>
      <c r="K39" s="31">
        <f>IF($A39="","",IFERROR(IF(INDEX(Investments!$O$6:$O$1005,MATCH($A39,Investments!$V$6:$V$1005,0))="","",INDEX(Investments!$O$6:$O$1005,MATCH($A39,Investments!$V$6:$V$1005,0))),""))</f>
        <v/>
      </c>
    </row>
    <row r="40">
      <c r="A40" s="58">
        <f>IF($C$4="","",IF(19&gt;COUNTIFS(Investments!$A$6:$A$1005,$C$4),"",19))</f>
        <v/>
      </c>
      <c r="B40" s="22">
        <f>IF($A40="","",IFERROR(IF(INDEX(Investments!$B$6:$B$1005,MATCH($A40,Investments!$V$6:$V$1005,0))="","",INDEX(Investments!$B$6:$B$1005,MATCH($A40,Investments!$V$6:$V$1005,0))),""))</f>
        <v/>
      </c>
      <c r="C40" s="22">
        <f>IF($A40="","",IFERROR(IF(INDEX(Investments!$C$6:$C$1005,MATCH($A40,Investments!$V$6:$V$1005,0))="","",INDEX(Investments!$C$6:$C$1005,MATCH($A40,Investments!$V$6:$V$1005,0))),""))</f>
        <v/>
      </c>
      <c r="D40" s="22">
        <f>IF($A40="","",IFERROR(IF(INDEX(Investments!$D$6:$D$1005,MATCH($A40,Investments!$V$6:$V$1005,0))="","",INDEX(Investments!$D$6:$D$1005,MATCH($A40,Investments!$V$6:$V$1005,0))),""))</f>
        <v/>
      </c>
      <c r="E40" s="23">
        <f>IF($A40="","",IFERROR(IF(INDEX(Investments!$E$6:$E$1005,MATCH($A40,Investments!$V$6:$V$1005,0))="","",INDEX(Investments!$E$6:$E$1005,MATCH($A40,Investments!$V$6:$V$1005,0))),""))</f>
        <v/>
      </c>
      <c r="F40" s="49">
        <f>IF($A40="","",IFERROR(IF(INDEX(Investments!$Q$6:$Q$1005,MATCH($A40,Investments!$V$6:$V$1005,0))="","",INDEX(Investments!$Q$6:$Q$1005,MATCH($A40,Investments!$V$6:$V$1005,0))),""))</f>
        <v/>
      </c>
      <c r="G40" s="49">
        <f>IF($A40="","",IFERROR(IF(INDEX(Investments!$R$6:$R$1005,MATCH($A40,Investments!$V$6:$V$1005,0))="","",INDEX(Investments!$R$6:$R$1005,MATCH($A40,Investments!$V$6:$V$1005,0))),""))</f>
        <v/>
      </c>
      <c r="H40" s="49">
        <f>IF($A40="","",IFERROR(IF(INDEX(Investments!$L$6:$L$1005,MATCH($A40,Investments!$V$6:$V$1005,0))="","",INDEX(Investments!$L$6:$L$1005,MATCH($A40,Investments!$V$6:$V$1005,0))),""))</f>
        <v/>
      </c>
      <c r="I40" s="49">
        <f>IF($A40="","",IFERROR(IF(INDEX(Investments!$S$6:$S$1005,MATCH($A40,Investments!$V$6:$V$1005,0))="","",INDEX(Investments!$S$6:$S$1005,MATCH($A40,Investments!$V$6:$V$1005,0))),""))</f>
        <v/>
      </c>
      <c r="J40" s="26">
        <f>IF($A40="","",IFERROR(IF(INDEX(Investments!$T$6:$T$1005,MATCH($A40,Investments!$V$6:$V$1005,0))="","",INDEX(Investments!$T$6:$T$1005,MATCH($A40,Investments!$V$6:$V$1005,0))),""))</f>
        <v/>
      </c>
      <c r="K40" s="26">
        <f>IF($A40="","",IFERROR(IF(INDEX(Investments!$O$6:$O$1005,MATCH($A40,Investments!$V$6:$V$1005,0))="","",INDEX(Investments!$O$6:$O$1005,MATCH($A40,Investments!$V$6:$V$1005,0))),""))</f>
        <v/>
      </c>
    </row>
    <row r="41">
      <c r="A41" s="59">
        <f>IF($C$4="","",IF(20&gt;COUNTIFS(Investments!$A$6:$A$1005,$C$4),"",20))</f>
        <v/>
      </c>
      <c r="B41" s="27">
        <f>IF($A41="","",IFERROR(IF(INDEX(Investments!$B$6:$B$1005,MATCH($A41,Investments!$V$6:$V$1005,0))="","",INDEX(Investments!$B$6:$B$1005,MATCH($A41,Investments!$V$6:$V$1005,0))),""))</f>
        <v/>
      </c>
      <c r="C41" s="27">
        <f>IF($A41="","",IFERROR(IF(INDEX(Investments!$C$6:$C$1005,MATCH($A41,Investments!$V$6:$V$1005,0))="","",INDEX(Investments!$C$6:$C$1005,MATCH($A41,Investments!$V$6:$V$1005,0))),""))</f>
        <v/>
      </c>
      <c r="D41" s="27">
        <f>IF($A41="","",IFERROR(IF(INDEX(Investments!$D$6:$D$1005,MATCH($A41,Investments!$V$6:$V$1005,0))="","",INDEX(Investments!$D$6:$D$1005,MATCH($A41,Investments!$V$6:$V$1005,0))),""))</f>
        <v/>
      </c>
      <c r="E41" s="28">
        <f>IF($A41="","",IFERROR(IF(INDEX(Investments!$E$6:$E$1005,MATCH($A41,Investments!$V$6:$V$1005,0))="","",INDEX(Investments!$E$6:$E$1005,MATCH($A41,Investments!$V$6:$V$1005,0))),""))</f>
        <v/>
      </c>
      <c r="F41" s="39">
        <f>IF($A41="","",IFERROR(IF(INDEX(Investments!$Q$6:$Q$1005,MATCH($A41,Investments!$V$6:$V$1005,0))="","",INDEX(Investments!$Q$6:$Q$1005,MATCH($A41,Investments!$V$6:$V$1005,0))),""))</f>
        <v/>
      </c>
      <c r="G41" s="39">
        <f>IF($A41="","",IFERROR(IF(INDEX(Investments!$R$6:$R$1005,MATCH($A41,Investments!$V$6:$V$1005,0))="","",INDEX(Investments!$R$6:$R$1005,MATCH($A41,Investments!$V$6:$V$1005,0))),""))</f>
        <v/>
      </c>
      <c r="H41" s="39">
        <f>IF($A41="","",IFERROR(IF(INDEX(Investments!$L$6:$L$1005,MATCH($A41,Investments!$V$6:$V$1005,0))="","",INDEX(Investments!$L$6:$L$1005,MATCH($A41,Investments!$V$6:$V$1005,0))),""))</f>
        <v/>
      </c>
      <c r="I41" s="39">
        <f>IF($A41="","",IFERROR(IF(INDEX(Investments!$S$6:$S$1005,MATCH($A41,Investments!$V$6:$V$1005,0))="","",INDEX(Investments!$S$6:$S$1005,MATCH($A41,Investments!$V$6:$V$1005,0))),""))</f>
        <v/>
      </c>
      <c r="J41" s="31">
        <f>IF($A41="","",IFERROR(IF(INDEX(Investments!$T$6:$T$1005,MATCH($A41,Investments!$V$6:$V$1005,0))="","",INDEX(Investments!$T$6:$T$1005,MATCH($A41,Investments!$V$6:$V$1005,0))),""))</f>
        <v/>
      </c>
      <c r="K41" s="31">
        <f>IF($A41="","",IFERROR(IF(INDEX(Investments!$O$6:$O$1005,MATCH($A41,Investments!$V$6:$V$1005,0))="","",INDEX(Investments!$O$6:$O$1005,MATCH($A41,Investments!$V$6:$V$1005,0))),""))</f>
        <v/>
      </c>
    </row>
    <row r="42">
      <c r="A42" s="58">
        <f>IF($C$4="","",IF(21&gt;COUNTIFS(Investments!$A$6:$A$1005,$C$4),"",21))</f>
        <v/>
      </c>
      <c r="B42" s="22">
        <f>IF($A42="","",IFERROR(IF(INDEX(Investments!$B$6:$B$1005,MATCH($A42,Investments!$V$6:$V$1005,0))="","",INDEX(Investments!$B$6:$B$1005,MATCH($A42,Investments!$V$6:$V$1005,0))),""))</f>
        <v/>
      </c>
      <c r="C42" s="22">
        <f>IF($A42="","",IFERROR(IF(INDEX(Investments!$C$6:$C$1005,MATCH($A42,Investments!$V$6:$V$1005,0))="","",INDEX(Investments!$C$6:$C$1005,MATCH($A42,Investments!$V$6:$V$1005,0))),""))</f>
        <v/>
      </c>
      <c r="D42" s="22">
        <f>IF($A42="","",IFERROR(IF(INDEX(Investments!$D$6:$D$1005,MATCH($A42,Investments!$V$6:$V$1005,0))="","",INDEX(Investments!$D$6:$D$1005,MATCH($A42,Investments!$V$6:$V$1005,0))),""))</f>
        <v/>
      </c>
      <c r="E42" s="23">
        <f>IF($A42="","",IFERROR(IF(INDEX(Investments!$E$6:$E$1005,MATCH($A42,Investments!$V$6:$V$1005,0))="","",INDEX(Investments!$E$6:$E$1005,MATCH($A42,Investments!$V$6:$V$1005,0))),""))</f>
        <v/>
      </c>
      <c r="F42" s="49">
        <f>IF($A42="","",IFERROR(IF(INDEX(Investments!$Q$6:$Q$1005,MATCH($A42,Investments!$V$6:$V$1005,0))="","",INDEX(Investments!$Q$6:$Q$1005,MATCH($A42,Investments!$V$6:$V$1005,0))),""))</f>
        <v/>
      </c>
      <c r="G42" s="49">
        <f>IF($A42="","",IFERROR(IF(INDEX(Investments!$R$6:$R$1005,MATCH($A42,Investments!$V$6:$V$1005,0))="","",INDEX(Investments!$R$6:$R$1005,MATCH($A42,Investments!$V$6:$V$1005,0))),""))</f>
        <v/>
      </c>
      <c r="H42" s="49">
        <f>IF($A42="","",IFERROR(IF(INDEX(Investments!$L$6:$L$1005,MATCH($A42,Investments!$V$6:$V$1005,0))="","",INDEX(Investments!$L$6:$L$1005,MATCH($A42,Investments!$V$6:$V$1005,0))),""))</f>
        <v/>
      </c>
      <c r="I42" s="49">
        <f>IF($A42="","",IFERROR(IF(INDEX(Investments!$S$6:$S$1005,MATCH($A42,Investments!$V$6:$V$1005,0))="","",INDEX(Investments!$S$6:$S$1005,MATCH($A42,Investments!$V$6:$V$1005,0))),""))</f>
        <v/>
      </c>
      <c r="J42" s="26">
        <f>IF($A42="","",IFERROR(IF(INDEX(Investments!$T$6:$T$1005,MATCH($A42,Investments!$V$6:$V$1005,0))="","",INDEX(Investments!$T$6:$T$1005,MATCH($A42,Investments!$V$6:$V$1005,0))),""))</f>
        <v/>
      </c>
      <c r="K42" s="26">
        <f>IF($A42="","",IFERROR(IF(INDEX(Investments!$O$6:$O$1005,MATCH($A42,Investments!$V$6:$V$1005,0))="","",INDEX(Investments!$O$6:$O$1005,MATCH($A42,Investments!$V$6:$V$1005,0))),""))</f>
        <v/>
      </c>
    </row>
    <row r="43">
      <c r="A43" s="59">
        <f>IF($C$4="","",IF(22&gt;COUNTIFS(Investments!$A$6:$A$1005,$C$4),"",22))</f>
        <v/>
      </c>
      <c r="B43" s="27">
        <f>IF($A43="","",IFERROR(IF(INDEX(Investments!$B$6:$B$1005,MATCH($A43,Investments!$V$6:$V$1005,0))="","",INDEX(Investments!$B$6:$B$1005,MATCH($A43,Investments!$V$6:$V$1005,0))),""))</f>
        <v/>
      </c>
      <c r="C43" s="27">
        <f>IF($A43="","",IFERROR(IF(INDEX(Investments!$C$6:$C$1005,MATCH($A43,Investments!$V$6:$V$1005,0))="","",INDEX(Investments!$C$6:$C$1005,MATCH($A43,Investments!$V$6:$V$1005,0))),""))</f>
        <v/>
      </c>
      <c r="D43" s="27">
        <f>IF($A43="","",IFERROR(IF(INDEX(Investments!$D$6:$D$1005,MATCH($A43,Investments!$V$6:$V$1005,0))="","",INDEX(Investments!$D$6:$D$1005,MATCH($A43,Investments!$V$6:$V$1005,0))),""))</f>
        <v/>
      </c>
      <c r="E43" s="28">
        <f>IF($A43="","",IFERROR(IF(INDEX(Investments!$E$6:$E$1005,MATCH($A43,Investments!$V$6:$V$1005,0))="","",INDEX(Investments!$E$6:$E$1005,MATCH($A43,Investments!$V$6:$V$1005,0))),""))</f>
        <v/>
      </c>
      <c r="F43" s="39">
        <f>IF($A43="","",IFERROR(IF(INDEX(Investments!$Q$6:$Q$1005,MATCH($A43,Investments!$V$6:$V$1005,0))="","",INDEX(Investments!$Q$6:$Q$1005,MATCH($A43,Investments!$V$6:$V$1005,0))),""))</f>
        <v/>
      </c>
      <c r="G43" s="39">
        <f>IF($A43="","",IFERROR(IF(INDEX(Investments!$R$6:$R$1005,MATCH($A43,Investments!$V$6:$V$1005,0))="","",INDEX(Investments!$R$6:$R$1005,MATCH($A43,Investments!$V$6:$V$1005,0))),""))</f>
        <v/>
      </c>
      <c r="H43" s="39">
        <f>IF($A43="","",IFERROR(IF(INDEX(Investments!$L$6:$L$1005,MATCH($A43,Investments!$V$6:$V$1005,0))="","",INDEX(Investments!$L$6:$L$1005,MATCH($A43,Investments!$V$6:$V$1005,0))),""))</f>
        <v/>
      </c>
      <c r="I43" s="39">
        <f>IF($A43="","",IFERROR(IF(INDEX(Investments!$S$6:$S$1005,MATCH($A43,Investments!$V$6:$V$1005,0))="","",INDEX(Investments!$S$6:$S$1005,MATCH($A43,Investments!$V$6:$V$1005,0))),""))</f>
        <v/>
      </c>
      <c r="J43" s="31">
        <f>IF($A43="","",IFERROR(IF(INDEX(Investments!$T$6:$T$1005,MATCH($A43,Investments!$V$6:$V$1005,0))="","",INDEX(Investments!$T$6:$T$1005,MATCH($A43,Investments!$V$6:$V$1005,0))),""))</f>
        <v/>
      </c>
      <c r="K43" s="31">
        <f>IF($A43="","",IFERROR(IF(INDEX(Investments!$O$6:$O$1005,MATCH($A43,Investments!$V$6:$V$1005,0))="","",INDEX(Investments!$O$6:$O$1005,MATCH($A43,Investments!$V$6:$V$1005,0))),""))</f>
        <v/>
      </c>
    </row>
    <row r="44">
      <c r="A44" s="58">
        <f>IF($C$4="","",IF(23&gt;COUNTIFS(Investments!$A$6:$A$1005,$C$4),"",23))</f>
        <v/>
      </c>
      <c r="B44" s="22">
        <f>IF($A44="","",IFERROR(IF(INDEX(Investments!$B$6:$B$1005,MATCH($A44,Investments!$V$6:$V$1005,0))="","",INDEX(Investments!$B$6:$B$1005,MATCH($A44,Investments!$V$6:$V$1005,0))),""))</f>
        <v/>
      </c>
      <c r="C44" s="22">
        <f>IF($A44="","",IFERROR(IF(INDEX(Investments!$C$6:$C$1005,MATCH($A44,Investments!$V$6:$V$1005,0))="","",INDEX(Investments!$C$6:$C$1005,MATCH($A44,Investments!$V$6:$V$1005,0))),""))</f>
        <v/>
      </c>
      <c r="D44" s="22">
        <f>IF($A44="","",IFERROR(IF(INDEX(Investments!$D$6:$D$1005,MATCH($A44,Investments!$V$6:$V$1005,0))="","",INDEX(Investments!$D$6:$D$1005,MATCH($A44,Investments!$V$6:$V$1005,0))),""))</f>
        <v/>
      </c>
      <c r="E44" s="23">
        <f>IF($A44="","",IFERROR(IF(INDEX(Investments!$E$6:$E$1005,MATCH($A44,Investments!$V$6:$V$1005,0))="","",INDEX(Investments!$E$6:$E$1005,MATCH($A44,Investments!$V$6:$V$1005,0))),""))</f>
        <v/>
      </c>
      <c r="F44" s="49">
        <f>IF($A44="","",IFERROR(IF(INDEX(Investments!$Q$6:$Q$1005,MATCH($A44,Investments!$V$6:$V$1005,0))="","",INDEX(Investments!$Q$6:$Q$1005,MATCH($A44,Investments!$V$6:$V$1005,0))),""))</f>
        <v/>
      </c>
      <c r="G44" s="49">
        <f>IF($A44="","",IFERROR(IF(INDEX(Investments!$R$6:$R$1005,MATCH($A44,Investments!$V$6:$V$1005,0))="","",INDEX(Investments!$R$6:$R$1005,MATCH($A44,Investments!$V$6:$V$1005,0))),""))</f>
        <v/>
      </c>
      <c r="H44" s="49">
        <f>IF($A44="","",IFERROR(IF(INDEX(Investments!$L$6:$L$1005,MATCH($A44,Investments!$V$6:$V$1005,0))="","",INDEX(Investments!$L$6:$L$1005,MATCH($A44,Investments!$V$6:$V$1005,0))),""))</f>
        <v/>
      </c>
      <c r="I44" s="49">
        <f>IF($A44="","",IFERROR(IF(INDEX(Investments!$S$6:$S$1005,MATCH($A44,Investments!$V$6:$V$1005,0))="","",INDEX(Investments!$S$6:$S$1005,MATCH($A44,Investments!$V$6:$V$1005,0))),""))</f>
        <v/>
      </c>
      <c r="J44" s="26">
        <f>IF($A44="","",IFERROR(IF(INDEX(Investments!$T$6:$T$1005,MATCH($A44,Investments!$V$6:$V$1005,0))="","",INDEX(Investments!$T$6:$T$1005,MATCH($A44,Investments!$V$6:$V$1005,0))),""))</f>
        <v/>
      </c>
      <c r="K44" s="26">
        <f>IF($A44="","",IFERROR(IF(INDEX(Investments!$O$6:$O$1005,MATCH($A44,Investments!$V$6:$V$1005,0))="","",INDEX(Investments!$O$6:$O$1005,MATCH($A44,Investments!$V$6:$V$1005,0))),""))</f>
        <v/>
      </c>
    </row>
    <row r="45">
      <c r="A45" s="59">
        <f>IF($C$4="","",IF(24&gt;COUNTIFS(Investments!$A$6:$A$1005,$C$4),"",24))</f>
        <v/>
      </c>
      <c r="B45" s="27">
        <f>IF($A45="","",IFERROR(IF(INDEX(Investments!$B$6:$B$1005,MATCH($A45,Investments!$V$6:$V$1005,0))="","",INDEX(Investments!$B$6:$B$1005,MATCH($A45,Investments!$V$6:$V$1005,0))),""))</f>
        <v/>
      </c>
      <c r="C45" s="27">
        <f>IF($A45="","",IFERROR(IF(INDEX(Investments!$C$6:$C$1005,MATCH($A45,Investments!$V$6:$V$1005,0))="","",INDEX(Investments!$C$6:$C$1005,MATCH($A45,Investments!$V$6:$V$1005,0))),""))</f>
        <v/>
      </c>
      <c r="D45" s="27">
        <f>IF($A45="","",IFERROR(IF(INDEX(Investments!$D$6:$D$1005,MATCH($A45,Investments!$V$6:$V$1005,0))="","",INDEX(Investments!$D$6:$D$1005,MATCH($A45,Investments!$V$6:$V$1005,0))),""))</f>
        <v/>
      </c>
      <c r="E45" s="28">
        <f>IF($A45="","",IFERROR(IF(INDEX(Investments!$E$6:$E$1005,MATCH($A45,Investments!$V$6:$V$1005,0))="","",INDEX(Investments!$E$6:$E$1005,MATCH($A45,Investments!$V$6:$V$1005,0))),""))</f>
        <v/>
      </c>
      <c r="F45" s="39">
        <f>IF($A45="","",IFERROR(IF(INDEX(Investments!$Q$6:$Q$1005,MATCH($A45,Investments!$V$6:$V$1005,0))="","",INDEX(Investments!$Q$6:$Q$1005,MATCH($A45,Investments!$V$6:$V$1005,0))),""))</f>
        <v/>
      </c>
      <c r="G45" s="39">
        <f>IF($A45="","",IFERROR(IF(INDEX(Investments!$R$6:$R$1005,MATCH($A45,Investments!$V$6:$V$1005,0))="","",INDEX(Investments!$R$6:$R$1005,MATCH($A45,Investments!$V$6:$V$1005,0))),""))</f>
        <v/>
      </c>
      <c r="H45" s="39">
        <f>IF($A45="","",IFERROR(IF(INDEX(Investments!$L$6:$L$1005,MATCH($A45,Investments!$V$6:$V$1005,0))="","",INDEX(Investments!$L$6:$L$1005,MATCH($A45,Investments!$V$6:$V$1005,0))),""))</f>
        <v/>
      </c>
      <c r="I45" s="39">
        <f>IF($A45="","",IFERROR(IF(INDEX(Investments!$S$6:$S$1005,MATCH($A45,Investments!$V$6:$V$1005,0))="","",INDEX(Investments!$S$6:$S$1005,MATCH($A45,Investments!$V$6:$V$1005,0))),""))</f>
        <v/>
      </c>
      <c r="J45" s="31">
        <f>IF($A45="","",IFERROR(IF(INDEX(Investments!$T$6:$T$1005,MATCH($A45,Investments!$V$6:$V$1005,0))="","",INDEX(Investments!$T$6:$T$1005,MATCH($A45,Investments!$V$6:$V$1005,0))),""))</f>
        <v/>
      </c>
      <c r="K45" s="31">
        <f>IF($A45="","",IFERROR(IF(INDEX(Investments!$O$6:$O$1005,MATCH($A45,Investments!$V$6:$V$1005,0))="","",INDEX(Investments!$O$6:$O$1005,MATCH($A45,Investments!$V$6:$V$1005,0))),""))</f>
        <v/>
      </c>
    </row>
    <row r="46">
      <c r="A46" s="58">
        <f>IF($C$4="","",IF(25&gt;COUNTIFS(Investments!$A$6:$A$1005,$C$4),"",25))</f>
        <v/>
      </c>
      <c r="B46" s="22">
        <f>IF($A46="","",IFERROR(IF(INDEX(Investments!$B$6:$B$1005,MATCH($A46,Investments!$V$6:$V$1005,0))="","",INDEX(Investments!$B$6:$B$1005,MATCH($A46,Investments!$V$6:$V$1005,0))),""))</f>
        <v/>
      </c>
      <c r="C46" s="22">
        <f>IF($A46="","",IFERROR(IF(INDEX(Investments!$C$6:$C$1005,MATCH($A46,Investments!$V$6:$V$1005,0))="","",INDEX(Investments!$C$6:$C$1005,MATCH($A46,Investments!$V$6:$V$1005,0))),""))</f>
        <v/>
      </c>
      <c r="D46" s="22">
        <f>IF($A46="","",IFERROR(IF(INDEX(Investments!$D$6:$D$1005,MATCH($A46,Investments!$V$6:$V$1005,0))="","",INDEX(Investments!$D$6:$D$1005,MATCH($A46,Investments!$V$6:$V$1005,0))),""))</f>
        <v/>
      </c>
      <c r="E46" s="23">
        <f>IF($A46="","",IFERROR(IF(INDEX(Investments!$E$6:$E$1005,MATCH($A46,Investments!$V$6:$V$1005,0))="","",INDEX(Investments!$E$6:$E$1005,MATCH($A46,Investments!$V$6:$V$1005,0))),""))</f>
        <v/>
      </c>
      <c r="F46" s="49">
        <f>IF($A46="","",IFERROR(IF(INDEX(Investments!$Q$6:$Q$1005,MATCH($A46,Investments!$V$6:$V$1005,0))="","",INDEX(Investments!$Q$6:$Q$1005,MATCH($A46,Investments!$V$6:$V$1005,0))),""))</f>
        <v/>
      </c>
      <c r="G46" s="49">
        <f>IF($A46="","",IFERROR(IF(INDEX(Investments!$R$6:$R$1005,MATCH($A46,Investments!$V$6:$V$1005,0))="","",INDEX(Investments!$R$6:$R$1005,MATCH($A46,Investments!$V$6:$V$1005,0))),""))</f>
        <v/>
      </c>
      <c r="H46" s="49">
        <f>IF($A46="","",IFERROR(IF(INDEX(Investments!$L$6:$L$1005,MATCH($A46,Investments!$V$6:$V$1005,0))="","",INDEX(Investments!$L$6:$L$1005,MATCH($A46,Investments!$V$6:$V$1005,0))),""))</f>
        <v/>
      </c>
      <c r="I46" s="49">
        <f>IF($A46="","",IFERROR(IF(INDEX(Investments!$S$6:$S$1005,MATCH($A46,Investments!$V$6:$V$1005,0))="","",INDEX(Investments!$S$6:$S$1005,MATCH($A46,Investments!$V$6:$V$1005,0))),""))</f>
        <v/>
      </c>
      <c r="J46" s="26">
        <f>IF($A46="","",IFERROR(IF(INDEX(Investments!$T$6:$T$1005,MATCH($A46,Investments!$V$6:$V$1005,0))="","",INDEX(Investments!$T$6:$T$1005,MATCH($A46,Investments!$V$6:$V$1005,0))),""))</f>
        <v/>
      </c>
      <c r="K46" s="26">
        <f>IF($A46="","",IFERROR(IF(INDEX(Investments!$O$6:$O$1005,MATCH($A46,Investments!$V$6:$V$1005,0))="","",INDEX(Investments!$O$6:$O$1005,MATCH($A46,Investments!$V$6:$V$1005,0))),""))</f>
        <v/>
      </c>
    </row>
    <row r="47">
      <c r="A47" s="59">
        <f>IF($C$4="","",IF(26&gt;COUNTIFS(Investments!$A$6:$A$1005,$C$4),"",26))</f>
        <v/>
      </c>
      <c r="B47" s="27">
        <f>IF($A47="","",IFERROR(IF(INDEX(Investments!$B$6:$B$1005,MATCH($A47,Investments!$V$6:$V$1005,0))="","",INDEX(Investments!$B$6:$B$1005,MATCH($A47,Investments!$V$6:$V$1005,0))),""))</f>
        <v/>
      </c>
      <c r="C47" s="27">
        <f>IF($A47="","",IFERROR(IF(INDEX(Investments!$C$6:$C$1005,MATCH($A47,Investments!$V$6:$V$1005,0))="","",INDEX(Investments!$C$6:$C$1005,MATCH($A47,Investments!$V$6:$V$1005,0))),""))</f>
        <v/>
      </c>
      <c r="D47" s="27">
        <f>IF($A47="","",IFERROR(IF(INDEX(Investments!$D$6:$D$1005,MATCH($A47,Investments!$V$6:$V$1005,0))="","",INDEX(Investments!$D$6:$D$1005,MATCH($A47,Investments!$V$6:$V$1005,0))),""))</f>
        <v/>
      </c>
      <c r="E47" s="28">
        <f>IF($A47="","",IFERROR(IF(INDEX(Investments!$E$6:$E$1005,MATCH($A47,Investments!$V$6:$V$1005,0))="","",INDEX(Investments!$E$6:$E$1005,MATCH($A47,Investments!$V$6:$V$1005,0))),""))</f>
        <v/>
      </c>
      <c r="F47" s="39">
        <f>IF($A47="","",IFERROR(IF(INDEX(Investments!$Q$6:$Q$1005,MATCH($A47,Investments!$V$6:$V$1005,0))="","",INDEX(Investments!$Q$6:$Q$1005,MATCH($A47,Investments!$V$6:$V$1005,0))),""))</f>
        <v/>
      </c>
      <c r="G47" s="39">
        <f>IF($A47="","",IFERROR(IF(INDEX(Investments!$R$6:$R$1005,MATCH($A47,Investments!$V$6:$V$1005,0))="","",INDEX(Investments!$R$6:$R$1005,MATCH($A47,Investments!$V$6:$V$1005,0))),""))</f>
        <v/>
      </c>
      <c r="H47" s="39">
        <f>IF($A47="","",IFERROR(IF(INDEX(Investments!$L$6:$L$1005,MATCH($A47,Investments!$V$6:$V$1005,0))="","",INDEX(Investments!$L$6:$L$1005,MATCH($A47,Investments!$V$6:$V$1005,0))),""))</f>
        <v/>
      </c>
      <c r="I47" s="39">
        <f>IF($A47="","",IFERROR(IF(INDEX(Investments!$S$6:$S$1005,MATCH($A47,Investments!$V$6:$V$1005,0))="","",INDEX(Investments!$S$6:$S$1005,MATCH($A47,Investments!$V$6:$V$1005,0))),""))</f>
        <v/>
      </c>
      <c r="J47" s="31">
        <f>IF($A47="","",IFERROR(IF(INDEX(Investments!$T$6:$T$1005,MATCH($A47,Investments!$V$6:$V$1005,0))="","",INDEX(Investments!$T$6:$T$1005,MATCH($A47,Investments!$V$6:$V$1005,0))),""))</f>
        <v/>
      </c>
      <c r="K47" s="31">
        <f>IF($A47="","",IFERROR(IF(INDEX(Investments!$O$6:$O$1005,MATCH($A47,Investments!$V$6:$V$1005,0))="","",INDEX(Investments!$O$6:$O$1005,MATCH($A47,Investments!$V$6:$V$1005,0))),""))</f>
        <v/>
      </c>
    </row>
    <row r="48">
      <c r="A48" s="58">
        <f>IF($C$4="","",IF(27&gt;COUNTIFS(Investments!$A$6:$A$1005,$C$4),"",27))</f>
        <v/>
      </c>
      <c r="B48" s="22">
        <f>IF($A48="","",IFERROR(IF(INDEX(Investments!$B$6:$B$1005,MATCH($A48,Investments!$V$6:$V$1005,0))="","",INDEX(Investments!$B$6:$B$1005,MATCH($A48,Investments!$V$6:$V$1005,0))),""))</f>
        <v/>
      </c>
      <c r="C48" s="22">
        <f>IF($A48="","",IFERROR(IF(INDEX(Investments!$C$6:$C$1005,MATCH($A48,Investments!$V$6:$V$1005,0))="","",INDEX(Investments!$C$6:$C$1005,MATCH($A48,Investments!$V$6:$V$1005,0))),""))</f>
        <v/>
      </c>
      <c r="D48" s="22">
        <f>IF($A48="","",IFERROR(IF(INDEX(Investments!$D$6:$D$1005,MATCH($A48,Investments!$V$6:$V$1005,0))="","",INDEX(Investments!$D$6:$D$1005,MATCH($A48,Investments!$V$6:$V$1005,0))),""))</f>
        <v/>
      </c>
      <c r="E48" s="23">
        <f>IF($A48="","",IFERROR(IF(INDEX(Investments!$E$6:$E$1005,MATCH($A48,Investments!$V$6:$V$1005,0))="","",INDEX(Investments!$E$6:$E$1005,MATCH($A48,Investments!$V$6:$V$1005,0))),""))</f>
        <v/>
      </c>
      <c r="F48" s="49">
        <f>IF($A48="","",IFERROR(IF(INDEX(Investments!$Q$6:$Q$1005,MATCH($A48,Investments!$V$6:$V$1005,0))="","",INDEX(Investments!$Q$6:$Q$1005,MATCH($A48,Investments!$V$6:$V$1005,0))),""))</f>
        <v/>
      </c>
      <c r="G48" s="49">
        <f>IF($A48="","",IFERROR(IF(INDEX(Investments!$R$6:$R$1005,MATCH($A48,Investments!$V$6:$V$1005,0))="","",INDEX(Investments!$R$6:$R$1005,MATCH($A48,Investments!$V$6:$V$1005,0))),""))</f>
        <v/>
      </c>
      <c r="H48" s="49">
        <f>IF($A48="","",IFERROR(IF(INDEX(Investments!$L$6:$L$1005,MATCH($A48,Investments!$V$6:$V$1005,0))="","",INDEX(Investments!$L$6:$L$1005,MATCH($A48,Investments!$V$6:$V$1005,0))),""))</f>
        <v/>
      </c>
      <c r="I48" s="49">
        <f>IF($A48="","",IFERROR(IF(INDEX(Investments!$S$6:$S$1005,MATCH($A48,Investments!$V$6:$V$1005,0))="","",INDEX(Investments!$S$6:$S$1005,MATCH($A48,Investments!$V$6:$V$1005,0))),""))</f>
        <v/>
      </c>
      <c r="J48" s="26">
        <f>IF($A48="","",IFERROR(IF(INDEX(Investments!$T$6:$T$1005,MATCH($A48,Investments!$V$6:$V$1005,0))="","",INDEX(Investments!$T$6:$T$1005,MATCH($A48,Investments!$V$6:$V$1005,0))),""))</f>
        <v/>
      </c>
      <c r="K48" s="26">
        <f>IF($A48="","",IFERROR(IF(INDEX(Investments!$O$6:$O$1005,MATCH($A48,Investments!$V$6:$V$1005,0))="","",INDEX(Investments!$O$6:$O$1005,MATCH($A48,Investments!$V$6:$V$1005,0))),""))</f>
        <v/>
      </c>
    </row>
    <row r="49">
      <c r="A49" s="59">
        <f>IF($C$4="","",IF(28&gt;COUNTIFS(Investments!$A$6:$A$1005,$C$4),"",28))</f>
        <v/>
      </c>
      <c r="B49" s="27">
        <f>IF($A49="","",IFERROR(IF(INDEX(Investments!$B$6:$B$1005,MATCH($A49,Investments!$V$6:$V$1005,0))="","",INDEX(Investments!$B$6:$B$1005,MATCH($A49,Investments!$V$6:$V$1005,0))),""))</f>
        <v/>
      </c>
      <c r="C49" s="27">
        <f>IF($A49="","",IFERROR(IF(INDEX(Investments!$C$6:$C$1005,MATCH($A49,Investments!$V$6:$V$1005,0))="","",INDEX(Investments!$C$6:$C$1005,MATCH($A49,Investments!$V$6:$V$1005,0))),""))</f>
        <v/>
      </c>
      <c r="D49" s="27">
        <f>IF($A49="","",IFERROR(IF(INDEX(Investments!$D$6:$D$1005,MATCH($A49,Investments!$V$6:$V$1005,0))="","",INDEX(Investments!$D$6:$D$1005,MATCH($A49,Investments!$V$6:$V$1005,0))),""))</f>
        <v/>
      </c>
      <c r="E49" s="28">
        <f>IF($A49="","",IFERROR(IF(INDEX(Investments!$E$6:$E$1005,MATCH($A49,Investments!$V$6:$V$1005,0))="","",INDEX(Investments!$E$6:$E$1005,MATCH($A49,Investments!$V$6:$V$1005,0))),""))</f>
        <v/>
      </c>
      <c r="F49" s="39">
        <f>IF($A49="","",IFERROR(IF(INDEX(Investments!$Q$6:$Q$1005,MATCH($A49,Investments!$V$6:$V$1005,0))="","",INDEX(Investments!$Q$6:$Q$1005,MATCH($A49,Investments!$V$6:$V$1005,0))),""))</f>
        <v/>
      </c>
      <c r="G49" s="39">
        <f>IF($A49="","",IFERROR(IF(INDEX(Investments!$R$6:$R$1005,MATCH($A49,Investments!$V$6:$V$1005,0))="","",INDEX(Investments!$R$6:$R$1005,MATCH($A49,Investments!$V$6:$V$1005,0))),""))</f>
        <v/>
      </c>
      <c r="H49" s="39">
        <f>IF($A49="","",IFERROR(IF(INDEX(Investments!$L$6:$L$1005,MATCH($A49,Investments!$V$6:$V$1005,0))="","",INDEX(Investments!$L$6:$L$1005,MATCH($A49,Investments!$V$6:$V$1005,0))),""))</f>
        <v/>
      </c>
      <c r="I49" s="39">
        <f>IF($A49="","",IFERROR(IF(INDEX(Investments!$S$6:$S$1005,MATCH($A49,Investments!$V$6:$V$1005,0))="","",INDEX(Investments!$S$6:$S$1005,MATCH($A49,Investments!$V$6:$V$1005,0))),""))</f>
        <v/>
      </c>
      <c r="J49" s="31">
        <f>IF($A49="","",IFERROR(IF(INDEX(Investments!$T$6:$T$1005,MATCH($A49,Investments!$V$6:$V$1005,0))="","",INDEX(Investments!$T$6:$T$1005,MATCH($A49,Investments!$V$6:$V$1005,0))),""))</f>
        <v/>
      </c>
      <c r="K49" s="31">
        <f>IF($A49="","",IFERROR(IF(INDEX(Investments!$O$6:$O$1005,MATCH($A49,Investments!$V$6:$V$1005,0))="","",INDEX(Investments!$O$6:$O$1005,MATCH($A49,Investments!$V$6:$V$1005,0))),""))</f>
        <v/>
      </c>
    </row>
    <row r="50">
      <c r="A50" s="58">
        <f>IF($C$4="","",IF(29&gt;COUNTIFS(Investments!$A$6:$A$1005,$C$4),"",29))</f>
        <v/>
      </c>
      <c r="B50" s="22">
        <f>IF($A50="","",IFERROR(IF(INDEX(Investments!$B$6:$B$1005,MATCH($A50,Investments!$V$6:$V$1005,0))="","",INDEX(Investments!$B$6:$B$1005,MATCH($A50,Investments!$V$6:$V$1005,0))),""))</f>
        <v/>
      </c>
      <c r="C50" s="22">
        <f>IF($A50="","",IFERROR(IF(INDEX(Investments!$C$6:$C$1005,MATCH($A50,Investments!$V$6:$V$1005,0))="","",INDEX(Investments!$C$6:$C$1005,MATCH($A50,Investments!$V$6:$V$1005,0))),""))</f>
        <v/>
      </c>
      <c r="D50" s="22">
        <f>IF($A50="","",IFERROR(IF(INDEX(Investments!$D$6:$D$1005,MATCH($A50,Investments!$V$6:$V$1005,0))="","",INDEX(Investments!$D$6:$D$1005,MATCH($A50,Investments!$V$6:$V$1005,0))),""))</f>
        <v/>
      </c>
      <c r="E50" s="23">
        <f>IF($A50="","",IFERROR(IF(INDEX(Investments!$E$6:$E$1005,MATCH($A50,Investments!$V$6:$V$1005,0))="","",INDEX(Investments!$E$6:$E$1005,MATCH($A50,Investments!$V$6:$V$1005,0))),""))</f>
        <v/>
      </c>
      <c r="F50" s="49">
        <f>IF($A50="","",IFERROR(IF(INDEX(Investments!$Q$6:$Q$1005,MATCH($A50,Investments!$V$6:$V$1005,0))="","",INDEX(Investments!$Q$6:$Q$1005,MATCH($A50,Investments!$V$6:$V$1005,0))),""))</f>
        <v/>
      </c>
      <c r="G50" s="49">
        <f>IF($A50="","",IFERROR(IF(INDEX(Investments!$R$6:$R$1005,MATCH($A50,Investments!$V$6:$V$1005,0))="","",INDEX(Investments!$R$6:$R$1005,MATCH($A50,Investments!$V$6:$V$1005,0))),""))</f>
        <v/>
      </c>
      <c r="H50" s="49">
        <f>IF($A50="","",IFERROR(IF(INDEX(Investments!$L$6:$L$1005,MATCH($A50,Investments!$V$6:$V$1005,0))="","",INDEX(Investments!$L$6:$L$1005,MATCH($A50,Investments!$V$6:$V$1005,0))),""))</f>
        <v/>
      </c>
      <c r="I50" s="49">
        <f>IF($A50="","",IFERROR(IF(INDEX(Investments!$S$6:$S$1005,MATCH($A50,Investments!$V$6:$V$1005,0))="","",INDEX(Investments!$S$6:$S$1005,MATCH($A50,Investments!$V$6:$V$1005,0))),""))</f>
        <v/>
      </c>
      <c r="J50" s="26">
        <f>IF($A50="","",IFERROR(IF(INDEX(Investments!$T$6:$T$1005,MATCH($A50,Investments!$V$6:$V$1005,0))="","",INDEX(Investments!$T$6:$T$1005,MATCH($A50,Investments!$V$6:$V$1005,0))),""))</f>
        <v/>
      </c>
      <c r="K50" s="26">
        <f>IF($A50="","",IFERROR(IF(INDEX(Investments!$O$6:$O$1005,MATCH($A50,Investments!$V$6:$V$1005,0))="","",INDEX(Investments!$O$6:$O$1005,MATCH($A50,Investments!$V$6:$V$1005,0))),""))</f>
        <v/>
      </c>
    </row>
    <row r="51">
      <c r="A51" s="59">
        <f>IF($C$4="","",IF(30&gt;COUNTIFS(Investments!$A$6:$A$1005,$C$4),"",30))</f>
        <v/>
      </c>
      <c r="B51" s="27">
        <f>IF($A51="","",IFERROR(IF(INDEX(Investments!$B$6:$B$1005,MATCH($A51,Investments!$V$6:$V$1005,0))="","",INDEX(Investments!$B$6:$B$1005,MATCH($A51,Investments!$V$6:$V$1005,0))),""))</f>
        <v/>
      </c>
      <c r="C51" s="27">
        <f>IF($A51="","",IFERROR(IF(INDEX(Investments!$C$6:$C$1005,MATCH($A51,Investments!$V$6:$V$1005,0))="","",INDEX(Investments!$C$6:$C$1005,MATCH($A51,Investments!$V$6:$V$1005,0))),""))</f>
        <v/>
      </c>
      <c r="D51" s="27">
        <f>IF($A51="","",IFERROR(IF(INDEX(Investments!$D$6:$D$1005,MATCH($A51,Investments!$V$6:$V$1005,0))="","",INDEX(Investments!$D$6:$D$1005,MATCH($A51,Investments!$V$6:$V$1005,0))),""))</f>
        <v/>
      </c>
      <c r="E51" s="28">
        <f>IF($A51="","",IFERROR(IF(INDEX(Investments!$E$6:$E$1005,MATCH($A51,Investments!$V$6:$V$1005,0))="","",INDEX(Investments!$E$6:$E$1005,MATCH($A51,Investments!$V$6:$V$1005,0))),""))</f>
        <v/>
      </c>
      <c r="F51" s="39">
        <f>IF($A51="","",IFERROR(IF(INDEX(Investments!$Q$6:$Q$1005,MATCH($A51,Investments!$V$6:$V$1005,0))="","",INDEX(Investments!$Q$6:$Q$1005,MATCH($A51,Investments!$V$6:$V$1005,0))),""))</f>
        <v/>
      </c>
      <c r="G51" s="39">
        <f>IF($A51="","",IFERROR(IF(INDEX(Investments!$R$6:$R$1005,MATCH($A51,Investments!$V$6:$V$1005,0))="","",INDEX(Investments!$R$6:$R$1005,MATCH($A51,Investments!$V$6:$V$1005,0))),""))</f>
        <v/>
      </c>
      <c r="H51" s="39">
        <f>IF($A51="","",IFERROR(IF(INDEX(Investments!$L$6:$L$1005,MATCH($A51,Investments!$V$6:$V$1005,0))="","",INDEX(Investments!$L$6:$L$1005,MATCH($A51,Investments!$V$6:$V$1005,0))),""))</f>
        <v/>
      </c>
      <c r="I51" s="39">
        <f>IF($A51="","",IFERROR(IF(INDEX(Investments!$S$6:$S$1005,MATCH($A51,Investments!$V$6:$V$1005,0))="","",INDEX(Investments!$S$6:$S$1005,MATCH($A51,Investments!$V$6:$V$1005,0))),""))</f>
        <v/>
      </c>
      <c r="J51" s="31">
        <f>IF($A51="","",IFERROR(IF(INDEX(Investments!$T$6:$T$1005,MATCH($A51,Investments!$V$6:$V$1005,0))="","",INDEX(Investments!$T$6:$T$1005,MATCH($A51,Investments!$V$6:$V$1005,0))),""))</f>
        <v/>
      </c>
      <c r="K51" s="31">
        <f>IF($A51="","",IFERROR(IF(INDEX(Investments!$O$6:$O$1005,MATCH($A51,Investments!$V$6:$V$1005,0))="","",INDEX(Investments!$O$6:$O$1005,MATCH($A51,Investments!$V$6:$V$1005,0))),""))</f>
        <v/>
      </c>
    </row>
    <row r="52">
      <c r="A52" s="58">
        <f>IF($C$4="","",IF(31&gt;COUNTIFS(Investments!$A$6:$A$1005,$C$4),"",31))</f>
        <v/>
      </c>
      <c r="B52" s="22">
        <f>IF($A52="","",IFERROR(IF(INDEX(Investments!$B$6:$B$1005,MATCH($A52,Investments!$V$6:$V$1005,0))="","",INDEX(Investments!$B$6:$B$1005,MATCH($A52,Investments!$V$6:$V$1005,0))),""))</f>
        <v/>
      </c>
      <c r="C52" s="22">
        <f>IF($A52="","",IFERROR(IF(INDEX(Investments!$C$6:$C$1005,MATCH($A52,Investments!$V$6:$V$1005,0))="","",INDEX(Investments!$C$6:$C$1005,MATCH($A52,Investments!$V$6:$V$1005,0))),""))</f>
        <v/>
      </c>
      <c r="D52" s="22">
        <f>IF($A52="","",IFERROR(IF(INDEX(Investments!$D$6:$D$1005,MATCH($A52,Investments!$V$6:$V$1005,0))="","",INDEX(Investments!$D$6:$D$1005,MATCH($A52,Investments!$V$6:$V$1005,0))),""))</f>
        <v/>
      </c>
      <c r="E52" s="23">
        <f>IF($A52="","",IFERROR(IF(INDEX(Investments!$E$6:$E$1005,MATCH($A52,Investments!$V$6:$V$1005,0))="","",INDEX(Investments!$E$6:$E$1005,MATCH($A52,Investments!$V$6:$V$1005,0))),""))</f>
        <v/>
      </c>
      <c r="F52" s="49">
        <f>IF($A52="","",IFERROR(IF(INDEX(Investments!$Q$6:$Q$1005,MATCH($A52,Investments!$V$6:$V$1005,0))="","",INDEX(Investments!$Q$6:$Q$1005,MATCH($A52,Investments!$V$6:$V$1005,0))),""))</f>
        <v/>
      </c>
      <c r="G52" s="49">
        <f>IF($A52="","",IFERROR(IF(INDEX(Investments!$R$6:$R$1005,MATCH($A52,Investments!$V$6:$V$1005,0))="","",INDEX(Investments!$R$6:$R$1005,MATCH($A52,Investments!$V$6:$V$1005,0))),""))</f>
        <v/>
      </c>
      <c r="H52" s="49">
        <f>IF($A52="","",IFERROR(IF(INDEX(Investments!$L$6:$L$1005,MATCH($A52,Investments!$V$6:$V$1005,0))="","",INDEX(Investments!$L$6:$L$1005,MATCH($A52,Investments!$V$6:$V$1005,0))),""))</f>
        <v/>
      </c>
      <c r="I52" s="49">
        <f>IF($A52="","",IFERROR(IF(INDEX(Investments!$S$6:$S$1005,MATCH($A52,Investments!$V$6:$V$1005,0))="","",INDEX(Investments!$S$6:$S$1005,MATCH($A52,Investments!$V$6:$V$1005,0))),""))</f>
        <v/>
      </c>
      <c r="J52" s="26">
        <f>IF($A52="","",IFERROR(IF(INDEX(Investments!$T$6:$T$1005,MATCH($A52,Investments!$V$6:$V$1005,0))="","",INDEX(Investments!$T$6:$T$1005,MATCH($A52,Investments!$V$6:$V$1005,0))),""))</f>
        <v/>
      </c>
      <c r="K52" s="26">
        <f>IF($A52="","",IFERROR(IF(INDEX(Investments!$O$6:$O$1005,MATCH($A52,Investments!$V$6:$V$1005,0))="","",INDEX(Investments!$O$6:$O$1005,MATCH($A52,Investments!$V$6:$V$1005,0))),""))</f>
        <v/>
      </c>
    </row>
    <row r="53">
      <c r="A53" s="59">
        <f>IF($C$4="","",IF(32&gt;COUNTIFS(Investments!$A$6:$A$1005,$C$4),"",32))</f>
        <v/>
      </c>
      <c r="B53" s="27">
        <f>IF($A53="","",IFERROR(IF(INDEX(Investments!$B$6:$B$1005,MATCH($A53,Investments!$V$6:$V$1005,0))="","",INDEX(Investments!$B$6:$B$1005,MATCH($A53,Investments!$V$6:$V$1005,0))),""))</f>
        <v/>
      </c>
      <c r="C53" s="27">
        <f>IF($A53="","",IFERROR(IF(INDEX(Investments!$C$6:$C$1005,MATCH($A53,Investments!$V$6:$V$1005,0))="","",INDEX(Investments!$C$6:$C$1005,MATCH($A53,Investments!$V$6:$V$1005,0))),""))</f>
        <v/>
      </c>
      <c r="D53" s="27">
        <f>IF($A53="","",IFERROR(IF(INDEX(Investments!$D$6:$D$1005,MATCH($A53,Investments!$V$6:$V$1005,0))="","",INDEX(Investments!$D$6:$D$1005,MATCH($A53,Investments!$V$6:$V$1005,0))),""))</f>
        <v/>
      </c>
      <c r="E53" s="28">
        <f>IF($A53="","",IFERROR(IF(INDEX(Investments!$E$6:$E$1005,MATCH($A53,Investments!$V$6:$V$1005,0))="","",INDEX(Investments!$E$6:$E$1005,MATCH($A53,Investments!$V$6:$V$1005,0))),""))</f>
        <v/>
      </c>
      <c r="F53" s="39">
        <f>IF($A53="","",IFERROR(IF(INDEX(Investments!$Q$6:$Q$1005,MATCH($A53,Investments!$V$6:$V$1005,0))="","",INDEX(Investments!$Q$6:$Q$1005,MATCH($A53,Investments!$V$6:$V$1005,0))),""))</f>
        <v/>
      </c>
      <c r="G53" s="39">
        <f>IF($A53="","",IFERROR(IF(INDEX(Investments!$R$6:$R$1005,MATCH($A53,Investments!$V$6:$V$1005,0))="","",INDEX(Investments!$R$6:$R$1005,MATCH($A53,Investments!$V$6:$V$1005,0))),""))</f>
        <v/>
      </c>
      <c r="H53" s="39">
        <f>IF($A53="","",IFERROR(IF(INDEX(Investments!$L$6:$L$1005,MATCH($A53,Investments!$V$6:$V$1005,0))="","",INDEX(Investments!$L$6:$L$1005,MATCH($A53,Investments!$V$6:$V$1005,0))),""))</f>
        <v/>
      </c>
      <c r="I53" s="39">
        <f>IF($A53="","",IFERROR(IF(INDEX(Investments!$S$6:$S$1005,MATCH($A53,Investments!$V$6:$V$1005,0))="","",INDEX(Investments!$S$6:$S$1005,MATCH($A53,Investments!$V$6:$V$1005,0))),""))</f>
        <v/>
      </c>
      <c r="J53" s="31">
        <f>IF($A53="","",IFERROR(IF(INDEX(Investments!$T$6:$T$1005,MATCH($A53,Investments!$V$6:$V$1005,0))="","",INDEX(Investments!$T$6:$T$1005,MATCH($A53,Investments!$V$6:$V$1005,0))),""))</f>
        <v/>
      </c>
      <c r="K53" s="31">
        <f>IF($A53="","",IFERROR(IF(INDEX(Investments!$O$6:$O$1005,MATCH($A53,Investments!$V$6:$V$1005,0))="","",INDEX(Investments!$O$6:$O$1005,MATCH($A53,Investments!$V$6:$V$1005,0))),""))</f>
        <v/>
      </c>
    </row>
    <row r="54">
      <c r="A54" s="58">
        <f>IF($C$4="","",IF(33&gt;COUNTIFS(Investments!$A$6:$A$1005,$C$4),"",33))</f>
        <v/>
      </c>
      <c r="B54" s="22">
        <f>IF($A54="","",IFERROR(IF(INDEX(Investments!$B$6:$B$1005,MATCH($A54,Investments!$V$6:$V$1005,0))="","",INDEX(Investments!$B$6:$B$1005,MATCH($A54,Investments!$V$6:$V$1005,0))),""))</f>
        <v/>
      </c>
      <c r="C54" s="22">
        <f>IF($A54="","",IFERROR(IF(INDEX(Investments!$C$6:$C$1005,MATCH($A54,Investments!$V$6:$V$1005,0))="","",INDEX(Investments!$C$6:$C$1005,MATCH($A54,Investments!$V$6:$V$1005,0))),""))</f>
        <v/>
      </c>
      <c r="D54" s="22">
        <f>IF($A54="","",IFERROR(IF(INDEX(Investments!$D$6:$D$1005,MATCH($A54,Investments!$V$6:$V$1005,0))="","",INDEX(Investments!$D$6:$D$1005,MATCH($A54,Investments!$V$6:$V$1005,0))),""))</f>
        <v/>
      </c>
      <c r="E54" s="23">
        <f>IF($A54="","",IFERROR(IF(INDEX(Investments!$E$6:$E$1005,MATCH($A54,Investments!$V$6:$V$1005,0))="","",INDEX(Investments!$E$6:$E$1005,MATCH($A54,Investments!$V$6:$V$1005,0))),""))</f>
        <v/>
      </c>
      <c r="F54" s="49">
        <f>IF($A54="","",IFERROR(IF(INDEX(Investments!$Q$6:$Q$1005,MATCH($A54,Investments!$V$6:$V$1005,0))="","",INDEX(Investments!$Q$6:$Q$1005,MATCH($A54,Investments!$V$6:$V$1005,0))),""))</f>
        <v/>
      </c>
      <c r="G54" s="49">
        <f>IF($A54="","",IFERROR(IF(INDEX(Investments!$R$6:$R$1005,MATCH($A54,Investments!$V$6:$V$1005,0))="","",INDEX(Investments!$R$6:$R$1005,MATCH($A54,Investments!$V$6:$V$1005,0))),""))</f>
        <v/>
      </c>
      <c r="H54" s="49">
        <f>IF($A54="","",IFERROR(IF(INDEX(Investments!$L$6:$L$1005,MATCH($A54,Investments!$V$6:$V$1005,0))="","",INDEX(Investments!$L$6:$L$1005,MATCH($A54,Investments!$V$6:$V$1005,0))),""))</f>
        <v/>
      </c>
      <c r="I54" s="49">
        <f>IF($A54="","",IFERROR(IF(INDEX(Investments!$S$6:$S$1005,MATCH($A54,Investments!$V$6:$V$1005,0))="","",INDEX(Investments!$S$6:$S$1005,MATCH($A54,Investments!$V$6:$V$1005,0))),""))</f>
        <v/>
      </c>
      <c r="J54" s="26">
        <f>IF($A54="","",IFERROR(IF(INDEX(Investments!$T$6:$T$1005,MATCH($A54,Investments!$V$6:$V$1005,0))="","",INDEX(Investments!$T$6:$T$1005,MATCH($A54,Investments!$V$6:$V$1005,0))),""))</f>
        <v/>
      </c>
      <c r="K54" s="26">
        <f>IF($A54="","",IFERROR(IF(INDEX(Investments!$O$6:$O$1005,MATCH($A54,Investments!$V$6:$V$1005,0))="","",INDEX(Investments!$O$6:$O$1005,MATCH($A54,Investments!$V$6:$V$1005,0))),""))</f>
        <v/>
      </c>
    </row>
    <row r="55">
      <c r="A55" s="59">
        <f>IF($C$4="","",IF(34&gt;COUNTIFS(Investments!$A$6:$A$1005,$C$4),"",34))</f>
        <v/>
      </c>
      <c r="B55" s="27">
        <f>IF($A55="","",IFERROR(IF(INDEX(Investments!$B$6:$B$1005,MATCH($A55,Investments!$V$6:$V$1005,0))="","",INDEX(Investments!$B$6:$B$1005,MATCH($A55,Investments!$V$6:$V$1005,0))),""))</f>
        <v/>
      </c>
      <c r="C55" s="27">
        <f>IF($A55="","",IFERROR(IF(INDEX(Investments!$C$6:$C$1005,MATCH($A55,Investments!$V$6:$V$1005,0))="","",INDEX(Investments!$C$6:$C$1005,MATCH($A55,Investments!$V$6:$V$1005,0))),""))</f>
        <v/>
      </c>
      <c r="D55" s="27">
        <f>IF($A55="","",IFERROR(IF(INDEX(Investments!$D$6:$D$1005,MATCH($A55,Investments!$V$6:$V$1005,0))="","",INDEX(Investments!$D$6:$D$1005,MATCH($A55,Investments!$V$6:$V$1005,0))),""))</f>
        <v/>
      </c>
      <c r="E55" s="28">
        <f>IF($A55="","",IFERROR(IF(INDEX(Investments!$E$6:$E$1005,MATCH($A55,Investments!$V$6:$V$1005,0))="","",INDEX(Investments!$E$6:$E$1005,MATCH($A55,Investments!$V$6:$V$1005,0))),""))</f>
        <v/>
      </c>
      <c r="F55" s="39">
        <f>IF($A55="","",IFERROR(IF(INDEX(Investments!$Q$6:$Q$1005,MATCH($A55,Investments!$V$6:$V$1005,0))="","",INDEX(Investments!$Q$6:$Q$1005,MATCH($A55,Investments!$V$6:$V$1005,0))),""))</f>
        <v/>
      </c>
      <c r="G55" s="39">
        <f>IF($A55="","",IFERROR(IF(INDEX(Investments!$R$6:$R$1005,MATCH($A55,Investments!$V$6:$V$1005,0))="","",INDEX(Investments!$R$6:$R$1005,MATCH($A55,Investments!$V$6:$V$1005,0))),""))</f>
        <v/>
      </c>
      <c r="H55" s="39">
        <f>IF($A55="","",IFERROR(IF(INDEX(Investments!$L$6:$L$1005,MATCH($A55,Investments!$V$6:$V$1005,0))="","",INDEX(Investments!$L$6:$L$1005,MATCH($A55,Investments!$V$6:$V$1005,0))),""))</f>
        <v/>
      </c>
      <c r="I55" s="39">
        <f>IF($A55="","",IFERROR(IF(INDEX(Investments!$S$6:$S$1005,MATCH($A55,Investments!$V$6:$V$1005,0))="","",INDEX(Investments!$S$6:$S$1005,MATCH($A55,Investments!$V$6:$V$1005,0))),""))</f>
        <v/>
      </c>
      <c r="J55" s="31">
        <f>IF($A55="","",IFERROR(IF(INDEX(Investments!$T$6:$T$1005,MATCH($A55,Investments!$V$6:$V$1005,0))="","",INDEX(Investments!$T$6:$T$1005,MATCH($A55,Investments!$V$6:$V$1005,0))),""))</f>
        <v/>
      </c>
      <c r="K55" s="31">
        <f>IF($A55="","",IFERROR(IF(INDEX(Investments!$O$6:$O$1005,MATCH($A55,Investments!$V$6:$V$1005,0))="","",INDEX(Investments!$O$6:$O$1005,MATCH($A55,Investments!$V$6:$V$1005,0))),""))</f>
        <v/>
      </c>
    </row>
    <row r="56">
      <c r="A56" s="58">
        <f>IF($C$4="","",IF(35&gt;COUNTIFS(Investments!$A$6:$A$1005,$C$4),"",35))</f>
        <v/>
      </c>
      <c r="B56" s="22">
        <f>IF($A56="","",IFERROR(IF(INDEX(Investments!$B$6:$B$1005,MATCH($A56,Investments!$V$6:$V$1005,0))="","",INDEX(Investments!$B$6:$B$1005,MATCH($A56,Investments!$V$6:$V$1005,0))),""))</f>
        <v/>
      </c>
      <c r="C56" s="22">
        <f>IF($A56="","",IFERROR(IF(INDEX(Investments!$C$6:$C$1005,MATCH($A56,Investments!$V$6:$V$1005,0))="","",INDEX(Investments!$C$6:$C$1005,MATCH($A56,Investments!$V$6:$V$1005,0))),""))</f>
        <v/>
      </c>
      <c r="D56" s="22">
        <f>IF($A56="","",IFERROR(IF(INDEX(Investments!$D$6:$D$1005,MATCH($A56,Investments!$V$6:$V$1005,0))="","",INDEX(Investments!$D$6:$D$1005,MATCH($A56,Investments!$V$6:$V$1005,0))),""))</f>
        <v/>
      </c>
      <c r="E56" s="23">
        <f>IF($A56="","",IFERROR(IF(INDEX(Investments!$E$6:$E$1005,MATCH($A56,Investments!$V$6:$V$1005,0))="","",INDEX(Investments!$E$6:$E$1005,MATCH($A56,Investments!$V$6:$V$1005,0))),""))</f>
        <v/>
      </c>
      <c r="F56" s="49">
        <f>IF($A56="","",IFERROR(IF(INDEX(Investments!$Q$6:$Q$1005,MATCH($A56,Investments!$V$6:$V$1005,0))="","",INDEX(Investments!$Q$6:$Q$1005,MATCH($A56,Investments!$V$6:$V$1005,0))),""))</f>
        <v/>
      </c>
      <c r="G56" s="49">
        <f>IF($A56="","",IFERROR(IF(INDEX(Investments!$R$6:$R$1005,MATCH($A56,Investments!$V$6:$V$1005,0))="","",INDEX(Investments!$R$6:$R$1005,MATCH($A56,Investments!$V$6:$V$1005,0))),""))</f>
        <v/>
      </c>
      <c r="H56" s="49">
        <f>IF($A56="","",IFERROR(IF(INDEX(Investments!$L$6:$L$1005,MATCH($A56,Investments!$V$6:$V$1005,0))="","",INDEX(Investments!$L$6:$L$1005,MATCH($A56,Investments!$V$6:$V$1005,0))),""))</f>
        <v/>
      </c>
      <c r="I56" s="49">
        <f>IF($A56="","",IFERROR(IF(INDEX(Investments!$S$6:$S$1005,MATCH($A56,Investments!$V$6:$V$1005,0))="","",INDEX(Investments!$S$6:$S$1005,MATCH($A56,Investments!$V$6:$V$1005,0))),""))</f>
        <v/>
      </c>
      <c r="J56" s="26">
        <f>IF($A56="","",IFERROR(IF(INDEX(Investments!$T$6:$T$1005,MATCH($A56,Investments!$V$6:$V$1005,0))="","",INDEX(Investments!$T$6:$T$1005,MATCH($A56,Investments!$V$6:$V$1005,0))),""))</f>
        <v/>
      </c>
      <c r="K56" s="26">
        <f>IF($A56="","",IFERROR(IF(INDEX(Investments!$O$6:$O$1005,MATCH($A56,Investments!$V$6:$V$1005,0))="","",INDEX(Investments!$O$6:$O$1005,MATCH($A56,Investments!$V$6:$V$1005,0))),""))</f>
        <v/>
      </c>
    </row>
    <row r="57">
      <c r="A57" s="59">
        <f>IF($C$4="","",IF(36&gt;COUNTIFS(Investments!$A$6:$A$1005,$C$4),"",36))</f>
        <v/>
      </c>
      <c r="B57" s="27">
        <f>IF($A57="","",IFERROR(IF(INDEX(Investments!$B$6:$B$1005,MATCH($A57,Investments!$V$6:$V$1005,0))="","",INDEX(Investments!$B$6:$B$1005,MATCH($A57,Investments!$V$6:$V$1005,0))),""))</f>
        <v/>
      </c>
      <c r="C57" s="27">
        <f>IF($A57="","",IFERROR(IF(INDEX(Investments!$C$6:$C$1005,MATCH($A57,Investments!$V$6:$V$1005,0))="","",INDEX(Investments!$C$6:$C$1005,MATCH($A57,Investments!$V$6:$V$1005,0))),""))</f>
        <v/>
      </c>
      <c r="D57" s="27">
        <f>IF($A57="","",IFERROR(IF(INDEX(Investments!$D$6:$D$1005,MATCH($A57,Investments!$V$6:$V$1005,0))="","",INDEX(Investments!$D$6:$D$1005,MATCH($A57,Investments!$V$6:$V$1005,0))),""))</f>
        <v/>
      </c>
      <c r="E57" s="28">
        <f>IF($A57="","",IFERROR(IF(INDEX(Investments!$E$6:$E$1005,MATCH($A57,Investments!$V$6:$V$1005,0))="","",INDEX(Investments!$E$6:$E$1005,MATCH($A57,Investments!$V$6:$V$1005,0))),""))</f>
        <v/>
      </c>
      <c r="F57" s="39">
        <f>IF($A57="","",IFERROR(IF(INDEX(Investments!$Q$6:$Q$1005,MATCH($A57,Investments!$V$6:$V$1005,0))="","",INDEX(Investments!$Q$6:$Q$1005,MATCH($A57,Investments!$V$6:$V$1005,0))),""))</f>
        <v/>
      </c>
      <c r="G57" s="39">
        <f>IF($A57="","",IFERROR(IF(INDEX(Investments!$R$6:$R$1005,MATCH($A57,Investments!$V$6:$V$1005,0))="","",INDEX(Investments!$R$6:$R$1005,MATCH($A57,Investments!$V$6:$V$1005,0))),""))</f>
        <v/>
      </c>
      <c r="H57" s="39">
        <f>IF($A57="","",IFERROR(IF(INDEX(Investments!$L$6:$L$1005,MATCH($A57,Investments!$V$6:$V$1005,0))="","",INDEX(Investments!$L$6:$L$1005,MATCH($A57,Investments!$V$6:$V$1005,0))),""))</f>
        <v/>
      </c>
      <c r="I57" s="39">
        <f>IF($A57="","",IFERROR(IF(INDEX(Investments!$S$6:$S$1005,MATCH($A57,Investments!$V$6:$V$1005,0))="","",INDEX(Investments!$S$6:$S$1005,MATCH($A57,Investments!$V$6:$V$1005,0))),""))</f>
        <v/>
      </c>
      <c r="J57" s="31">
        <f>IF($A57="","",IFERROR(IF(INDEX(Investments!$T$6:$T$1005,MATCH($A57,Investments!$V$6:$V$1005,0))="","",INDEX(Investments!$T$6:$T$1005,MATCH($A57,Investments!$V$6:$V$1005,0))),""))</f>
        <v/>
      </c>
      <c r="K57" s="31">
        <f>IF($A57="","",IFERROR(IF(INDEX(Investments!$O$6:$O$1005,MATCH($A57,Investments!$V$6:$V$1005,0))="","",INDEX(Investments!$O$6:$O$1005,MATCH($A57,Investments!$V$6:$V$1005,0))),""))</f>
        <v/>
      </c>
    </row>
    <row r="58">
      <c r="A58" s="58">
        <f>IF($C$4="","",IF(37&gt;COUNTIFS(Investments!$A$6:$A$1005,$C$4),"",37))</f>
        <v/>
      </c>
      <c r="B58" s="22">
        <f>IF($A58="","",IFERROR(IF(INDEX(Investments!$B$6:$B$1005,MATCH($A58,Investments!$V$6:$V$1005,0))="","",INDEX(Investments!$B$6:$B$1005,MATCH($A58,Investments!$V$6:$V$1005,0))),""))</f>
        <v/>
      </c>
      <c r="C58" s="22">
        <f>IF($A58="","",IFERROR(IF(INDEX(Investments!$C$6:$C$1005,MATCH($A58,Investments!$V$6:$V$1005,0))="","",INDEX(Investments!$C$6:$C$1005,MATCH($A58,Investments!$V$6:$V$1005,0))),""))</f>
        <v/>
      </c>
      <c r="D58" s="22">
        <f>IF($A58="","",IFERROR(IF(INDEX(Investments!$D$6:$D$1005,MATCH($A58,Investments!$V$6:$V$1005,0))="","",INDEX(Investments!$D$6:$D$1005,MATCH($A58,Investments!$V$6:$V$1005,0))),""))</f>
        <v/>
      </c>
      <c r="E58" s="23">
        <f>IF($A58="","",IFERROR(IF(INDEX(Investments!$E$6:$E$1005,MATCH($A58,Investments!$V$6:$V$1005,0))="","",INDEX(Investments!$E$6:$E$1005,MATCH($A58,Investments!$V$6:$V$1005,0))),""))</f>
        <v/>
      </c>
      <c r="F58" s="49">
        <f>IF($A58="","",IFERROR(IF(INDEX(Investments!$Q$6:$Q$1005,MATCH($A58,Investments!$V$6:$V$1005,0))="","",INDEX(Investments!$Q$6:$Q$1005,MATCH($A58,Investments!$V$6:$V$1005,0))),""))</f>
        <v/>
      </c>
      <c r="G58" s="49">
        <f>IF($A58="","",IFERROR(IF(INDEX(Investments!$R$6:$R$1005,MATCH($A58,Investments!$V$6:$V$1005,0))="","",INDEX(Investments!$R$6:$R$1005,MATCH($A58,Investments!$V$6:$V$1005,0))),""))</f>
        <v/>
      </c>
      <c r="H58" s="49">
        <f>IF($A58="","",IFERROR(IF(INDEX(Investments!$L$6:$L$1005,MATCH($A58,Investments!$V$6:$V$1005,0))="","",INDEX(Investments!$L$6:$L$1005,MATCH($A58,Investments!$V$6:$V$1005,0))),""))</f>
        <v/>
      </c>
      <c r="I58" s="49">
        <f>IF($A58="","",IFERROR(IF(INDEX(Investments!$S$6:$S$1005,MATCH($A58,Investments!$V$6:$V$1005,0))="","",INDEX(Investments!$S$6:$S$1005,MATCH($A58,Investments!$V$6:$V$1005,0))),""))</f>
        <v/>
      </c>
      <c r="J58" s="26">
        <f>IF($A58="","",IFERROR(IF(INDEX(Investments!$T$6:$T$1005,MATCH($A58,Investments!$V$6:$V$1005,0))="","",INDEX(Investments!$T$6:$T$1005,MATCH($A58,Investments!$V$6:$V$1005,0))),""))</f>
        <v/>
      </c>
      <c r="K58" s="26">
        <f>IF($A58="","",IFERROR(IF(INDEX(Investments!$O$6:$O$1005,MATCH($A58,Investments!$V$6:$V$1005,0))="","",INDEX(Investments!$O$6:$O$1005,MATCH($A58,Investments!$V$6:$V$1005,0))),""))</f>
        <v/>
      </c>
    </row>
    <row r="59">
      <c r="A59" s="59">
        <f>IF($C$4="","",IF(38&gt;COUNTIFS(Investments!$A$6:$A$1005,$C$4),"",38))</f>
        <v/>
      </c>
      <c r="B59" s="27">
        <f>IF($A59="","",IFERROR(IF(INDEX(Investments!$B$6:$B$1005,MATCH($A59,Investments!$V$6:$V$1005,0))="","",INDEX(Investments!$B$6:$B$1005,MATCH($A59,Investments!$V$6:$V$1005,0))),""))</f>
        <v/>
      </c>
      <c r="C59" s="27">
        <f>IF($A59="","",IFERROR(IF(INDEX(Investments!$C$6:$C$1005,MATCH($A59,Investments!$V$6:$V$1005,0))="","",INDEX(Investments!$C$6:$C$1005,MATCH($A59,Investments!$V$6:$V$1005,0))),""))</f>
        <v/>
      </c>
      <c r="D59" s="27">
        <f>IF($A59="","",IFERROR(IF(INDEX(Investments!$D$6:$D$1005,MATCH($A59,Investments!$V$6:$V$1005,0))="","",INDEX(Investments!$D$6:$D$1005,MATCH($A59,Investments!$V$6:$V$1005,0))),""))</f>
        <v/>
      </c>
      <c r="E59" s="28">
        <f>IF($A59="","",IFERROR(IF(INDEX(Investments!$E$6:$E$1005,MATCH($A59,Investments!$V$6:$V$1005,0))="","",INDEX(Investments!$E$6:$E$1005,MATCH($A59,Investments!$V$6:$V$1005,0))),""))</f>
        <v/>
      </c>
      <c r="F59" s="39">
        <f>IF($A59="","",IFERROR(IF(INDEX(Investments!$Q$6:$Q$1005,MATCH($A59,Investments!$V$6:$V$1005,0))="","",INDEX(Investments!$Q$6:$Q$1005,MATCH($A59,Investments!$V$6:$V$1005,0))),""))</f>
        <v/>
      </c>
      <c r="G59" s="39">
        <f>IF($A59="","",IFERROR(IF(INDEX(Investments!$R$6:$R$1005,MATCH($A59,Investments!$V$6:$V$1005,0))="","",INDEX(Investments!$R$6:$R$1005,MATCH($A59,Investments!$V$6:$V$1005,0))),""))</f>
        <v/>
      </c>
      <c r="H59" s="39">
        <f>IF($A59="","",IFERROR(IF(INDEX(Investments!$L$6:$L$1005,MATCH($A59,Investments!$V$6:$V$1005,0))="","",INDEX(Investments!$L$6:$L$1005,MATCH($A59,Investments!$V$6:$V$1005,0))),""))</f>
        <v/>
      </c>
      <c r="I59" s="39">
        <f>IF($A59="","",IFERROR(IF(INDEX(Investments!$S$6:$S$1005,MATCH($A59,Investments!$V$6:$V$1005,0))="","",INDEX(Investments!$S$6:$S$1005,MATCH($A59,Investments!$V$6:$V$1005,0))),""))</f>
        <v/>
      </c>
      <c r="J59" s="31">
        <f>IF($A59="","",IFERROR(IF(INDEX(Investments!$T$6:$T$1005,MATCH($A59,Investments!$V$6:$V$1005,0))="","",INDEX(Investments!$T$6:$T$1005,MATCH($A59,Investments!$V$6:$V$1005,0))),""))</f>
        <v/>
      </c>
      <c r="K59" s="31">
        <f>IF($A59="","",IFERROR(IF(INDEX(Investments!$O$6:$O$1005,MATCH($A59,Investments!$V$6:$V$1005,0))="","",INDEX(Investments!$O$6:$O$1005,MATCH($A59,Investments!$V$6:$V$1005,0))),""))</f>
        <v/>
      </c>
    </row>
    <row r="60">
      <c r="A60" s="58">
        <f>IF($C$4="","",IF(39&gt;COUNTIFS(Investments!$A$6:$A$1005,$C$4),"",39))</f>
        <v/>
      </c>
      <c r="B60" s="22">
        <f>IF($A60="","",IFERROR(IF(INDEX(Investments!$B$6:$B$1005,MATCH($A60,Investments!$V$6:$V$1005,0))="","",INDEX(Investments!$B$6:$B$1005,MATCH($A60,Investments!$V$6:$V$1005,0))),""))</f>
        <v/>
      </c>
      <c r="C60" s="22">
        <f>IF($A60="","",IFERROR(IF(INDEX(Investments!$C$6:$C$1005,MATCH($A60,Investments!$V$6:$V$1005,0))="","",INDEX(Investments!$C$6:$C$1005,MATCH($A60,Investments!$V$6:$V$1005,0))),""))</f>
        <v/>
      </c>
      <c r="D60" s="22">
        <f>IF($A60="","",IFERROR(IF(INDEX(Investments!$D$6:$D$1005,MATCH($A60,Investments!$V$6:$V$1005,0))="","",INDEX(Investments!$D$6:$D$1005,MATCH($A60,Investments!$V$6:$V$1005,0))),""))</f>
        <v/>
      </c>
      <c r="E60" s="23">
        <f>IF($A60="","",IFERROR(IF(INDEX(Investments!$E$6:$E$1005,MATCH($A60,Investments!$V$6:$V$1005,0))="","",INDEX(Investments!$E$6:$E$1005,MATCH($A60,Investments!$V$6:$V$1005,0))),""))</f>
        <v/>
      </c>
      <c r="F60" s="49">
        <f>IF($A60="","",IFERROR(IF(INDEX(Investments!$Q$6:$Q$1005,MATCH($A60,Investments!$V$6:$V$1005,0))="","",INDEX(Investments!$Q$6:$Q$1005,MATCH($A60,Investments!$V$6:$V$1005,0))),""))</f>
        <v/>
      </c>
      <c r="G60" s="49">
        <f>IF($A60="","",IFERROR(IF(INDEX(Investments!$R$6:$R$1005,MATCH($A60,Investments!$V$6:$V$1005,0))="","",INDEX(Investments!$R$6:$R$1005,MATCH($A60,Investments!$V$6:$V$1005,0))),""))</f>
        <v/>
      </c>
      <c r="H60" s="49">
        <f>IF($A60="","",IFERROR(IF(INDEX(Investments!$L$6:$L$1005,MATCH($A60,Investments!$V$6:$V$1005,0))="","",INDEX(Investments!$L$6:$L$1005,MATCH($A60,Investments!$V$6:$V$1005,0))),""))</f>
        <v/>
      </c>
      <c r="I60" s="49">
        <f>IF($A60="","",IFERROR(IF(INDEX(Investments!$S$6:$S$1005,MATCH($A60,Investments!$V$6:$V$1005,0))="","",INDEX(Investments!$S$6:$S$1005,MATCH($A60,Investments!$V$6:$V$1005,0))),""))</f>
        <v/>
      </c>
      <c r="J60" s="26">
        <f>IF($A60="","",IFERROR(IF(INDEX(Investments!$T$6:$T$1005,MATCH($A60,Investments!$V$6:$V$1005,0))="","",INDEX(Investments!$T$6:$T$1005,MATCH($A60,Investments!$V$6:$V$1005,0))),""))</f>
        <v/>
      </c>
      <c r="K60" s="26">
        <f>IF($A60="","",IFERROR(IF(INDEX(Investments!$O$6:$O$1005,MATCH($A60,Investments!$V$6:$V$1005,0))="","",INDEX(Investments!$O$6:$O$1005,MATCH($A60,Investments!$V$6:$V$1005,0))),""))</f>
        <v/>
      </c>
    </row>
    <row r="61">
      <c r="A61" s="59">
        <f>IF($C$4="","",IF(40&gt;COUNTIFS(Investments!$A$6:$A$1005,$C$4),"",40))</f>
        <v/>
      </c>
      <c r="B61" s="27">
        <f>IF($A61="","",IFERROR(IF(INDEX(Investments!$B$6:$B$1005,MATCH($A61,Investments!$V$6:$V$1005,0))="","",INDEX(Investments!$B$6:$B$1005,MATCH($A61,Investments!$V$6:$V$1005,0))),""))</f>
        <v/>
      </c>
      <c r="C61" s="27">
        <f>IF($A61="","",IFERROR(IF(INDEX(Investments!$C$6:$C$1005,MATCH($A61,Investments!$V$6:$V$1005,0))="","",INDEX(Investments!$C$6:$C$1005,MATCH($A61,Investments!$V$6:$V$1005,0))),""))</f>
        <v/>
      </c>
      <c r="D61" s="27">
        <f>IF($A61="","",IFERROR(IF(INDEX(Investments!$D$6:$D$1005,MATCH($A61,Investments!$V$6:$V$1005,0))="","",INDEX(Investments!$D$6:$D$1005,MATCH($A61,Investments!$V$6:$V$1005,0))),""))</f>
        <v/>
      </c>
      <c r="E61" s="28">
        <f>IF($A61="","",IFERROR(IF(INDEX(Investments!$E$6:$E$1005,MATCH($A61,Investments!$V$6:$V$1005,0))="","",INDEX(Investments!$E$6:$E$1005,MATCH($A61,Investments!$V$6:$V$1005,0))),""))</f>
        <v/>
      </c>
      <c r="F61" s="39">
        <f>IF($A61="","",IFERROR(IF(INDEX(Investments!$Q$6:$Q$1005,MATCH($A61,Investments!$V$6:$V$1005,0))="","",INDEX(Investments!$Q$6:$Q$1005,MATCH($A61,Investments!$V$6:$V$1005,0))),""))</f>
        <v/>
      </c>
      <c r="G61" s="39">
        <f>IF($A61="","",IFERROR(IF(INDEX(Investments!$R$6:$R$1005,MATCH($A61,Investments!$V$6:$V$1005,0))="","",INDEX(Investments!$R$6:$R$1005,MATCH($A61,Investments!$V$6:$V$1005,0))),""))</f>
        <v/>
      </c>
      <c r="H61" s="39">
        <f>IF($A61="","",IFERROR(IF(INDEX(Investments!$L$6:$L$1005,MATCH($A61,Investments!$V$6:$V$1005,0))="","",INDEX(Investments!$L$6:$L$1005,MATCH($A61,Investments!$V$6:$V$1005,0))),""))</f>
        <v/>
      </c>
      <c r="I61" s="39">
        <f>IF($A61="","",IFERROR(IF(INDEX(Investments!$S$6:$S$1005,MATCH($A61,Investments!$V$6:$V$1005,0))="","",INDEX(Investments!$S$6:$S$1005,MATCH($A61,Investments!$V$6:$V$1005,0))),""))</f>
        <v/>
      </c>
      <c r="J61" s="31">
        <f>IF($A61="","",IFERROR(IF(INDEX(Investments!$T$6:$T$1005,MATCH($A61,Investments!$V$6:$V$1005,0))="","",INDEX(Investments!$T$6:$T$1005,MATCH($A61,Investments!$V$6:$V$1005,0))),""))</f>
        <v/>
      </c>
      <c r="K61" s="31">
        <f>IF($A61="","",IFERROR(IF(INDEX(Investments!$O$6:$O$1005,MATCH($A61,Investments!$V$6:$V$1005,0))="","",INDEX(Investments!$O$6:$O$1005,MATCH($A61,Investments!$V$6:$V$1005,0))),""))</f>
        <v/>
      </c>
    </row>
    <row r="62">
      <c r="A62" s="58">
        <f>IF($C$4="","",IF(41&gt;COUNTIFS(Investments!$A$6:$A$1005,$C$4),"",41))</f>
        <v/>
      </c>
      <c r="B62" s="22">
        <f>IF($A62="","",IFERROR(IF(INDEX(Investments!$B$6:$B$1005,MATCH($A62,Investments!$V$6:$V$1005,0))="","",INDEX(Investments!$B$6:$B$1005,MATCH($A62,Investments!$V$6:$V$1005,0))),""))</f>
        <v/>
      </c>
      <c r="C62" s="22">
        <f>IF($A62="","",IFERROR(IF(INDEX(Investments!$C$6:$C$1005,MATCH($A62,Investments!$V$6:$V$1005,0))="","",INDEX(Investments!$C$6:$C$1005,MATCH($A62,Investments!$V$6:$V$1005,0))),""))</f>
        <v/>
      </c>
      <c r="D62" s="22">
        <f>IF($A62="","",IFERROR(IF(INDEX(Investments!$D$6:$D$1005,MATCH($A62,Investments!$V$6:$V$1005,0))="","",INDEX(Investments!$D$6:$D$1005,MATCH($A62,Investments!$V$6:$V$1005,0))),""))</f>
        <v/>
      </c>
      <c r="E62" s="23">
        <f>IF($A62="","",IFERROR(IF(INDEX(Investments!$E$6:$E$1005,MATCH($A62,Investments!$V$6:$V$1005,0))="","",INDEX(Investments!$E$6:$E$1005,MATCH($A62,Investments!$V$6:$V$1005,0))),""))</f>
        <v/>
      </c>
      <c r="F62" s="49">
        <f>IF($A62="","",IFERROR(IF(INDEX(Investments!$Q$6:$Q$1005,MATCH($A62,Investments!$V$6:$V$1005,0))="","",INDEX(Investments!$Q$6:$Q$1005,MATCH($A62,Investments!$V$6:$V$1005,0))),""))</f>
        <v/>
      </c>
      <c r="G62" s="49">
        <f>IF($A62="","",IFERROR(IF(INDEX(Investments!$R$6:$R$1005,MATCH($A62,Investments!$V$6:$V$1005,0))="","",INDEX(Investments!$R$6:$R$1005,MATCH($A62,Investments!$V$6:$V$1005,0))),""))</f>
        <v/>
      </c>
      <c r="H62" s="49">
        <f>IF($A62="","",IFERROR(IF(INDEX(Investments!$L$6:$L$1005,MATCH($A62,Investments!$V$6:$V$1005,0))="","",INDEX(Investments!$L$6:$L$1005,MATCH($A62,Investments!$V$6:$V$1005,0))),""))</f>
        <v/>
      </c>
      <c r="I62" s="49">
        <f>IF($A62="","",IFERROR(IF(INDEX(Investments!$S$6:$S$1005,MATCH($A62,Investments!$V$6:$V$1005,0))="","",INDEX(Investments!$S$6:$S$1005,MATCH($A62,Investments!$V$6:$V$1005,0))),""))</f>
        <v/>
      </c>
      <c r="J62" s="26">
        <f>IF($A62="","",IFERROR(IF(INDEX(Investments!$T$6:$T$1005,MATCH($A62,Investments!$V$6:$V$1005,0))="","",INDEX(Investments!$T$6:$T$1005,MATCH($A62,Investments!$V$6:$V$1005,0))),""))</f>
        <v/>
      </c>
      <c r="K62" s="26">
        <f>IF($A62="","",IFERROR(IF(INDEX(Investments!$O$6:$O$1005,MATCH($A62,Investments!$V$6:$V$1005,0))="","",INDEX(Investments!$O$6:$O$1005,MATCH($A62,Investments!$V$6:$V$1005,0))),""))</f>
        <v/>
      </c>
    </row>
    <row r="63">
      <c r="A63" s="59">
        <f>IF($C$4="","",IF(42&gt;COUNTIFS(Investments!$A$6:$A$1005,$C$4),"",42))</f>
        <v/>
      </c>
      <c r="B63" s="27">
        <f>IF($A63="","",IFERROR(IF(INDEX(Investments!$B$6:$B$1005,MATCH($A63,Investments!$V$6:$V$1005,0))="","",INDEX(Investments!$B$6:$B$1005,MATCH($A63,Investments!$V$6:$V$1005,0))),""))</f>
        <v/>
      </c>
      <c r="C63" s="27">
        <f>IF($A63="","",IFERROR(IF(INDEX(Investments!$C$6:$C$1005,MATCH($A63,Investments!$V$6:$V$1005,0))="","",INDEX(Investments!$C$6:$C$1005,MATCH($A63,Investments!$V$6:$V$1005,0))),""))</f>
        <v/>
      </c>
      <c r="D63" s="27">
        <f>IF($A63="","",IFERROR(IF(INDEX(Investments!$D$6:$D$1005,MATCH($A63,Investments!$V$6:$V$1005,0))="","",INDEX(Investments!$D$6:$D$1005,MATCH($A63,Investments!$V$6:$V$1005,0))),""))</f>
        <v/>
      </c>
      <c r="E63" s="28">
        <f>IF($A63="","",IFERROR(IF(INDEX(Investments!$E$6:$E$1005,MATCH($A63,Investments!$V$6:$V$1005,0))="","",INDEX(Investments!$E$6:$E$1005,MATCH($A63,Investments!$V$6:$V$1005,0))),""))</f>
        <v/>
      </c>
      <c r="F63" s="39">
        <f>IF($A63="","",IFERROR(IF(INDEX(Investments!$Q$6:$Q$1005,MATCH($A63,Investments!$V$6:$V$1005,0))="","",INDEX(Investments!$Q$6:$Q$1005,MATCH($A63,Investments!$V$6:$V$1005,0))),""))</f>
        <v/>
      </c>
      <c r="G63" s="39">
        <f>IF($A63="","",IFERROR(IF(INDEX(Investments!$R$6:$R$1005,MATCH($A63,Investments!$V$6:$V$1005,0))="","",INDEX(Investments!$R$6:$R$1005,MATCH($A63,Investments!$V$6:$V$1005,0))),""))</f>
        <v/>
      </c>
      <c r="H63" s="39">
        <f>IF($A63="","",IFERROR(IF(INDEX(Investments!$L$6:$L$1005,MATCH($A63,Investments!$V$6:$V$1005,0))="","",INDEX(Investments!$L$6:$L$1005,MATCH($A63,Investments!$V$6:$V$1005,0))),""))</f>
        <v/>
      </c>
      <c r="I63" s="39">
        <f>IF($A63="","",IFERROR(IF(INDEX(Investments!$S$6:$S$1005,MATCH($A63,Investments!$V$6:$V$1005,0))="","",INDEX(Investments!$S$6:$S$1005,MATCH($A63,Investments!$V$6:$V$1005,0))),""))</f>
        <v/>
      </c>
      <c r="J63" s="31">
        <f>IF($A63="","",IFERROR(IF(INDEX(Investments!$T$6:$T$1005,MATCH($A63,Investments!$V$6:$V$1005,0))="","",INDEX(Investments!$T$6:$T$1005,MATCH($A63,Investments!$V$6:$V$1005,0))),""))</f>
        <v/>
      </c>
      <c r="K63" s="31">
        <f>IF($A63="","",IFERROR(IF(INDEX(Investments!$O$6:$O$1005,MATCH($A63,Investments!$V$6:$V$1005,0))="","",INDEX(Investments!$O$6:$O$1005,MATCH($A63,Investments!$V$6:$V$1005,0))),""))</f>
        <v/>
      </c>
    </row>
    <row r="64">
      <c r="A64" s="58">
        <f>IF($C$4="","",IF(43&gt;COUNTIFS(Investments!$A$6:$A$1005,$C$4),"",43))</f>
        <v/>
      </c>
      <c r="B64" s="22">
        <f>IF($A64="","",IFERROR(IF(INDEX(Investments!$B$6:$B$1005,MATCH($A64,Investments!$V$6:$V$1005,0))="","",INDEX(Investments!$B$6:$B$1005,MATCH($A64,Investments!$V$6:$V$1005,0))),""))</f>
        <v/>
      </c>
      <c r="C64" s="22">
        <f>IF($A64="","",IFERROR(IF(INDEX(Investments!$C$6:$C$1005,MATCH($A64,Investments!$V$6:$V$1005,0))="","",INDEX(Investments!$C$6:$C$1005,MATCH($A64,Investments!$V$6:$V$1005,0))),""))</f>
        <v/>
      </c>
      <c r="D64" s="22">
        <f>IF($A64="","",IFERROR(IF(INDEX(Investments!$D$6:$D$1005,MATCH($A64,Investments!$V$6:$V$1005,0))="","",INDEX(Investments!$D$6:$D$1005,MATCH($A64,Investments!$V$6:$V$1005,0))),""))</f>
        <v/>
      </c>
      <c r="E64" s="23">
        <f>IF($A64="","",IFERROR(IF(INDEX(Investments!$E$6:$E$1005,MATCH($A64,Investments!$V$6:$V$1005,0))="","",INDEX(Investments!$E$6:$E$1005,MATCH($A64,Investments!$V$6:$V$1005,0))),""))</f>
        <v/>
      </c>
      <c r="F64" s="49">
        <f>IF($A64="","",IFERROR(IF(INDEX(Investments!$Q$6:$Q$1005,MATCH($A64,Investments!$V$6:$V$1005,0))="","",INDEX(Investments!$Q$6:$Q$1005,MATCH($A64,Investments!$V$6:$V$1005,0))),""))</f>
        <v/>
      </c>
      <c r="G64" s="49">
        <f>IF($A64="","",IFERROR(IF(INDEX(Investments!$R$6:$R$1005,MATCH($A64,Investments!$V$6:$V$1005,0))="","",INDEX(Investments!$R$6:$R$1005,MATCH($A64,Investments!$V$6:$V$1005,0))),""))</f>
        <v/>
      </c>
      <c r="H64" s="49">
        <f>IF($A64="","",IFERROR(IF(INDEX(Investments!$L$6:$L$1005,MATCH($A64,Investments!$V$6:$V$1005,0))="","",INDEX(Investments!$L$6:$L$1005,MATCH($A64,Investments!$V$6:$V$1005,0))),""))</f>
        <v/>
      </c>
      <c r="I64" s="49">
        <f>IF($A64="","",IFERROR(IF(INDEX(Investments!$S$6:$S$1005,MATCH($A64,Investments!$V$6:$V$1005,0))="","",INDEX(Investments!$S$6:$S$1005,MATCH($A64,Investments!$V$6:$V$1005,0))),""))</f>
        <v/>
      </c>
      <c r="J64" s="26">
        <f>IF($A64="","",IFERROR(IF(INDEX(Investments!$T$6:$T$1005,MATCH($A64,Investments!$V$6:$V$1005,0))="","",INDEX(Investments!$T$6:$T$1005,MATCH($A64,Investments!$V$6:$V$1005,0))),""))</f>
        <v/>
      </c>
      <c r="K64" s="26">
        <f>IF($A64="","",IFERROR(IF(INDEX(Investments!$O$6:$O$1005,MATCH($A64,Investments!$V$6:$V$1005,0))="","",INDEX(Investments!$O$6:$O$1005,MATCH($A64,Investments!$V$6:$V$1005,0))),""))</f>
        <v/>
      </c>
    </row>
    <row r="65">
      <c r="A65" s="59">
        <f>IF($C$4="","",IF(44&gt;COUNTIFS(Investments!$A$6:$A$1005,$C$4),"",44))</f>
        <v/>
      </c>
      <c r="B65" s="27">
        <f>IF($A65="","",IFERROR(IF(INDEX(Investments!$B$6:$B$1005,MATCH($A65,Investments!$V$6:$V$1005,0))="","",INDEX(Investments!$B$6:$B$1005,MATCH($A65,Investments!$V$6:$V$1005,0))),""))</f>
        <v/>
      </c>
      <c r="C65" s="27">
        <f>IF($A65="","",IFERROR(IF(INDEX(Investments!$C$6:$C$1005,MATCH($A65,Investments!$V$6:$V$1005,0))="","",INDEX(Investments!$C$6:$C$1005,MATCH($A65,Investments!$V$6:$V$1005,0))),""))</f>
        <v/>
      </c>
      <c r="D65" s="27">
        <f>IF($A65="","",IFERROR(IF(INDEX(Investments!$D$6:$D$1005,MATCH($A65,Investments!$V$6:$V$1005,0))="","",INDEX(Investments!$D$6:$D$1005,MATCH($A65,Investments!$V$6:$V$1005,0))),""))</f>
        <v/>
      </c>
      <c r="E65" s="28">
        <f>IF($A65="","",IFERROR(IF(INDEX(Investments!$E$6:$E$1005,MATCH($A65,Investments!$V$6:$V$1005,0))="","",INDEX(Investments!$E$6:$E$1005,MATCH($A65,Investments!$V$6:$V$1005,0))),""))</f>
        <v/>
      </c>
      <c r="F65" s="39">
        <f>IF($A65="","",IFERROR(IF(INDEX(Investments!$Q$6:$Q$1005,MATCH($A65,Investments!$V$6:$V$1005,0))="","",INDEX(Investments!$Q$6:$Q$1005,MATCH($A65,Investments!$V$6:$V$1005,0))),""))</f>
        <v/>
      </c>
      <c r="G65" s="39">
        <f>IF($A65="","",IFERROR(IF(INDEX(Investments!$R$6:$R$1005,MATCH($A65,Investments!$V$6:$V$1005,0))="","",INDEX(Investments!$R$6:$R$1005,MATCH($A65,Investments!$V$6:$V$1005,0))),""))</f>
        <v/>
      </c>
      <c r="H65" s="39">
        <f>IF($A65="","",IFERROR(IF(INDEX(Investments!$L$6:$L$1005,MATCH($A65,Investments!$V$6:$V$1005,0))="","",INDEX(Investments!$L$6:$L$1005,MATCH($A65,Investments!$V$6:$V$1005,0))),""))</f>
        <v/>
      </c>
      <c r="I65" s="39">
        <f>IF($A65="","",IFERROR(IF(INDEX(Investments!$S$6:$S$1005,MATCH($A65,Investments!$V$6:$V$1005,0))="","",INDEX(Investments!$S$6:$S$1005,MATCH($A65,Investments!$V$6:$V$1005,0))),""))</f>
        <v/>
      </c>
      <c r="J65" s="31">
        <f>IF($A65="","",IFERROR(IF(INDEX(Investments!$T$6:$T$1005,MATCH($A65,Investments!$V$6:$V$1005,0))="","",INDEX(Investments!$T$6:$T$1005,MATCH($A65,Investments!$V$6:$V$1005,0))),""))</f>
        <v/>
      </c>
      <c r="K65" s="31">
        <f>IF($A65="","",IFERROR(IF(INDEX(Investments!$O$6:$O$1005,MATCH($A65,Investments!$V$6:$V$1005,0))="","",INDEX(Investments!$O$6:$O$1005,MATCH($A65,Investments!$V$6:$V$1005,0))),""))</f>
        <v/>
      </c>
    </row>
    <row r="66">
      <c r="A66" s="58">
        <f>IF($C$4="","",IF(45&gt;COUNTIFS(Investments!$A$6:$A$1005,$C$4),"",45))</f>
        <v/>
      </c>
      <c r="B66" s="22">
        <f>IF($A66="","",IFERROR(IF(INDEX(Investments!$B$6:$B$1005,MATCH($A66,Investments!$V$6:$V$1005,0))="","",INDEX(Investments!$B$6:$B$1005,MATCH($A66,Investments!$V$6:$V$1005,0))),""))</f>
        <v/>
      </c>
      <c r="C66" s="22">
        <f>IF($A66="","",IFERROR(IF(INDEX(Investments!$C$6:$C$1005,MATCH($A66,Investments!$V$6:$V$1005,0))="","",INDEX(Investments!$C$6:$C$1005,MATCH($A66,Investments!$V$6:$V$1005,0))),""))</f>
        <v/>
      </c>
      <c r="D66" s="22">
        <f>IF($A66="","",IFERROR(IF(INDEX(Investments!$D$6:$D$1005,MATCH($A66,Investments!$V$6:$V$1005,0))="","",INDEX(Investments!$D$6:$D$1005,MATCH($A66,Investments!$V$6:$V$1005,0))),""))</f>
        <v/>
      </c>
      <c r="E66" s="23">
        <f>IF($A66="","",IFERROR(IF(INDEX(Investments!$E$6:$E$1005,MATCH($A66,Investments!$V$6:$V$1005,0))="","",INDEX(Investments!$E$6:$E$1005,MATCH($A66,Investments!$V$6:$V$1005,0))),""))</f>
        <v/>
      </c>
      <c r="F66" s="49">
        <f>IF($A66="","",IFERROR(IF(INDEX(Investments!$Q$6:$Q$1005,MATCH($A66,Investments!$V$6:$V$1005,0))="","",INDEX(Investments!$Q$6:$Q$1005,MATCH($A66,Investments!$V$6:$V$1005,0))),""))</f>
        <v/>
      </c>
      <c r="G66" s="49">
        <f>IF($A66="","",IFERROR(IF(INDEX(Investments!$R$6:$R$1005,MATCH($A66,Investments!$V$6:$V$1005,0))="","",INDEX(Investments!$R$6:$R$1005,MATCH($A66,Investments!$V$6:$V$1005,0))),""))</f>
        <v/>
      </c>
      <c r="H66" s="49">
        <f>IF($A66="","",IFERROR(IF(INDEX(Investments!$L$6:$L$1005,MATCH($A66,Investments!$V$6:$V$1005,0))="","",INDEX(Investments!$L$6:$L$1005,MATCH($A66,Investments!$V$6:$V$1005,0))),""))</f>
        <v/>
      </c>
      <c r="I66" s="49">
        <f>IF($A66="","",IFERROR(IF(INDEX(Investments!$S$6:$S$1005,MATCH($A66,Investments!$V$6:$V$1005,0))="","",INDEX(Investments!$S$6:$S$1005,MATCH($A66,Investments!$V$6:$V$1005,0))),""))</f>
        <v/>
      </c>
      <c r="J66" s="26">
        <f>IF($A66="","",IFERROR(IF(INDEX(Investments!$T$6:$T$1005,MATCH($A66,Investments!$V$6:$V$1005,0))="","",INDEX(Investments!$T$6:$T$1005,MATCH($A66,Investments!$V$6:$V$1005,0))),""))</f>
        <v/>
      </c>
      <c r="K66" s="26">
        <f>IF($A66="","",IFERROR(IF(INDEX(Investments!$O$6:$O$1005,MATCH($A66,Investments!$V$6:$V$1005,0))="","",INDEX(Investments!$O$6:$O$1005,MATCH($A66,Investments!$V$6:$V$1005,0))),""))</f>
        <v/>
      </c>
    </row>
    <row r="67">
      <c r="A67" s="59">
        <f>IF($C$4="","",IF(46&gt;COUNTIFS(Investments!$A$6:$A$1005,$C$4),"",46))</f>
        <v/>
      </c>
      <c r="B67" s="27">
        <f>IF($A67="","",IFERROR(IF(INDEX(Investments!$B$6:$B$1005,MATCH($A67,Investments!$V$6:$V$1005,0))="","",INDEX(Investments!$B$6:$B$1005,MATCH($A67,Investments!$V$6:$V$1005,0))),""))</f>
        <v/>
      </c>
      <c r="C67" s="27">
        <f>IF($A67="","",IFERROR(IF(INDEX(Investments!$C$6:$C$1005,MATCH($A67,Investments!$V$6:$V$1005,0))="","",INDEX(Investments!$C$6:$C$1005,MATCH($A67,Investments!$V$6:$V$1005,0))),""))</f>
        <v/>
      </c>
      <c r="D67" s="27">
        <f>IF($A67="","",IFERROR(IF(INDEX(Investments!$D$6:$D$1005,MATCH($A67,Investments!$V$6:$V$1005,0))="","",INDEX(Investments!$D$6:$D$1005,MATCH($A67,Investments!$V$6:$V$1005,0))),""))</f>
        <v/>
      </c>
      <c r="E67" s="28">
        <f>IF($A67="","",IFERROR(IF(INDEX(Investments!$E$6:$E$1005,MATCH($A67,Investments!$V$6:$V$1005,0))="","",INDEX(Investments!$E$6:$E$1005,MATCH($A67,Investments!$V$6:$V$1005,0))),""))</f>
        <v/>
      </c>
      <c r="F67" s="39">
        <f>IF($A67="","",IFERROR(IF(INDEX(Investments!$Q$6:$Q$1005,MATCH($A67,Investments!$V$6:$V$1005,0))="","",INDEX(Investments!$Q$6:$Q$1005,MATCH($A67,Investments!$V$6:$V$1005,0))),""))</f>
        <v/>
      </c>
      <c r="G67" s="39">
        <f>IF($A67="","",IFERROR(IF(INDEX(Investments!$R$6:$R$1005,MATCH($A67,Investments!$V$6:$V$1005,0))="","",INDEX(Investments!$R$6:$R$1005,MATCH($A67,Investments!$V$6:$V$1005,0))),""))</f>
        <v/>
      </c>
      <c r="H67" s="39">
        <f>IF($A67="","",IFERROR(IF(INDEX(Investments!$L$6:$L$1005,MATCH($A67,Investments!$V$6:$V$1005,0))="","",INDEX(Investments!$L$6:$L$1005,MATCH($A67,Investments!$V$6:$V$1005,0))),""))</f>
        <v/>
      </c>
      <c r="I67" s="39">
        <f>IF($A67="","",IFERROR(IF(INDEX(Investments!$S$6:$S$1005,MATCH($A67,Investments!$V$6:$V$1005,0))="","",INDEX(Investments!$S$6:$S$1005,MATCH($A67,Investments!$V$6:$V$1005,0))),""))</f>
        <v/>
      </c>
      <c r="J67" s="31">
        <f>IF($A67="","",IFERROR(IF(INDEX(Investments!$T$6:$T$1005,MATCH($A67,Investments!$V$6:$V$1005,0))="","",INDEX(Investments!$T$6:$T$1005,MATCH($A67,Investments!$V$6:$V$1005,0))),""))</f>
        <v/>
      </c>
      <c r="K67" s="31">
        <f>IF($A67="","",IFERROR(IF(INDEX(Investments!$O$6:$O$1005,MATCH($A67,Investments!$V$6:$V$1005,0))="","",INDEX(Investments!$O$6:$O$1005,MATCH($A67,Investments!$V$6:$V$1005,0))),""))</f>
        <v/>
      </c>
    </row>
    <row r="68">
      <c r="A68" s="58">
        <f>IF($C$4="","",IF(47&gt;COUNTIFS(Investments!$A$6:$A$1005,$C$4),"",47))</f>
        <v/>
      </c>
      <c r="B68" s="22">
        <f>IF($A68="","",IFERROR(IF(INDEX(Investments!$B$6:$B$1005,MATCH($A68,Investments!$V$6:$V$1005,0))="","",INDEX(Investments!$B$6:$B$1005,MATCH($A68,Investments!$V$6:$V$1005,0))),""))</f>
        <v/>
      </c>
      <c r="C68" s="22">
        <f>IF($A68="","",IFERROR(IF(INDEX(Investments!$C$6:$C$1005,MATCH($A68,Investments!$V$6:$V$1005,0))="","",INDEX(Investments!$C$6:$C$1005,MATCH($A68,Investments!$V$6:$V$1005,0))),""))</f>
        <v/>
      </c>
      <c r="D68" s="22">
        <f>IF($A68="","",IFERROR(IF(INDEX(Investments!$D$6:$D$1005,MATCH($A68,Investments!$V$6:$V$1005,0))="","",INDEX(Investments!$D$6:$D$1005,MATCH($A68,Investments!$V$6:$V$1005,0))),""))</f>
        <v/>
      </c>
      <c r="E68" s="23">
        <f>IF($A68="","",IFERROR(IF(INDEX(Investments!$E$6:$E$1005,MATCH($A68,Investments!$V$6:$V$1005,0))="","",INDEX(Investments!$E$6:$E$1005,MATCH($A68,Investments!$V$6:$V$1005,0))),""))</f>
        <v/>
      </c>
      <c r="F68" s="49">
        <f>IF($A68="","",IFERROR(IF(INDEX(Investments!$Q$6:$Q$1005,MATCH($A68,Investments!$V$6:$V$1005,0))="","",INDEX(Investments!$Q$6:$Q$1005,MATCH($A68,Investments!$V$6:$V$1005,0))),""))</f>
        <v/>
      </c>
      <c r="G68" s="49">
        <f>IF($A68="","",IFERROR(IF(INDEX(Investments!$R$6:$R$1005,MATCH($A68,Investments!$V$6:$V$1005,0))="","",INDEX(Investments!$R$6:$R$1005,MATCH($A68,Investments!$V$6:$V$1005,0))),""))</f>
        <v/>
      </c>
      <c r="H68" s="49">
        <f>IF($A68="","",IFERROR(IF(INDEX(Investments!$L$6:$L$1005,MATCH($A68,Investments!$V$6:$V$1005,0))="","",INDEX(Investments!$L$6:$L$1005,MATCH($A68,Investments!$V$6:$V$1005,0))),""))</f>
        <v/>
      </c>
      <c r="I68" s="49">
        <f>IF($A68="","",IFERROR(IF(INDEX(Investments!$S$6:$S$1005,MATCH($A68,Investments!$V$6:$V$1005,0))="","",INDEX(Investments!$S$6:$S$1005,MATCH($A68,Investments!$V$6:$V$1005,0))),""))</f>
        <v/>
      </c>
      <c r="J68" s="26">
        <f>IF($A68="","",IFERROR(IF(INDEX(Investments!$T$6:$T$1005,MATCH($A68,Investments!$V$6:$V$1005,0))="","",INDEX(Investments!$T$6:$T$1005,MATCH($A68,Investments!$V$6:$V$1005,0))),""))</f>
        <v/>
      </c>
      <c r="K68" s="26">
        <f>IF($A68="","",IFERROR(IF(INDEX(Investments!$O$6:$O$1005,MATCH($A68,Investments!$V$6:$V$1005,0))="","",INDEX(Investments!$O$6:$O$1005,MATCH($A68,Investments!$V$6:$V$1005,0))),""))</f>
        <v/>
      </c>
    </row>
    <row r="69">
      <c r="A69" s="59">
        <f>IF($C$4="","",IF(48&gt;COUNTIFS(Investments!$A$6:$A$1005,$C$4),"",48))</f>
        <v/>
      </c>
      <c r="B69" s="27">
        <f>IF($A69="","",IFERROR(IF(INDEX(Investments!$B$6:$B$1005,MATCH($A69,Investments!$V$6:$V$1005,0))="","",INDEX(Investments!$B$6:$B$1005,MATCH($A69,Investments!$V$6:$V$1005,0))),""))</f>
        <v/>
      </c>
      <c r="C69" s="27">
        <f>IF($A69="","",IFERROR(IF(INDEX(Investments!$C$6:$C$1005,MATCH($A69,Investments!$V$6:$V$1005,0))="","",INDEX(Investments!$C$6:$C$1005,MATCH($A69,Investments!$V$6:$V$1005,0))),""))</f>
        <v/>
      </c>
      <c r="D69" s="27">
        <f>IF($A69="","",IFERROR(IF(INDEX(Investments!$D$6:$D$1005,MATCH($A69,Investments!$V$6:$V$1005,0))="","",INDEX(Investments!$D$6:$D$1005,MATCH($A69,Investments!$V$6:$V$1005,0))),""))</f>
        <v/>
      </c>
      <c r="E69" s="28">
        <f>IF($A69="","",IFERROR(IF(INDEX(Investments!$E$6:$E$1005,MATCH($A69,Investments!$V$6:$V$1005,0))="","",INDEX(Investments!$E$6:$E$1005,MATCH($A69,Investments!$V$6:$V$1005,0))),""))</f>
        <v/>
      </c>
      <c r="F69" s="39">
        <f>IF($A69="","",IFERROR(IF(INDEX(Investments!$Q$6:$Q$1005,MATCH($A69,Investments!$V$6:$V$1005,0))="","",INDEX(Investments!$Q$6:$Q$1005,MATCH($A69,Investments!$V$6:$V$1005,0))),""))</f>
        <v/>
      </c>
      <c r="G69" s="39">
        <f>IF($A69="","",IFERROR(IF(INDEX(Investments!$R$6:$R$1005,MATCH($A69,Investments!$V$6:$V$1005,0))="","",INDEX(Investments!$R$6:$R$1005,MATCH($A69,Investments!$V$6:$V$1005,0))),""))</f>
        <v/>
      </c>
      <c r="H69" s="39">
        <f>IF($A69="","",IFERROR(IF(INDEX(Investments!$L$6:$L$1005,MATCH($A69,Investments!$V$6:$V$1005,0))="","",INDEX(Investments!$L$6:$L$1005,MATCH($A69,Investments!$V$6:$V$1005,0))),""))</f>
        <v/>
      </c>
      <c r="I69" s="39">
        <f>IF($A69="","",IFERROR(IF(INDEX(Investments!$S$6:$S$1005,MATCH($A69,Investments!$V$6:$V$1005,0))="","",INDEX(Investments!$S$6:$S$1005,MATCH($A69,Investments!$V$6:$V$1005,0))),""))</f>
        <v/>
      </c>
      <c r="J69" s="31">
        <f>IF($A69="","",IFERROR(IF(INDEX(Investments!$T$6:$T$1005,MATCH($A69,Investments!$V$6:$V$1005,0))="","",INDEX(Investments!$T$6:$T$1005,MATCH($A69,Investments!$V$6:$V$1005,0))),""))</f>
        <v/>
      </c>
      <c r="K69" s="31">
        <f>IF($A69="","",IFERROR(IF(INDEX(Investments!$O$6:$O$1005,MATCH($A69,Investments!$V$6:$V$1005,0))="","",INDEX(Investments!$O$6:$O$1005,MATCH($A69,Investments!$V$6:$V$1005,0))),""))</f>
        <v/>
      </c>
    </row>
    <row r="70">
      <c r="A70" s="58">
        <f>IF($C$4="","",IF(49&gt;COUNTIFS(Investments!$A$6:$A$1005,$C$4),"",49))</f>
        <v/>
      </c>
      <c r="B70" s="22">
        <f>IF($A70="","",IFERROR(IF(INDEX(Investments!$B$6:$B$1005,MATCH($A70,Investments!$V$6:$V$1005,0))="","",INDEX(Investments!$B$6:$B$1005,MATCH($A70,Investments!$V$6:$V$1005,0))),""))</f>
        <v/>
      </c>
      <c r="C70" s="22">
        <f>IF($A70="","",IFERROR(IF(INDEX(Investments!$C$6:$C$1005,MATCH($A70,Investments!$V$6:$V$1005,0))="","",INDEX(Investments!$C$6:$C$1005,MATCH($A70,Investments!$V$6:$V$1005,0))),""))</f>
        <v/>
      </c>
      <c r="D70" s="22">
        <f>IF($A70="","",IFERROR(IF(INDEX(Investments!$D$6:$D$1005,MATCH($A70,Investments!$V$6:$V$1005,0))="","",INDEX(Investments!$D$6:$D$1005,MATCH($A70,Investments!$V$6:$V$1005,0))),""))</f>
        <v/>
      </c>
      <c r="E70" s="23">
        <f>IF($A70="","",IFERROR(IF(INDEX(Investments!$E$6:$E$1005,MATCH($A70,Investments!$V$6:$V$1005,0))="","",INDEX(Investments!$E$6:$E$1005,MATCH($A70,Investments!$V$6:$V$1005,0))),""))</f>
        <v/>
      </c>
      <c r="F70" s="49">
        <f>IF($A70="","",IFERROR(IF(INDEX(Investments!$Q$6:$Q$1005,MATCH($A70,Investments!$V$6:$V$1005,0))="","",INDEX(Investments!$Q$6:$Q$1005,MATCH($A70,Investments!$V$6:$V$1005,0))),""))</f>
        <v/>
      </c>
      <c r="G70" s="49">
        <f>IF($A70="","",IFERROR(IF(INDEX(Investments!$R$6:$R$1005,MATCH($A70,Investments!$V$6:$V$1005,0))="","",INDEX(Investments!$R$6:$R$1005,MATCH($A70,Investments!$V$6:$V$1005,0))),""))</f>
        <v/>
      </c>
      <c r="H70" s="49">
        <f>IF($A70="","",IFERROR(IF(INDEX(Investments!$L$6:$L$1005,MATCH($A70,Investments!$V$6:$V$1005,0))="","",INDEX(Investments!$L$6:$L$1005,MATCH($A70,Investments!$V$6:$V$1005,0))),""))</f>
        <v/>
      </c>
      <c r="I70" s="49">
        <f>IF($A70="","",IFERROR(IF(INDEX(Investments!$S$6:$S$1005,MATCH($A70,Investments!$V$6:$V$1005,0))="","",INDEX(Investments!$S$6:$S$1005,MATCH($A70,Investments!$V$6:$V$1005,0))),""))</f>
        <v/>
      </c>
      <c r="J70" s="26">
        <f>IF($A70="","",IFERROR(IF(INDEX(Investments!$T$6:$T$1005,MATCH($A70,Investments!$V$6:$V$1005,0))="","",INDEX(Investments!$T$6:$T$1005,MATCH($A70,Investments!$V$6:$V$1005,0))),""))</f>
        <v/>
      </c>
      <c r="K70" s="26">
        <f>IF($A70="","",IFERROR(IF(INDEX(Investments!$O$6:$O$1005,MATCH($A70,Investments!$V$6:$V$1005,0))="","",INDEX(Investments!$O$6:$O$1005,MATCH($A70,Investments!$V$6:$V$1005,0))),""))</f>
        <v/>
      </c>
    </row>
    <row r="71">
      <c r="A71" s="59">
        <f>IF($C$4="","",IF(50&gt;COUNTIFS(Investments!$A$6:$A$1005,$C$4),"",50))</f>
        <v/>
      </c>
      <c r="B71" s="27">
        <f>IF($A71="","",IFERROR(IF(INDEX(Investments!$B$6:$B$1005,MATCH($A71,Investments!$V$6:$V$1005,0))="","",INDEX(Investments!$B$6:$B$1005,MATCH($A71,Investments!$V$6:$V$1005,0))),""))</f>
        <v/>
      </c>
      <c r="C71" s="27">
        <f>IF($A71="","",IFERROR(IF(INDEX(Investments!$C$6:$C$1005,MATCH($A71,Investments!$V$6:$V$1005,0))="","",INDEX(Investments!$C$6:$C$1005,MATCH($A71,Investments!$V$6:$V$1005,0))),""))</f>
        <v/>
      </c>
      <c r="D71" s="27">
        <f>IF($A71="","",IFERROR(IF(INDEX(Investments!$D$6:$D$1005,MATCH($A71,Investments!$V$6:$V$1005,0))="","",INDEX(Investments!$D$6:$D$1005,MATCH($A71,Investments!$V$6:$V$1005,0))),""))</f>
        <v/>
      </c>
      <c r="E71" s="28">
        <f>IF($A71="","",IFERROR(IF(INDEX(Investments!$E$6:$E$1005,MATCH($A71,Investments!$V$6:$V$1005,0))="","",INDEX(Investments!$E$6:$E$1005,MATCH($A71,Investments!$V$6:$V$1005,0))),""))</f>
        <v/>
      </c>
      <c r="F71" s="39">
        <f>IF($A71="","",IFERROR(IF(INDEX(Investments!$Q$6:$Q$1005,MATCH($A71,Investments!$V$6:$V$1005,0))="","",INDEX(Investments!$Q$6:$Q$1005,MATCH($A71,Investments!$V$6:$V$1005,0))),""))</f>
        <v/>
      </c>
      <c r="G71" s="39">
        <f>IF($A71="","",IFERROR(IF(INDEX(Investments!$R$6:$R$1005,MATCH($A71,Investments!$V$6:$V$1005,0))="","",INDEX(Investments!$R$6:$R$1005,MATCH($A71,Investments!$V$6:$V$1005,0))),""))</f>
        <v/>
      </c>
      <c r="H71" s="39">
        <f>IF($A71="","",IFERROR(IF(INDEX(Investments!$L$6:$L$1005,MATCH($A71,Investments!$V$6:$V$1005,0))="","",INDEX(Investments!$L$6:$L$1005,MATCH($A71,Investments!$V$6:$V$1005,0))),""))</f>
        <v/>
      </c>
      <c r="I71" s="39">
        <f>IF($A71="","",IFERROR(IF(INDEX(Investments!$S$6:$S$1005,MATCH($A71,Investments!$V$6:$V$1005,0))="","",INDEX(Investments!$S$6:$S$1005,MATCH($A71,Investments!$V$6:$V$1005,0))),""))</f>
        <v/>
      </c>
      <c r="J71" s="31">
        <f>IF($A71="","",IFERROR(IF(INDEX(Investments!$T$6:$T$1005,MATCH($A71,Investments!$V$6:$V$1005,0))="","",INDEX(Investments!$T$6:$T$1005,MATCH($A71,Investments!$V$6:$V$1005,0))),""))</f>
        <v/>
      </c>
      <c r="K71" s="31">
        <f>IF($A71="","",IFERROR(IF(INDEX(Investments!$O$6:$O$1005,MATCH($A71,Investments!$V$6:$V$1005,0))="","",INDEX(Investments!$O$6:$O$1005,MATCH($A71,Investments!$V$6:$V$1005,0))),""))</f>
        <v/>
      </c>
    </row>
    <row r="72">
      <c r="A72" s="58">
        <f>IF($C$4="","",IF(51&gt;COUNTIFS(Investments!$A$6:$A$1005,$C$4),"",51))</f>
        <v/>
      </c>
      <c r="B72" s="22">
        <f>IF($A72="","",IFERROR(IF(INDEX(Investments!$B$6:$B$1005,MATCH($A72,Investments!$V$6:$V$1005,0))="","",INDEX(Investments!$B$6:$B$1005,MATCH($A72,Investments!$V$6:$V$1005,0))),""))</f>
        <v/>
      </c>
      <c r="C72" s="22">
        <f>IF($A72="","",IFERROR(IF(INDEX(Investments!$C$6:$C$1005,MATCH($A72,Investments!$V$6:$V$1005,0))="","",INDEX(Investments!$C$6:$C$1005,MATCH($A72,Investments!$V$6:$V$1005,0))),""))</f>
        <v/>
      </c>
      <c r="D72" s="22">
        <f>IF($A72="","",IFERROR(IF(INDEX(Investments!$D$6:$D$1005,MATCH($A72,Investments!$V$6:$V$1005,0))="","",INDEX(Investments!$D$6:$D$1005,MATCH($A72,Investments!$V$6:$V$1005,0))),""))</f>
        <v/>
      </c>
      <c r="E72" s="23">
        <f>IF($A72="","",IFERROR(IF(INDEX(Investments!$E$6:$E$1005,MATCH($A72,Investments!$V$6:$V$1005,0))="","",INDEX(Investments!$E$6:$E$1005,MATCH($A72,Investments!$V$6:$V$1005,0))),""))</f>
        <v/>
      </c>
      <c r="F72" s="49">
        <f>IF($A72="","",IFERROR(IF(INDEX(Investments!$Q$6:$Q$1005,MATCH($A72,Investments!$V$6:$V$1005,0))="","",INDEX(Investments!$Q$6:$Q$1005,MATCH($A72,Investments!$V$6:$V$1005,0))),""))</f>
        <v/>
      </c>
      <c r="G72" s="49">
        <f>IF($A72="","",IFERROR(IF(INDEX(Investments!$R$6:$R$1005,MATCH($A72,Investments!$V$6:$V$1005,0))="","",INDEX(Investments!$R$6:$R$1005,MATCH($A72,Investments!$V$6:$V$1005,0))),""))</f>
        <v/>
      </c>
      <c r="H72" s="49">
        <f>IF($A72="","",IFERROR(IF(INDEX(Investments!$L$6:$L$1005,MATCH($A72,Investments!$V$6:$V$1005,0))="","",INDEX(Investments!$L$6:$L$1005,MATCH($A72,Investments!$V$6:$V$1005,0))),""))</f>
        <v/>
      </c>
      <c r="I72" s="49">
        <f>IF($A72="","",IFERROR(IF(INDEX(Investments!$S$6:$S$1005,MATCH($A72,Investments!$V$6:$V$1005,0))="","",INDEX(Investments!$S$6:$S$1005,MATCH($A72,Investments!$V$6:$V$1005,0))),""))</f>
        <v/>
      </c>
      <c r="J72" s="26">
        <f>IF($A72="","",IFERROR(IF(INDEX(Investments!$T$6:$T$1005,MATCH($A72,Investments!$V$6:$V$1005,0))="","",INDEX(Investments!$T$6:$T$1005,MATCH($A72,Investments!$V$6:$V$1005,0))),""))</f>
        <v/>
      </c>
      <c r="K72" s="26">
        <f>IF($A72="","",IFERROR(IF(INDEX(Investments!$O$6:$O$1005,MATCH($A72,Investments!$V$6:$V$1005,0))="","",INDEX(Investments!$O$6:$O$1005,MATCH($A72,Investments!$V$6:$V$1005,0))),""))</f>
        <v/>
      </c>
    </row>
    <row r="73">
      <c r="A73" s="59">
        <f>IF($C$4="","",IF(52&gt;COUNTIFS(Investments!$A$6:$A$1005,$C$4),"",52))</f>
        <v/>
      </c>
      <c r="B73" s="27">
        <f>IF($A73="","",IFERROR(IF(INDEX(Investments!$B$6:$B$1005,MATCH($A73,Investments!$V$6:$V$1005,0))="","",INDEX(Investments!$B$6:$B$1005,MATCH($A73,Investments!$V$6:$V$1005,0))),""))</f>
        <v/>
      </c>
      <c r="C73" s="27">
        <f>IF($A73="","",IFERROR(IF(INDEX(Investments!$C$6:$C$1005,MATCH($A73,Investments!$V$6:$V$1005,0))="","",INDEX(Investments!$C$6:$C$1005,MATCH($A73,Investments!$V$6:$V$1005,0))),""))</f>
        <v/>
      </c>
      <c r="D73" s="27">
        <f>IF($A73="","",IFERROR(IF(INDEX(Investments!$D$6:$D$1005,MATCH($A73,Investments!$V$6:$V$1005,0))="","",INDEX(Investments!$D$6:$D$1005,MATCH($A73,Investments!$V$6:$V$1005,0))),""))</f>
        <v/>
      </c>
      <c r="E73" s="28">
        <f>IF($A73="","",IFERROR(IF(INDEX(Investments!$E$6:$E$1005,MATCH($A73,Investments!$V$6:$V$1005,0))="","",INDEX(Investments!$E$6:$E$1005,MATCH($A73,Investments!$V$6:$V$1005,0))),""))</f>
        <v/>
      </c>
      <c r="F73" s="39">
        <f>IF($A73="","",IFERROR(IF(INDEX(Investments!$Q$6:$Q$1005,MATCH($A73,Investments!$V$6:$V$1005,0))="","",INDEX(Investments!$Q$6:$Q$1005,MATCH($A73,Investments!$V$6:$V$1005,0))),""))</f>
        <v/>
      </c>
      <c r="G73" s="39">
        <f>IF($A73="","",IFERROR(IF(INDEX(Investments!$R$6:$R$1005,MATCH($A73,Investments!$V$6:$V$1005,0))="","",INDEX(Investments!$R$6:$R$1005,MATCH($A73,Investments!$V$6:$V$1005,0))),""))</f>
        <v/>
      </c>
      <c r="H73" s="39">
        <f>IF($A73="","",IFERROR(IF(INDEX(Investments!$L$6:$L$1005,MATCH($A73,Investments!$V$6:$V$1005,0))="","",INDEX(Investments!$L$6:$L$1005,MATCH($A73,Investments!$V$6:$V$1005,0))),""))</f>
        <v/>
      </c>
      <c r="I73" s="39">
        <f>IF($A73="","",IFERROR(IF(INDEX(Investments!$S$6:$S$1005,MATCH($A73,Investments!$V$6:$V$1005,0))="","",INDEX(Investments!$S$6:$S$1005,MATCH($A73,Investments!$V$6:$V$1005,0))),""))</f>
        <v/>
      </c>
      <c r="J73" s="31">
        <f>IF($A73="","",IFERROR(IF(INDEX(Investments!$T$6:$T$1005,MATCH($A73,Investments!$V$6:$V$1005,0))="","",INDEX(Investments!$T$6:$T$1005,MATCH($A73,Investments!$V$6:$V$1005,0))),""))</f>
        <v/>
      </c>
      <c r="K73" s="31">
        <f>IF($A73="","",IFERROR(IF(INDEX(Investments!$O$6:$O$1005,MATCH($A73,Investments!$V$6:$V$1005,0))="","",INDEX(Investments!$O$6:$O$1005,MATCH($A73,Investments!$V$6:$V$1005,0))),""))</f>
        <v/>
      </c>
    </row>
    <row r="74">
      <c r="A74" s="58">
        <f>IF($C$4="","",IF(53&gt;COUNTIFS(Investments!$A$6:$A$1005,$C$4),"",53))</f>
        <v/>
      </c>
      <c r="B74" s="22">
        <f>IF($A74="","",IFERROR(IF(INDEX(Investments!$B$6:$B$1005,MATCH($A74,Investments!$V$6:$V$1005,0))="","",INDEX(Investments!$B$6:$B$1005,MATCH($A74,Investments!$V$6:$V$1005,0))),""))</f>
        <v/>
      </c>
      <c r="C74" s="22">
        <f>IF($A74="","",IFERROR(IF(INDEX(Investments!$C$6:$C$1005,MATCH($A74,Investments!$V$6:$V$1005,0))="","",INDEX(Investments!$C$6:$C$1005,MATCH($A74,Investments!$V$6:$V$1005,0))),""))</f>
        <v/>
      </c>
      <c r="D74" s="22">
        <f>IF($A74="","",IFERROR(IF(INDEX(Investments!$D$6:$D$1005,MATCH($A74,Investments!$V$6:$V$1005,0))="","",INDEX(Investments!$D$6:$D$1005,MATCH($A74,Investments!$V$6:$V$1005,0))),""))</f>
        <v/>
      </c>
      <c r="E74" s="23">
        <f>IF($A74="","",IFERROR(IF(INDEX(Investments!$E$6:$E$1005,MATCH($A74,Investments!$V$6:$V$1005,0))="","",INDEX(Investments!$E$6:$E$1005,MATCH($A74,Investments!$V$6:$V$1005,0))),""))</f>
        <v/>
      </c>
      <c r="F74" s="49">
        <f>IF($A74="","",IFERROR(IF(INDEX(Investments!$Q$6:$Q$1005,MATCH($A74,Investments!$V$6:$V$1005,0))="","",INDEX(Investments!$Q$6:$Q$1005,MATCH($A74,Investments!$V$6:$V$1005,0))),""))</f>
        <v/>
      </c>
      <c r="G74" s="49">
        <f>IF($A74="","",IFERROR(IF(INDEX(Investments!$R$6:$R$1005,MATCH($A74,Investments!$V$6:$V$1005,0))="","",INDEX(Investments!$R$6:$R$1005,MATCH($A74,Investments!$V$6:$V$1005,0))),""))</f>
        <v/>
      </c>
      <c r="H74" s="49">
        <f>IF($A74="","",IFERROR(IF(INDEX(Investments!$L$6:$L$1005,MATCH($A74,Investments!$V$6:$V$1005,0))="","",INDEX(Investments!$L$6:$L$1005,MATCH($A74,Investments!$V$6:$V$1005,0))),""))</f>
        <v/>
      </c>
      <c r="I74" s="49">
        <f>IF($A74="","",IFERROR(IF(INDEX(Investments!$S$6:$S$1005,MATCH($A74,Investments!$V$6:$V$1005,0))="","",INDEX(Investments!$S$6:$S$1005,MATCH($A74,Investments!$V$6:$V$1005,0))),""))</f>
        <v/>
      </c>
      <c r="J74" s="26">
        <f>IF($A74="","",IFERROR(IF(INDEX(Investments!$T$6:$T$1005,MATCH($A74,Investments!$V$6:$V$1005,0))="","",INDEX(Investments!$T$6:$T$1005,MATCH($A74,Investments!$V$6:$V$1005,0))),""))</f>
        <v/>
      </c>
      <c r="K74" s="26">
        <f>IF($A74="","",IFERROR(IF(INDEX(Investments!$O$6:$O$1005,MATCH($A74,Investments!$V$6:$V$1005,0))="","",INDEX(Investments!$O$6:$O$1005,MATCH($A74,Investments!$V$6:$V$1005,0))),""))</f>
        <v/>
      </c>
    </row>
    <row r="75">
      <c r="A75" s="59">
        <f>IF($C$4="","",IF(54&gt;COUNTIFS(Investments!$A$6:$A$1005,$C$4),"",54))</f>
        <v/>
      </c>
      <c r="B75" s="27">
        <f>IF($A75="","",IFERROR(IF(INDEX(Investments!$B$6:$B$1005,MATCH($A75,Investments!$V$6:$V$1005,0))="","",INDEX(Investments!$B$6:$B$1005,MATCH($A75,Investments!$V$6:$V$1005,0))),""))</f>
        <v/>
      </c>
      <c r="C75" s="27">
        <f>IF($A75="","",IFERROR(IF(INDEX(Investments!$C$6:$C$1005,MATCH($A75,Investments!$V$6:$V$1005,0))="","",INDEX(Investments!$C$6:$C$1005,MATCH($A75,Investments!$V$6:$V$1005,0))),""))</f>
        <v/>
      </c>
      <c r="D75" s="27">
        <f>IF($A75="","",IFERROR(IF(INDEX(Investments!$D$6:$D$1005,MATCH($A75,Investments!$V$6:$V$1005,0))="","",INDEX(Investments!$D$6:$D$1005,MATCH($A75,Investments!$V$6:$V$1005,0))),""))</f>
        <v/>
      </c>
      <c r="E75" s="28">
        <f>IF($A75="","",IFERROR(IF(INDEX(Investments!$E$6:$E$1005,MATCH($A75,Investments!$V$6:$V$1005,0))="","",INDEX(Investments!$E$6:$E$1005,MATCH($A75,Investments!$V$6:$V$1005,0))),""))</f>
        <v/>
      </c>
      <c r="F75" s="39">
        <f>IF($A75="","",IFERROR(IF(INDEX(Investments!$Q$6:$Q$1005,MATCH($A75,Investments!$V$6:$V$1005,0))="","",INDEX(Investments!$Q$6:$Q$1005,MATCH($A75,Investments!$V$6:$V$1005,0))),""))</f>
        <v/>
      </c>
      <c r="G75" s="39">
        <f>IF($A75="","",IFERROR(IF(INDEX(Investments!$R$6:$R$1005,MATCH($A75,Investments!$V$6:$V$1005,0))="","",INDEX(Investments!$R$6:$R$1005,MATCH($A75,Investments!$V$6:$V$1005,0))),""))</f>
        <v/>
      </c>
      <c r="H75" s="39">
        <f>IF($A75="","",IFERROR(IF(INDEX(Investments!$L$6:$L$1005,MATCH($A75,Investments!$V$6:$V$1005,0))="","",INDEX(Investments!$L$6:$L$1005,MATCH($A75,Investments!$V$6:$V$1005,0))),""))</f>
        <v/>
      </c>
      <c r="I75" s="39">
        <f>IF($A75="","",IFERROR(IF(INDEX(Investments!$S$6:$S$1005,MATCH($A75,Investments!$V$6:$V$1005,0))="","",INDEX(Investments!$S$6:$S$1005,MATCH($A75,Investments!$V$6:$V$1005,0))),""))</f>
        <v/>
      </c>
      <c r="J75" s="31">
        <f>IF($A75="","",IFERROR(IF(INDEX(Investments!$T$6:$T$1005,MATCH($A75,Investments!$V$6:$V$1005,0))="","",INDEX(Investments!$T$6:$T$1005,MATCH($A75,Investments!$V$6:$V$1005,0))),""))</f>
        <v/>
      </c>
      <c r="K75" s="31">
        <f>IF($A75="","",IFERROR(IF(INDEX(Investments!$O$6:$O$1005,MATCH($A75,Investments!$V$6:$V$1005,0))="","",INDEX(Investments!$O$6:$O$1005,MATCH($A75,Investments!$V$6:$V$1005,0))),""))</f>
        <v/>
      </c>
    </row>
    <row r="76">
      <c r="A76" s="58">
        <f>IF($C$4="","",IF(55&gt;COUNTIFS(Investments!$A$6:$A$1005,$C$4),"",55))</f>
        <v/>
      </c>
      <c r="B76" s="22">
        <f>IF($A76="","",IFERROR(IF(INDEX(Investments!$B$6:$B$1005,MATCH($A76,Investments!$V$6:$V$1005,0))="","",INDEX(Investments!$B$6:$B$1005,MATCH($A76,Investments!$V$6:$V$1005,0))),""))</f>
        <v/>
      </c>
      <c r="C76" s="22">
        <f>IF($A76="","",IFERROR(IF(INDEX(Investments!$C$6:$C$1005,MATCH($A76,Investments!$V$6:$V$1005,0))="","",INDEX(Investments!$C$6:$C$1005,MATCH($A76,Investments!$V$6:$V$1005,0))),""))</f>
        <v/>
      </c>
      <c r="D76" s="22">
        <f>IF($A76="","",IFERROR(IF(INDEX(Investments!$D$6:$D$1005,MATCH($A76,Investments!$V$6:$V$1005,0))="","",INDEX(Investments!$D$6:$D$1005,MATCH($A76,Investments!$V$6:$V$1005,0))),""))</f>
        <v/>
      </c>
      <c r="E76" s="23">
        <f>IF($A76="","",IFERROR(IF(INDEX(Investments!$E$6:$E$1005,MATCH($A76,Investments!$V$6:$V$1005,0))="","",INDEX(Investments!$E$6:$E$1005,MATCH($A76,Investments!$V$6:$V$1005,0))),""))</f>
        <v/>
      </c>
      <c r="F76" s="49">
        <f>IF($A76="","",IFERROR(IF(INDEX(Investments!$Q$6:$Q$1005,MATCH($A76,Investments!$V$6:$V$1005,0))="","",INDEX(Investments!$Q$6:$Q$1005,MATCH($A76,Investments!$V$6:$V$1005,0))),""))</f>
        <v/>
      </c>
      <c r="G76" s="49">
        <f>IF($A76="","",IFERROR(IF(INDEX(Investments!$R$6:$R$1005,MATCH($A76,Investments!$V$6:$V$1005,0))="","",INDEX(Investments!$R$6:$R$1005,MATCH($A76,Investments!$V$6:$V$1005,0))),""))</f>
        <v/>
      </c>
      <c r="H76" s="49">
        <f>IF($A76="","",IFERROR(IF(INDEX(Investments!$L$6:$L$1005,MATCH($A76,Investments!$V$6:$V$1005,0))="","",INDEX(Investments!$L$6:$L$1005,MATCH($A76,Investments!$V$6:$V$1005,0))),""))</f>
        <v/>
      </c>
      <c r="I76" s="49">
        <f>IF($A76="","",IFERROR(IF(INDEX(Investments!$S$6:$S$1005,MATCH($A76,Investments!$V$6:$V$1005,0))="","",INDEX(Investments!$S$6:$S$1005,MATCH($A76,Investments!$V$6:$V$1005,0))),""))</f>
        <v/>
      </c>
      <c r="J76" s="26">
        <f>IF($A76="","",IFERROR(IF(INDEX(Investments!$T$6:$T$1005,MATCH($A76,Investments!$V$6:$V$1005,0))="","",INDEX(Investments!$T$6:$T$1005,MATCH($A76,Investments!$V$6:$V$1005,0))),""))</f>
        <v/>
      </c>
      <c r="K76" s="26">
        <f>IF($A76="","",IFERROR(IF(INDEX(Investments!$O$6:$O$1005,MATCH($A76,Investments!$V$6:$V$1005,0))="","",INDEX(Investments!$O$6:$O$1005,MATCH($A76,Investments!$V$6:$V$1005,0))),""))</f>
        <v/>
      </c>
    </row>
    <row r="77">
      <c r="A77" s="59">
        <f>IF($C$4="","",IF(56&gt;COUNTIFS(Investments!$A$6:$A$1005,$C$4),"",56))</f>
        <v/>
      </c>
      <c r="B77" s="27">
        <f>IF($A77="","",IFERROR(IF(INDEX(Investments!$B$6:$B$1005,MATCH($A77,Investments!$V$6:$V$1005,0))="","",INDEX(Investments!$B$6:$B$1005,MATCH($A77,Investments!$V$6:$V$1005,0))),""))</f>
        <v/>
      </c>
      <c r="C77" s="27">
        <f>IF($A77="","",IFERROR(IF(INDEX(Investments!$C$6:$C$1005,MATCH($A77,Investments!$V$6:$V$1005,0))="","",INDEX(Investments!$C$6:$C$1005,MATCH($A77,Investments!$V$6:$V$1005,0))),""))</f>
        <v/>
      </c>
      <c r="D77" s="27">
        <f>IF($A77="","",IFERROR(IF(INDEX(Investments!$D$6:$D$1005,MATCH($A77,Investments!$V$6:$V$1005,0))="","",INDEX(Investments!$D$6:$D$1005,MATCH($A77,Investments!$V$6:$V$1005,0))),""))</f>
        <v/>
      </c>
      <c r="E77" s="28">
        <f>IF($A77="","",IFERROR(IF(INDEX(Investments!$E$6:$E$1005,MATCH($A77,Investments!$V$6:$V$1005,0))="","",INDEX(Investments!$E$6:$E$1005,MATCH($A77,Investments!$V$6:$V$1005,0))),""))</f>
        <v/>
      </c>
      <c r="F77" s="39">
        <f>IF($A77="","",IFERROR(IF(INDEX(Investments!$Q$6:$Q$1005,MATCH($A77,Investments!$V$6:$V$1005,0))="","",INDEX(Investments!$Q$6:$Q$1005,MATCH($A77,Investments!$V$6:$V$1005,0))),""))</f>
        <v/>
      </c>
      <c r="G77" s="39">
        <f>IF($A77="","",IFERROR(IF(INDEX(Investments!$R$6:$R$1005,MATCH($A77,Investments!$V$6:$V$1005,0))="","",INDEX(Investments!$R$6:$R$1005,MATCH($A77,Investments!$V$6:$V$1005,0))),""))</f>
        <v/>
      </c>
      <c r="H77" s="39">
        <f>IF($A77="","",IFERROR(IF(INDEX(Investments!$L$6:$L$1005,MATCH($A77,Investments!$V$6:$V$1005,0))="","",INDEX(Investments!$L$6:$L$1005,MATCH($A77,Investments!$V$6:$V$1005,0))),""))</f>
        <v/>
      </c>
      <c r="I77" s="39">
        <f>IF($A77="","",IFERROR(IF(INDEX(Investments!$S$6:$S$1005,MATCH($A77,Investments!$V$6:$V$1005,0))="","",INDEX(Investments!$S$6:$S$1005,MATCH($A77,Investments!$V$6:$V$1005,0))),""))</f>
        <v/>
      </c>
      <c r="J77" s="31">
        <f>IF($A77="","",IFERROR(IF(INDEX(Investments!$T$6:$T$1005,MATCH($A77,Investments!$V$6:$V$1005,0))="","",INDEX(Investments!$T$6:$T$1005,MATCH($A77,Investments!$V$6:$V$1005,0))),""))</f>
        <v/>
      </c>
      <c r="K77" s="31">
        <f>IF($A77="","",IFERROR(IF(INDEX(Investments!$O$6:$O$1005,MATCH($A77,Investments!$V$6:$V$1005,0))="","",INDEX(Investments!$O$6:$O$1005,MATCH($A77,Investments!$V$6:$V$1005,0))),""))</f>
        <v/>
      </c>
    </row>
    <row r="78">
      <c r="A78" s="58">
        <f>IF($C$4="","",IF(57&gt;COUNTIFS(Investments!$A$6:$A$1005,$C$4),"",57))</f>
        <v/>
      </c>
      <c r="B78" s="22">
        <f>IF($A78="","",IFERROR(IF(INDEX(Investments!$B$6:$B$1005,MATCH($A78,Investments!$V$6:$V$1005,0))="","",INDEX(Investments!$B$6:$B$1005,MATCH($A78,Investments!$V$6:$V$1005,0))),""))</f>
        <v/>
      </c>
      <c r="C78" s="22">
        <f>IF($A78="","",IFERROR(IF(INDEX(Investments!$C$6:$C$1005,MATCH($A78,Investments!$V$6:$V$1005,0))="","",INDEX(Investments!$C$6:$C$1005,MATCH($A78,Investments!$V$6:$V$1005,0))),""))</f>
        <v/>
      </c>
      <c r="D78" s="22">
        <f>IF($A78="","",IFERROR(IF(INDEX(Investments!$D$6:$D$1005,MATCH($A78,Investments!$V$6:$V$1005,0))="","",INDEX(Investments!$D$6:$D$1005,MATCH($A78,Investments!$V$6:$V$1005,0))),""))</f>
        <v/>
      </c>
      <c r="E78" s="23">
        <f>IF($A78="","",IFERROR(IF(INDEX(Investments!$E$6:$E$1005,MATCH($A78,Investments!$V$6:$V$1005,0))="","",INDEX(Investments!$E$6:$E$1005,MATCH($A78,Investments!$V$6:$V$1005,0))),""))</f>
        <v/>
      </c>
      <c r="F78" s="49">
        <f>IF($A78="","",IFERROR(IF(INDEX(Investments!$Q$6:$Q$1005,MATCH($A78,Investments!$V$6:$V$1005,0))="","",INDEX(Investments!$Q$6:$Q$1005,MATCH($A78,Investments!$V$6:$V$1005,0))),""))</f>
        <v/>
      </c>
      <c r="G78" s="49">
        <f>IF($A78="","",IFERROR(IF(INDEX(Investments!$R$6:$R$1005,MATCH($A78,Investments!$V$6:$V$1005,0))="","",INDEX(Investments!$R$6:$R$1005,MATCH($A78,Investments!$V$6:$V$1005,0))),""))</f>
        <v/>
      </c>
      <c r="H78" s="49">
        <f>IF($A78="","",IFERROR(IF(INDEX(Investments!$L$6:$L$1005,MATCH($A78,Investments!$V$6:$V$1005,0))="","",INDEX(Investments!$L$6:$L$1005,MATCH($A78,Investments!$V$6:$V$1005,0))),""))</f>
        <v/>
      </c>
      <c r="I78" s="49">
        <f>IF($A78="","",IFERROR(IF(INDEX(Investments!$S$6:$S$1005,MATCH($A78,Investments!$V$6:$V$1005,0))="","",INDEX(Investments!$S$6:$S$1005,MATCH($A78,Investments!$V$6:$V$1005,0))),""))</f>
        <v/>
      </c>
      <c r="J78" s="26">
        <f>IF($A78="","",IFERROR(IF(INDEX(Investments!$T$6:$T$1005,MATCH($A78,Investments!$V$6:$V$1005,0))="","",INDEX(Investments!$T$6:$T$1005,MATCH($A78,Investments!$V$6:$V$1005,0))),""))</f>
        <v/>
      </c>
      <c r="K78" s="26">
        <f>IF($A78="","",IFERROR(IF(INDEX(Investments!$O$6:$O$1005,MATCH($A78,Investments!$V$6:$V$1005,0))="","",INDEX(Investments!$O$6:$O$1005,MATCH($A78,Investments!$V$6:$V$1005,0))),""))</f>
        <v/>
      </c>
    </row>
    <row r="79">
      <c r="A79" s="59">
        <f>IF($C$4="","",IF(58&gt;COUNTIFS(Investments!$A$6:$A$1005,$C$4),"",58))</f>
        <v/>
      </c>
      <c r="B79" s="27">
        <f>IF($A79="","",IFERROR(IF(INDEX(Investments!$B$6:$B$1005,MATCH($A79,Investments!$V$6:$V$1005,0))="","",INDEX(Investments!$B$6:$B$1005,MATCH($A79,Investments!$V$6:$V$1005,0))),""))</f>
        <v/>
      </c>
      <c r="C79" s="27">
        <f>IF($A79="","",IFERROR(IF(INDEX(Investments!$C$6:$C$1005,MATCH($A79,Investments!$V$6:$V$1005,0))="","",INDEX(Investments!$C$6:$C$1005,MATCH($A79,Investments!$V$6:$V$1005,0))),""))</f>
        <v/>
      </c>
      <c r="D79" s="27">
        <f>IF($A79="","",IFERROR(IF(INDEX(Investments!$D$6:$D$1005,MATCH($A79,Investments!$V$6:$V$1005,0))="","",INDEX(Investments!$D$6:$D$1005,MATCH($A79,Investments!$V$6:$V$1005,0))),""))</f>
        <v/>
      </c>
      <c r="E79" s="28">
        <f>IF($A79="","",IFERROR(IF(INDEX(Investments!$E$6:$E$1005,MATCH($A79,Investments!$V$6:$V$1005,0))="","",INDEX(Investments!$E$6:$E$1005,MATCH($A79,Investments!$V$6:$V$1005,0))),""))</f>
        <v/>
      </c>
      <c r="F79" s="39">
        <f>IF($A79="","",IFERROR(IF(INDEX(Investments!$Q$6:$Q$1005,MATCH($A79,Investments!$V$6:$V$1005,0))="","",INDEX(Investments!$Q$6:$Q$1005,MATCH($A79,Investments!$V$6:$V$1005,0))),""))</f>
        <v/>
      </c>
      <c r="G79" s="39">
        <f>IF($A79="","",IFERROR(IF(INDEX(Investments!$R$6:$R$1005,MATCH($A79,Investments!$V$6:$V$1005,0))="","",INDEX(Investments!$R$6:$R$1005,MATCH($A79,Investments!$V$6:$V$1005,0))),""))</f>
        <v/>
      </c>
      <c r="H79" s="39">
        <f>IF($A79="","",IFERROR(IF(INDEX(Investments!$L$6:$L$1005,MATCH($A79,Investments!$V$6:$V$1005,0))="","",INDEX(Investments!$L$6:$L$1005,MATCH($A79,Investments!$V$6:$V$1005,0))),""))</f>
        <v/>
      </c>
      <c r="I79" s="39">
        <f>IF($A79="","",IFERROR(IF(INDEX(Investments!$S$6:$S$1005,MATCH($A79,Investments!$V$6:$V$1005,0))="","",INDEX(Investments!$S$6:$S$1005,MATCH($A79,Investments!$V$6:$V$1005,0))),""))</f>
        <v/>
      </c>
      <c r="J79" s="31">
        <f>IF($A79="","",IFERROR(IF(INDEX(Investments!$T$6:$T$1005,MATCH($A79,Investments!$V$6:$V$1005,0))="","",INDEX(Investments!$T$6:$T$1005,MATCH($A79,Investments!$V$6:$V$1005,0))),""))</f>
        <v/>
      </c>
      <c r="K79" s="31">
        <f>IF($A79="","",IFERROR(IF(INDEX(Investments!$O$6:$O$1005,MATCH($A79,Investments!$V$6:$V$1005,0))="","",INDEX(Investments!$O$6:$O$1005,MATCH($A79,Investments!$V$6:$V$1005,0))),""))</f>
        <v/>
      </c>
    </row>
    <row r="80">
      <c r="A80" s="58">
        <f>IF($C$4="","",IF(59&gt;COUNTIFS(Investments!$A$6:$A$1005,$C$4),"",59))</f>
        <v/>
      </c>
      <c r="B80" s="22">
        <f>IF($A80="","",IFERROR(IF(INDEX(Investments!$B$6:$B$1005,MATCH($A80,Investments!$V$6:$V$1005,0))="","",INDEX(Investments!$B$6:$B$1005,MATCH($A80,Investments!$V$6:$V$1005,0))),""))</f>
        <v/>
      </c>
      <c r="C80" s="22">
        <f>IF($A80="","",IFERROR(IF(INDEX(Investments!$C$6:$C$1005,MATCH($A80,Investments!$V$6:$V$1005,0))="","",INDEX(Investments!$C$6:$C$1005,MATCH($A80,Investments!$V$6:$V$1005,0))),""))</f>
        <v/>
      </c>
      <c r="D80" s="22">
        <f>IF($A80="","",IFERROR(IF(INDEX(Investments!$D$6:$D$1005,MATCH($A80,Investments!$V$6:$V$1005,0))="","",INDEX(Investments!$D$6:$D$1005,MATCH($A80,Investments!$V$6:$V$1005,0))),""))</f>
        <v/>
      </c>
      <c r="E80" s="23">
        <f>IF($A80="","",IFERROR(IF(INDEX(Investments!$E$6:$E$1005,MATCH($A80,Investments!$V$6:$V$1005,0))="","",INDEX(Investments!$E$6:$E$1005,MATCH($A80,Investments!$V$6:$V$1005,0))),""))</f>
        <v/>
      </c>
      <c r="F80" s="49">
        <f>IF($A80="","",IFERROR(IF(INDEX(Investments!$Q$6:$Q$1005,MATCH($A80,Investments!$V$6:$V$1005,0))="","",INDEX(Investments!$Q$6:$Q$1005,MATCH($A80,Investments!$V$6:$V$1005,0))),""))</f>
        <v/>
      </c>
      <c r="G80" s="49">
        <f>IF($A80="","",IFERROR(IF(INDEX(Investments!$R$6:$R$1005,MATCH($A80,Investments!$V$6:$V$1005,0))="","",INDEX(Investments!$R$6:$R$1005,MATCH($A80,Investments!$V$6:$V$1005,0))),""))</f>
        <v/>
      </c>
      <c r="H80" s="49">
        <f>IF($A80="","",IFERROR(IF(INDEX(Investments!$L$6:$L$1005,MATCH($A80,Investments!$V$6:$V$1005,0))="","",INDEX(Investments!$L$6:$L$1005,MATCH($A80,Investments!$V$6:$V$1005,0))),""))</f>
        <v/>
      </c>
      <c r="I80" s="49">
        <f>IF($A80="","",IFERROR(IF(INDEX(Investments!$S$6:$S$1005,MATCH($A80,Investments!$V$6:$V$1005,0))="","",INDEX(Investments!$S$6:$S$1005,MATCH($A80,Investments!$V$6:$V$1005,0))),""))</f>
        <v/>
      </c>
      <c r="J80" s="26">
        <f>IF($A80="","",IFERROR(IF(INDEX(Investments!$T$6:$T$1005,MATCH($A80,Investments!$V$6:$V$1005,0))="","",INDEX(Investments!$T$6:$T$1005,MATCH($A80,Investments!$V$6:$V$1005,0))),""))</f>
        <v/>
      </c>
      <c r="K80" s="26">
        <f>IF($A80="","",IFERROR(IF(INDEX(Investments!$O$6:$O$1005,MATCH($A80,Investments!$V$6:$V$1005,0))="","",INDEX(Investments!$O$6:$O$1005,MATCH($A80,Investments!$V$6:$V$1005,0))),""))</f>
        <v/>
      </c>
    </row>
    <row r="81">
      <c r="A81" s="59">
        <f>IF($C$4="","",IF(60&gt;COUNTIFS(Investments!$A$6:$A$1005,$C$4),"",60))</f>
        <v/>
      </c>
      <c r="B81" s="27">
        <f>IF($A81="","",IFERROR(IF(INDEX(Investments!$B$6:$B$1005,MATCH($A81,Investments!$V$6:$V$1005,0))="","",INDEX(Investments!$B$6:$B$1005,MATCH($A81,Investments!$V$6:$V$1005,0))),""))</f>
        <v/>
      </c>
      <c r="C81" s="27">
        <f>IF($A81="","",IFERROR(IF(INDEX(Investments!$C$6:$C$1005,MATCH($A81,Investments!$V$6:$V$1005,0))="","",INDEX(Investments!$C$6:$C$1005,MATCH($A81,Investments!$V$6:$V$1005,0))),""))</f>
        <v/>
      </c>
      <c r="D81" s="27">
        <f>IF($A81="","",IFERROR(IF(INDEX(Investments!$D$6:$D$1005,MATCH($A81,Investments!$V$6:$V$1005,0))="","",INDEX(Investments!$D$6:$D$1005,MATCH($A81,Investments!$V$6:$V$1005,0))),""))</f>
        <v/>
      </c>
      <c r="E81" s="28">
        <f>IF($A81="","",IFERROR(IF(INDEX(Investments!$E$6:$E$1005,MATCH($A81,Investments!$V$6:$V$1005,0))="","",INDEX(Investments!$E$6:$E$1005,MATCH($A81,Investments!$V$6:$V$1005,0))),""))</f>
        <v/>
      </c>
      <c r="F81" s="39">
        <f>IF($A81="","",IFERROR(IF(INDEX(Investments!$Q$6:$Q$1005,MATCH($A81,Investments!$V$6:$V$1005,0))="","",INDEX(Investments!$Q$6:$Q$1005,MATCH($A81,Investments!$V$6:$V$1005,0))),""))</f>
        <v/>
      </c>
      <c r="G81" s="39">
        <f>IF($A81="","",IFERROR(IF(INDEX(Investments!$R$6:$R$1005,MATCH($A81,Investments!$V$6:$V$1005,0))="","",INDEX(Investments!$R$6:$R$1005,MATCH($A81,Investments!$V$6:$V$1005,0))),""))</f>
        <v/>
      </c>
      <c r="H81" s="39">
        <f>IF($A81="","",IFERROR(IF(INDEX(Investments!$L$6:$L$1005,MATCH($A81,Investments!$V$6:$V$1005,0))="","",INDEX(Investments!$L$6:$L$1005,MATCH($A81,Investments!$V$6:$V$1005,0))),""))</f>
        <v/>
      </c>
      <c r="I81" s="39">
        <f>IF($A81="","",IFERROR(IF(INDEX(Investments!$S$6:$S$1005,MATCH($A81,Investments!$V$6:$V$1005,0))="","",INDEX(Investments!$S$6:$S$1005,MATCH($A81,Investments!$V$6:$V$1005,0))),""))</f>
        <v/>
      </c>
      <c r="J81" s="31">
        <f>IF($A81="","",IFERROR(IF(INDEX(Investments!$T$6:$T$1005,MATCH($A81,Investments!$V$6:$V$1005,0))="","",INDEX(Investments!$T$6:$T$1005,MATCH($A81,Investments!$V$6:$V$1005,0))),""))</f>
        <v/>
      </c>
      <c r="K81" s="31">
        <f>IF($A81="","",IFERROR(IF(INDEX(Investments!$O$6:$O$1005,MATCH($A81,Investments!$V$6:$V$1005,0))="","",INDEX(Investments!$O$6:$O$1005,MATCH($A81,Investments!$V$6:$V$1005,0))),""))</f>
        <v/>
      </c>
    </row>
    <row r="82">
      <c r="A82" s="58">
        <f>IF($C$4="","",IF(61&gt;COUNTIFS(Investments!$A$6:$A$1005,$C$4),"",61))</f>
        <v/>
      </c>
      <c r="B82" s="22">
        <f>IF($A82="","",IFERROR(IF(INDEX(Investments!$B$6:$B$1005,MATCH($A82,Investments!$V$6:$V$1005,0))="","",INDEX(Investments!$B$6:$B$1005,MATCH($A82,Investments!$V$6:$V$1005,0))),""))</f>
        <v/>
      </c>
      <c r="C82" s="22">
        <f>IF($A82="","",IFERROR(IF(INDEX(Investments!$C$6:$C$1005,MATCH($A82,Investments!$V$6:$V$1005,0))="","",INDEX(Investments!$C$6:$C$1005,MATCH($A82,Investments!$V$6:$V$1005,0))),""))</f>
        <v/>
      </c>
      <c r="D82" s="22">
        <f>IF($A82="","",IFERROR(IF(INDEX(Investments!$D$6:$D$1005,MATCH($A82,Investments!$V$6:$V$1005,0))="","",INDEX(Investments!$D$6:$D$1005,MATCH($A82,Investments!$V$6:$V$1005,0))),""))</f>
        <v/>
      </c>
      <c r="E82" s="23">
        <f>IF($A82="","",IFERROR(IF(INDEX(Investments!$E$6:$E$1005,MATCH($A82,Investments!$V$6:$V$1005,0))="","",INDEX(Investments!$E$6:$E$1005,MATCH($A82,Investments!$V$6:$V$1005,0))),""))</f>
        <v/>
      </c>
      <c r="F82" s="49">
        <f>IF($A82="","",IFERROR(IF(INDEX(Investments!$Q$6:$Q$1005,MATCH($A82,Investments!$V$6:$V$1005,0))="","",INDEX(Investments!$Q$6:$Q$1005,MATCH($A82,Investments!$V$6:$V$1005,0))),""))</f>
        <v/>
      </c>
      <c r="G82" s="49">
        <f>IF($A82="","",IFERROR(IF(INDEX(Investments!$R$6:$R$1005,MATCH($A82,Investments!$V$6:$V$1005,0))="","",INDEX(Investments!$R$6:$R$1005,MATCH($A82,Investments!$V$6:$V$1005,0))),""))</f>
        <v/>
      </c>
      <c r="H82" s="49">
        <f>IF($A82="","",IFERROR(IF(INDEX(Investments!$L$6:$L$1005,MATCH($A82,Investments!$V$6:$V$1005,0))="","",INDEX(Investments!$L$6:$L$1005,MATCH($A82,Investments!$V$6:$V$1005,0))),""))</f>
        <v/>
      </c>
      <c r="I82" s="49">
        <f>IF($A82="","",IFERROR(IF(INDEX(Investments!$S$6:$S$1005,MATCH($A82,Investments!$V$6:$V$1005,0))="","",INDEX(Investments!$S$6:$S$1005,MATCH($A82,Investments!$V$6:$V$1005,0))),""))</f>
        <v/>
      </c>
      <c r="J82" s="26">
        <f>IF($A82="","",IFERROR(IF(INDEX(Investments!$T$6:$T$1005,MATCH($A82,Investments!$V$6:$V$1005,0))="","",INDEX(Investments!$T$6:$T$1005,MATCH($A82,Investments!$V$6:$V$1005,0))),""))</f>
        <v/>
      </c>
      <c r="K82" s="26">
        <f>IF($A82="","",IFERROR(IF(INDEX(Investments!$O$6:$O$1005,MATCH($A82,Investments!$V$6:$V$1005,0))="","",INDEX(Investments!$O$6:$O$1005,MATCH($A82,Investments!$V$6:$V$1005,0))),""))</f>
        <v/>
      </c>
    </row>
    <row r="83">
      <c r="A83" s="59">
        <f>IF($C$4="","",IF(62&gt;COUNTIFS(Investments!$A$6:$A$1005,$C$4),"",62))</f>
        <v/>
      </c>
      <c r="B83" s="27">
        <f>IF($A83="","",IFERROR(IF(INDEX(Investments!$B$6:$B$1005,MATCH($A83,Investments!$V$6:$V$1005,0))="","",INDEX(Investments!$B$6:$B$1005,MATCH($A83,Investments!$V$6:$V$1005,0))),""))</f>
        <v/>
      </c>
      <c r="C83" s="27">
        <f>IF($A83="","",IFERROR(IF(INDEX(Investments!$C$6:$C$1005,MATCH($A83,Investments!$V$6:$V$1005,0))="","",INDEX(Investments!$C$6:$C$1005,MATCH($A83,Investments!$V$6:$V$1005,0))),""))</f>
        <v/>
      </c>
      <c r="D83" s="27">
        <f>IF($A83="","",IFERROR(IF(INDEX(Investments!$D$6:$D$1005,MATCH($A83,Investments!$V$6:$V$1005,0))="","",INDEX(Investments!$D$6:$D$1005,MATCH($A83,Investments!$V$6:$V$1005,0))),""))</f>
        <v/>
      </c>
      <c r="E83" s="28">
        <f>IF($A83="","",IFERROR(IF(INDEX(Investments!$E$6:$E$1005,MATCH($A83,Investments!$V$6:$V$1005,0))="","",INDEX(Investments!$E$6:$E$1005,MATCH($A83,Investments!$V$6:$V$1005,0))),""))</f>
        <v/>
      </c>
      <c r="F83" s="39">
        <f>IF($A83="","",IFERROR(IF(INDEX(Investments!$Q$6:$Q$1005,MATCH($A83,Investments!$V$6:$V$1005,0))="","",INDEX(Investments!$Q$6:$Q$1005,MATCH($A83,Investments!$V$6:$V$1005,0))),""))</f>
        <v/>
      </c>
      <c r="G83" s="39">
        <f>IF($A83="","",IFERROR(IF(INDEX(Investments!$R$6:$R$1005,MATCH($A83,Investments!$V$6:$V$1005,0))="","",INDEX(Investments!$R$6:$R$1005,MATCH($A83,Investments!$V$6:$V$1005,0))),""))</f>
        <v/>
      </c>
      <c r="H83" s="39">
        <f>IF($A83="","",IFERROR(IF(INDEX(Investments!$L$6:$L$1005,MATCH($A83,Investments!$V$6:$V$1005,0))="","",INDEX(Investments!$L$6:$L$1005,MATCH($A83,Investments!$V$6:$V$1005,0))),""))</f>
        <v/>
      </c>
      <c r="I83" s="39">
        <f>IF($A83="","",IFERROR(IF(INDEX(Investments!$S$6:$S$1005,MATCH($A83,Investments!$V$6:$V$1005,0))="","",INDEX(Investments!$S$6:$S$1005,MATCH($A83,Investments!$V$6:$V$1005,0))),""))</f>
        <v/>
      </c>
      <c r="J83" s="31">
        <f>IF($A83="","",IFERROR(IF(INDEX(Investments!$T$6:$T$1005,MATCH($A83,Investments!$V$6:$V$1005,0))="","",INDEX(Investments!$T$6:$T$1005,MATCH($A83,Investments!$V$6:$V$1005,0))),""))</f>
        <v/>
      </c>
      <c r="K83" s="31">
        <f>IF($A83="","",IFERROR(IF(INDEX(Investments!$O$6:$O$1005,MATCH($A83,Investments!$V$6:$V$1005,0))="","",INDEX(Investments!$O$6:$O$1005,MATCH($A83,Investments!$V$6:$V$1005,0))),""))</f>
        <v/>
      </c>
    </row>
    <row r="84">
      <c r="A84" s="58">
        <f>IF($C$4="","",IF(63&gt;COUNTIFS(Investments!$A$6:$A$1005,$C$4),"",63))</f>
        <v/>
      </c>
      <c r="B84" s="22">
        <f>IF($A84="","",IFERROR(IF(INDEX(Investments!$B$6:$B$1005,MATCH($A84,Investments!$V$6:$V$1005,0))="","",INDEX(Investments!$B$6:$B$1005,MATCH($A84,Investments!$V$6:$V$1005,0))),""))</f>
        <v/>
      </c>
      <c r="C84" s="22">
        <f>IF($A84="","",IFERROR(IF(INDEX(Investments!$C$6:$C$1005,MATCH($A84,Investments!$V$6:$V$1005,0))="","",INDEX(Investments!$C$6:$C$1005,MATCH($A84,Investments!$V$6:$V$1005,0))),""))</f>
        <v/>
      </c>
      <c r="D84" s="22">
        <f>IF($A84="","",IFERROR(IF(INDEX(Investments!$D$6:$D$1005,MATCH($A84,Investments!$V$6:$V$1005,0))="","",INDEX(Investments!$D$6:$D$1005,MATCH($A84,Investments!$V$6:$V$1005,0))),""))</f>
        <v/>
      </c>
      <c r="E84" s="23">
        <f>IF($A84="","",IFERROR(IF(INDEX(Investments!$E$6:$E$1005,MATCH($A84,Investments!$V$6:$V$1005,0))="","",INDEX(Investments!$E$6:$E$1005,MATCH($A84,Investments!$V$6:$V$1005,0))),""))</f>
        <v/>
      </c>
      <c r="F84" s="49">
        <f>IF($A84="","",IFERROR(IF(INDEX(Investments!$Q$6:$Q$1005,MATCH($A84,Investments!$V$6:$V$1005,0))="","",INDEX(Investments!$Q$6:$Q$1005,MATCH($A84,Investments!$V$6:$V$1005,0))),""))</f>
        <v/>
      </c>
      <c r="G84" s="49">
        <f>IF($A84="","",IFERROR(IF(INDEX(Investments!$R$6:$R$1005,MATCH($A84,Investments!$V$6:$V$1005,0))="","",INDEX(Investments!$R$6:$R$1005,MATCH($A84,Investments!$V$6:$V$1005,0))),""))</f>
        <v/>
      </c>
      <c r="H84" s="49">
        <f>IF($A84="","",IFERROR(IF(INDEX(Investments!$L$6:$L$1005,MATCH($A84,Investments!$V$6:$V$1005,0))="","",INDEX(Investments!$L$6:$L$1005,MATCH($A84,Investments!$V$6:$V$1005,0))),""))</f>
        <v/>
      </c>
      <c r="I84" s="49">
        <f>IF($A84="","",IFERROR(IF(INDEX(Investments!$S$6:$S$1005,MATCH($A84,Investments!$V$6:$V$1005,0))="","",INDEX(Investments!$S$6:$S$1005,MATCH($A84,Investments!$V$6:$V$1005,0))),""))</f>
        <v/>
      </c>
      <c r="J84" s="26">
        <f>IF($A84="","",IFERROR(IF(INDEX(Investments!$T$6:$T$1005,MATCH($A84,Investments!$V$6:$V$1005,0))="","",INDEX(Investments!$T$6:$T$1005,MATCH($A84,Investments!$V$6:$V$1005,0))),""))</f>
        <v/>
      </c>
      <c r="K84" s="26">
        <f>IF($A84="","",IFERROR(IF(INDEX(Investments!$O$6:$O$1005,MATCH($A84,Investments!$V$6:$V$1005,0))="","",INDEX(Investments!$O$6:$O$1005,MATCH($A84,Investments!$V$6:$V$1005,0))),""))</f>
        <v/>
      </c>
    </row>
    <row r="85">
      <c r="A85" s="59">
        <f>IF($C$4="","",IF(64&gt;COUNTIFS(Investments!$A$6:$A$1005,$C$4),"",64))</f>
        <v/>
      </c>
      <c r="B85" s="27">
        <f>IF($A85="","",IFERROR(IF(INDEX(Investments!$B$6:$B$1005,MATCH($A85,Investments!$V$6:$V$1005,0))="","",INDEX(Investments!$B$6:$B$1005,MATCH($A85,Investments!$V$6:$V$1005,0))),""))</f>
        <v/>
      </c>
      <c r="C85" s="27">
        <f>IF($A85="","",IFERROR(IF(INDEX(Investments!$C$6:$C$1005,MATCH($A85,Investments!$V$6:$V$1005,0))="","",INDEX(Investments!$C$6:$C$1005,MATCH($A85,Investments!$V$6:$V$1005,0))),""))</f>
        <v/>
      </c>
      <c r="D85" s="27">
        <f>IF($A85="","",IFERROR(IF(INDEX(Investments!$D$6:$D$1005,MATCH($A85,Investments!$V$6:$V$1005,0))="","",INDEX(Investments!$D$6:$D$1005,MATCH($A85,Investments!$V$6:$V$1005,0))),""))</f>
        <v/>
      </c>
      <c r="E85" s="28">
        <f>IF($A85="","",IFERROR(IF(INDEX(Investments!$E$6:$E$1005,MATCH($A85,Investments!$V$6:$V$1005,0))="","",INDEX(Investments!$E$6:$E$1005,MATCH($A85,Investments!$V$6:$V$1005,0))),""))</f>
        <v/>
      </c>
      <c r="F85" s="39">
        <f>IF($A85="","",IFERROR(IF(INDEX(Investments!$Q$6:$Q$1005,MATCH($A85,Investments!$V$6:$V$1005,0))="","",INDEX(Investments!$Q$6:$Q$1005,MATCH($A85,Investments!$V$6:$V$1005,0))),""))</f>
        <v/>
      </c>
      <c r="G85" s="39">
        <f>IF($A85="","",IFERROR(IF(INDEX(Investments!$R$6:$R$1005,MATCH($A85,Investments!$V$6:$V$1005,0))="","",INDEX(Investments!$R$6:$R$1005,MATCH($A85,Investments!$V$6:$V$1005,0))),""))</f>
        <v/>
      </c>
      <c r="H85" s="39">
        <f>IF($A85="","",IFERROR(IF(INDEX(Investments!$L$6:$L$1005,MATCH($A85,Investments!$V$6:$V$1005,0))="","",INDEX(Investments!$L$6:$L$1005,MATCH($A85,Investments!$V$6:$V$1005,0))),""))</f>
        <v/>
      </c>
      <c r="I85" s="39">
        <f>IF($A85="","",IFERROR(IF(INDEX(Investments!$S$6:$S$1005,MATCH($A85,Investments!$V$6:$V$1005,0))="","",INDEX(Investments!$S$6:$S$1005,MATCH($A85,Investments!$V$6:$V$1005,0))),""))</f>
        <v/>
      </c>
      <c r="J85" s="31">
        <f>IF($A85="","",IFERROR(IF(INDEX(Investments!$T$6:$T$1005,MATCH($A85,Investments!$V$6:$V$1005,0))="","",INDEX(Investments!$T$6:$T$1005,MATCH($A85,Investments!$V$6:$V$1005,0))),""))</f>
        <v/>
      </c>
      <c r="K85" s="31">
        <f>IF($A85="","",IFERROR(IF(INDEX(Investments!$O$6:$O$1005,MATCH($A85,Investments!$V$6:$V$1005,0))="","",INDEX(Investments!$O$6:$O$1005,MATCH($A85,Investments!$V$6:$V$1005,0))),""))</f>
        <v/>
      </c>
    </row>
    <row r="86">
      <c r="A86" s="58">
        <f>IF($C$4="","",IF(65&gt;COUNTIFS(Investments!$A$6:$A$1005,$C$4),"",65))</f>
        <v/>
      </c>
      <c r="B86" s="22">
        <f>IF($A86="","",IFERROR(IF(INDEX(Investments!$B$6:$B$1005,MATCH($A86,Investments!$V$6:$V$1005,0))="","",INDEX(Investments!$B$6:$B$1005,MATCH($A86,Investments!$V$6:$V$1005,0))),""))</f>
        <v/>
      </c>
      <c r="C86" s="22">
        <f>IF($A86="","",IFERROR(IF(INDEX(Investments!$C$6:$C$1005,MATCH($A86,Investments!$V$6:$V$1005,0))="","",INDEX(Investments!$C$6:$C$1005,MATCH($A86,Investments!$V$6:$V$1005,0))),""))</f>
        <v/>
      </c>
      <c r="D86" s="22">
        <f>IF($A86="","",IFERROR(IF(INDEX(Investments!$D$6:$D$1005,MATCH($A86,Investments!$V$6:$V$1005,0))="","",INDEX(Investments!$D$6:$D$1005,MATCH($A86,Investments!$V$6:$V$1005,0))),""))</f>
        <v/>
      </c>
      <c r="E86" s="23">
        <f>IF($A86="","",IFERROR(IF(INDEX(Investments!$E$6:$E$1005,MATCH($A86,Investments!$V$6:$V$1005,0))="","",INDEX(Investments!$E$6:$E$1005,MATCH($A86,Investments!$V$6:$V$1005,0))),""))</f>
        <v/>
      </c>
      <c r="F86" s="49">
        <f>IF($A86="","",IFERROR(IF(INDEX(Investments!$Q$6:$Q$1005,MATCH($A86,Investments!$V$6:$V$1005,0))="","",INDEX(Investments!$Q$6:$Q$1005,MATCH($A86,Investments!$V$6:$V$1005,0))),""))</f>
        <v/>
      </c>
      <c r="G86" s="49">
        <f>IF($A86="","",IFERROR(IF(INDEX(Investments!$R$6:$R$1005,MATCH($A86,Investments!$V$6:$V$1005,0))="","",INDEX(Investments!$R$6:$R$1005,MATCH($A86,Investments!$V$6:$V$1005,0))),""))</f>
        <v/>
      </c>
      <c r="H86" s="49">
        <f>IF($A86="","",IFERROR(IF(INDEX(Investments!$L$6:$L$1005,MATCH($A86,Investments!$V$6:$V$1005,0))="","",INDEX(Investments!$L$6:$L$1005,MATCH($A86,Investments!$V$6:$V$1005,0))),""))</f>
        <v/>
      </c>
      <c r="I86" s="49">
        <f>IF($A86="","",IFERROR(IF(INDEX(Investments!$S$6:$S$1005,MATCH($A86,Investments!$V$6:$V$1005,0))="","",INDEX(Investments!$S$6:$S$1005,MATCH($A86,Investments!$V$6:$V$1005,0))),""))</f>
        <v/>
      </c>
      <c r="J86" s="26">
        <f>IF($A86="","",IFERROR(IF(INDEX(Investments!$T$6:$T$1005,MATCH($A86,Investments!$V$6:$V$1005,0))="","",INDEX(Investments!$T$6:$T$1005,MATCH($A86,Investments!$V$6:$V$1005,0))),""))</f>
        <v/>
      </c>
      <c r="K86" s="26">
        <f>IF($A86="","",IFERROR(IF(INDEX(Investments!$O$6:$O$1005,MATCH($A86,Investments!$V$6:$V$1005,0))="","",INDEX(Investments!$O$6:$O$1005,MATCH($A86,Investments!$V$6:$V$1005,0))),""))</f>
        <v/>
      </c>
    </row>
    <row r="87">
      <c r="A87" s="59">
        <f>IF($C$4="","",IF(66&gt;COUNTIFS(Investments!$A$6:$A$1005,$C$4),"",66))</f>
        <v/>
      </c>
      <c r="B87" s="27">
        <f>IF($A87="","",IFERROR(IF(INDEX(Investments!$B$6:$B$1005,MATCH($A87,Investments!$V$6:$V$1005,0))="","",INDEX(Investments!$B$6:$B$1005,MATCH($A87,Investments!$V$6:$V$1005,0))),""))</f>
        <v/>
      </c>
      <c r="C87" s="27">
        <f>IF($A87="","",IFERROR(IF(INDEX(Investments!$C$6:$C$1005,MATCH($A87,Investments!$V$6:$V$1005,0))="","",INDEX(Investments!$C$6:$C$1005,MATCH($A87,Investments!$V$6:$V$1005,0))),""))</f>
        <v/>
      </c>
      <c r="D87" s="27">
        <f>IF($A87="","",IFERROR(IF(INDEX(Investments!$D$6:$D$1005,MATCH($A87,Investments!$V$6:$V$1005,0))="","",INDEX(Investments!$D$6:$D$1005,MATCH($A87,Investments!$V$6:$V$1005,0))),""))</f>
        <v/>
      </c>
      <c r="E87" s="28">
        <f>IF($A87="","",IFERROR(IF(INDEX(Investments!$E$6:$E$1005,MATCH($A87,Investments!$V$6:$V$1005,0))="","",INDEX(Investments!$E$6:$E$1005,MATCH($A87,Investments!$V$6:$V$1005,0))),""))</f>
        <v/>
      </c>
      <c r="F87" s="39">
        <f>IF($A87="","",IFERROR(IF(INDEX(Investments!$Q$6:$Q$1005,MATCH($A87,Investments!$V$6:$V$1005,0))="","",INDEX(Investments!$Q$6:$Q$1005,MATCH($A87,Investments!$V$6:$V$1005,0))),""))</f>
        <v/>
      </c>
      <c r="G87" s="39">
        <f>IF($A87="","",IFERROR(IF(INDEX(Investments!$R$6:$R$1005,MATCH($A87,Investments!$V$6:$V$1005,0))="","",INDEX(Investments!$R$6:$R$1005,MATCH($A87,Investments!$V$6:$V$1005,0))),""))</f>
        <v/>
      </c>
      <c r="H87" s="39">
        <f>IF($A87="","",IFERROR(IF(INDEX(Investments!$L$6:$L$1005,MATCH($A87,Investments!$V$6:$V$1005,0))="","",INDEX(Investments!$L$6:$L$1005,MATCH($A87,Investments!$V$6:$V$1005,0))),""))</f>
        <v/>
      </c>
      <c r="I87" s="39">
        <f>IF($A87="","",IFERROR(IF(INDEX(Investments!$S$6:$S$1005,MATCH($A87,Investments!$V$6:$V$1005,0))="","",INDEX(Investments!$S$6:$S$1005,MATCH($A87,Investments!$V$6:$V$1005,0))),""))</f>
        <v/>
      </c>
      <c r="J87" s="31">
        <f>IF($A87="","",IFERROR(IF(INDEX(Investments!$T$6:$T$1005,MATCH($A87,Investments!$V$6:$V$1005,0))="","",INDEX(Investments!$T$6:$T$1005,MATCH($A87,Investments!$V$6:$V$1005,0))),""))</f>
        <v/>
      </c>
      <c r="K87" s="31">
        <f>IF($A87="","",IFERROR(IF(INDEX(Investments!$O$6:$O$1005,MATCH($A87,Investments!$V$6:$V$1005,0))="","",INDEX(Investments!$O$6:$O$1005,MATCH($A87,Investments!$V$6:$V$1005,0))),""))</f>
        <v/>
      </c>
    </row>
    <row r="88">
      <c r="A88" s="58">
        <f>IF($C$4="","",IF(67&gt;COUNTIFS(Investments!$A$6:$A$1005,$C$4),"",67))</f>
        <v/>
      </c>
      <c r="B88" s="22">
        <f>IF($A88="","",IFERROR(IF(INDEX(Investments!$B$6:$B$1005,MATCH($A88,Investments!$V$6:$V$1005,0))="","",INDEX(Investments!$B$6:$B$1005,MATCH($A88,Investments!$V$6:$V$1005,0))),""))</f>
        <v/>
      </c>
      <c r="C88" s="22">
        <f>IF($A88="","",IFERROR(IF(INDEX(Investments!$C$6:$C$1005,MATCH($A88,Investments!$V$6:$V$1005,0))="","",INDEX(Investments!$C$6:$C$1005,MATCH($A88,Investments!$V$6:$V$1005,0))),""))</f>
        <v/>
      </c>
      <c r="D88" s="22">
        <f>IF($A88="","",IFERROR(IF(INDEX(Investments!$D$6:$D$1005,MATCH($A88,Investments!$V$6:$V$1005,0))="","",INDEX(Investments!$D$6:$D$1005,MATCH($A88,Investments!$V$6:$V$1005,0))),""))</f>
        <v/>
      </c>
      <c r="E88" s="23">
        <f>IF($A88="","",IFERROR(IF(INDEX(Investments!$E$6:$E$1005,MATCH($A88,Investments!$V$6:$V$1005,0))="","",INDEX(Investments!$E$6:$E$1005,MATCH($A88,Investments!$V$6:$V$1005,0))),""))</f>
        <v/>
      </c>
      <c r="F88" s="49">
        <f>IF($A88="","",IFERROR(IF(INDEX(Investments!$Q$6:$Q$1005,MATCH($A88,Investments!$V$6:$V$1005,0))="","",INDEX(Investments!$Q$6:$Q$1005,MATCH($A88,Investments!$V$6:$V$1005,0))),""))</f>
        <v/>
      </c>
      <c r="G88" s="49">
        <f>IF($A88="","",IFERROR(IF(INDEX(Investments!$R$6:$R$1005,MATCH($A88,Investments!$V$6:$V$1005,0))="","",INDEX(Investments!$R$6:$R$1005,MATCH($A88,Investments!$V$6:$V$1005,0))),""))</f>
        <v/>
      </c>
      <c r="H88" s="49">
        <f>IF($A88="","",IFERROR(IF(INDEX(Investments!$L$6:$L$1005,MATCH($A88,Investments!$V$6:$V$1005,0))="","",INDEX(Investments!$L$6:$L$1005,MATCH($A88,Investments!$V$6:$V$1005,0))),""))</f>
        <v/>
      </c>
      <c r="I88" s="49">
        <f>IF($A88="","",IFERROR(IF(INDEX(Investments!$S$6:$S$1005,MATCH($A88,Investments!$V$6:$V$1005,0))="","",INDEX(Investments!$S$6:$S$1005,MATCH($A88,Investments!$V$6:$V$1005,0))),""))</f>
        <v/>
      </c>
      <c r="J88" s="26">
        <f>IF($A88="","",IFERROR(IF(INDEX(Investments!$T$6:$T$1005,MATCH($A88,Investments!$V$6:$V$1005,0))="","",INDEX(Investments!$T$6:$T$1005,MATCH($A88,Investments!$V$6:$V$1005,0))),""))</f>
        <v/>
      </c>
      <c r="K88" s="26">
        <f>IF($A88="","",IFERROR(IF(INDEX(Investments!$O$6:$O$1005,MATCH($A88,Investments!$V$6:$V$1005,0))="","",INDEX(Investments!$O$6:$O$1005,MATCH($A88,Investments!$V$6:$V$1005,0))),""))</f>
        <v/>
      </c>
    </row>
    <row r="89">
      <c r="A89" s="59">
        <f>IF($C$4="","",IF(68&gt;COUNTIFS(Investments!$A$6:$A$1005,$C$4),"",68))</f>
        <v/>
      </c>
      <c r="B89" s="27">
        <f>IF($A89="","",IFERROR(IF(INDEX(Investments!$B$6:$B$1005,MATCH($A89,Investments!$V$6:$V$1005,0))="","",INDEX(Investments!$B$6:$B$1005,MATCH($A89,Investments!$V$6:$V$1005,0))),""))</f>
        <v/>
      </c>
      <c r="C89" s="27">
        <f>IF($A89="","",IFERROR(IF(INDEX(Investments!$C$6:$C$1005,MATCH($A89,Investments!$V$6:$V$1005,0))="","",INDEX(Investments!$C$6:$C$1005,MATCH($A89,Investments!$V$6:$V$1005,0))),""))</f>
        <v/>
      </c>
      <c r="D89" s="27">
        <f>IF($A89="","",IFERROR(IF(INDEX(Investments!$D$6:$D$1005,MATCH($A89,Investments!$V$6:$V$1005,0))="","",INDEX(Investments!$D$6:$D$1005,MATCH($A89,Investments!$V$6:$V$1005,0))),""))</f>
        <v/>
      </c>
      <c r="E89" s="28">
        <f>IF($A89="","",IFERROR(IF(INDEX(Investments!$E$6:$E$1005,MATCH($A89,Investments!$V$6:$V$1005,0))="","",INDEX(Investments!$E$6:$E$1005,MATCH($A89,Investments!$V$6:$V$1005,0))),""))</f>
        <v/>
      </c>
      <c r="F89" s="39">
        <f>IF($A89="","",IFERROR(IF(INDEX(Investments!$Q$6:$Q$1005,MATCH($A89,Investments!$V$6:$V$1005,0))="","",INDEX(Investments!$Q$6:$Q$1005,MATCH($A89,Investments!$V$6:$V$1005,0))),""))</f>
        <v/>
      </c>
      <c r="G89" s="39">
        <f>IF($A89="","",IFERROR(IF(INDEX(Investments!$R$6:$R$1005,MATCH($A89,Investments!$V$6:$V$1005,0))="","",INDEX(Investments!$R$6:$R$1005,MATCH($A89,Investments!$V$6:$V$1005,0))),""))</f>
        <v/>
      </c>
      <c r="H89" s="39">
        <f>IF($A89="","",IFERROR(IF(INDEX(Investments!$L$6:$L$1005,MATCH($A89,Investments!$V$6:$V$1005,0))="","",INDEX(Investments!$L$6:$L$1005,MATCH($A89,Investments!$V$6:$V$1005,0))),""))</f>
        <v/>
      </c>
      <c r="I89" s="39">
        <f>IF($A89="","",IFERROR(IF(INDEX(Investments!$S$6:$S$1005,MATCH($A89,Investments!$V$6:$V$1005,0))="","",INDEX(Investments!$S$6:$S$1005,MATCH($A89,Investments!$V$6:$V$1005,0))),""))</f>
        <v/>
      </c>
      <c r="J89" s="31">
        <f>IF($A89="","",IFERROR(IF(INDEX(Investments!$T$6:$T$1005,MATCH($A89,Investments!$V$6:$V$1005,0))="","",INDEX(Investments!$T$6:$T$1005,MATCH($A89,Investments!$V$6:$V$1005,0))),""))</f>
        <v/>
      </c>
      <c r="K89" s="31">
        <f>IF($A89="","",IFERROR(IF(INDEX(Investments!$O$6:$O$1005,MATCH($A89,Investments!$V$6:$V$1005,0))="","",INDEX(Investments!$O$6:$O$1005,MATCH($A89,Investments!$V$6:$V$1005,0))),""))</f>
        <v/>
      </c>
    </row>
    <row r="90">
      <c r="A90" s="58">
        <f>IF($C$4="","",IF(69&gt;COUNTIFS(Investments!$A$6:$A$1005,$C$4),"",69))</f>
        <v/>
      </c>
      <c r="B90" s="22">
        <f>IF($A90="","",IFERROR(IF(INDEX(Investments!$B$6:$B$1005,MATCH($A90,Investments!$V$6:$V$1005,0))="","",INDEX(Investments!$B$6:$B$1005,MATCH($A90,Investments!$V$6:$V$1005,0))),""))</f>
        <v/>
      </c>
      <c r="C90" s="22">
        <f>IF($A90="","",IFERROR(IF(INDEX(Investments!$C$6:$C$1005,MATCH($A90,Investments!$V$6:$V$1005,0))="","",INDEX(Investments!$C$6:$C$1005,MATCH($A90,Investments!$V$6:$V$1005,0))),""))</f>
        <v/>
      </c>
      <c r="D90" s="22">
        <f>IF($A90="","",IFERROR(IF(INDEX(Investments!$D$6:$D$1005,MATCH($A90,Investments!$V$6:$V$1005,0))="","",INDEX(Investments!$D$6:$D$1005,MATCH($A90,Investments!$V$6:$V$1005,0))),""))</f>
        <v/>
      </c>
      <c r="E90" s="23">
        <f>IF($A90="","",IFERROR(IF(INDEX(Investments!$E$6:$E$1005,MATCH($A90,Investments!$V$6:$V$1005,0))="","",INDEX(Investments!$E$6:$E$1005,MATCH($A90,Investments!$V$6:$V$1005,0))),""))</f>
        <v/>
      </c>
      <c r="F90" s="49">
        <f>IF($A90="","",IFERROR(IF(INDEX(Investments!$Q$6:$Q$1005,MATCH($A90,Investments!$V$6:$V$1005,0))="","",INDEX(Investments!$Q$6:$Q$1005,MATCH($A90,Investments!$V$6:$V$1005,0))),""))</f>
        <v/>
      </c>
      <c r="G90" s="49">
        <f>IF($A90="","",IFERROR(IF(INDEX(Investments!$R$6:$R$1005,MATCH($A90,Investments!$V$6:$V$1005,0))="","",INDEX(Investments!$R$6:$R$1005,MATCH($A90,Investments!$V$6:$V$1005,0))),""))</f>
        <v/>
      </c>
      <c r="H90" s="49">
        <f>IF($A90="","",IFERROR(IF(INDEX(Investments!$L$6:$L$1005,MATCH($A90,Investments!$V$6:$V$1005,0))="","",INDEX(Investments!$L$6:$L$1005,MATCH($A90,Investments!$V$6:$V$1005,0))),""))</f>
        <v/>
      </c>
      <c r="I90" s="49">
        <f>IF($A90="","",IFERROR(IF(INDEX(Investments!$S$6:$S$1005,MATCH($A90,Investments!$V$6:$V$1005,0))="","",INDEX(Investments!$S$6:$S$1005,MATCH($A90,Investments!$V$6:$V$1005,0))),""))</f>
        <v/>
      </c>
      <c r="J90" s="26">
        <f>IF($A90="","",IFERROR(IF(INDEX(Investments!$T$6:$T$1005,MATCH($A90,Investments!$V$6:$V$1005,0))="","",INDEX(Investments!$T$6:$T$1005,MATCH($A90,Investments!$V$6:$V$1005,0))),""))</f>
        <v/>
      </c>
      <c r="K90" s="26">
        <f>IF($A90="","",IFERROR(IF(INDEX(Investments!$O$6:$O$1005,MATCH($A90,Investments!$V$6:$V$1005,0))="","",INDEX(Investments!$O$6:$O$1005,MATCH($A90,Investments!$V$6:$V$1005,0))),""))</f>
        <v/>
      </c>
    </row>
    <row r="91">
      <c r="A91" s="59">
        <f>IF($C$4="","",IF(70&gt;COUNTIFS(Investments!$A$6:$A$1005,$C$4),"",70))</f>
        <v/>
      </c>
      <c r="B91" s="27">
        <f>IF($A91="","",IFERROR(IF(INDEX(Investments!$B$6:$B$1005,MATCH($A91,Investments!$V$6:$V$1005,0))="","",INDEX(Investments!$B$6:$B$1005,MATCH($A91,Investments!$V$6:$V$1005,0))),""))</f>
        <v/>
      </c>
      <c r="C91" s="27">
        <f>IF($A91="","",IFERROR(IF(INDEX(Investments!$C$6:$C$1005,MATCH($A91,Investments!$V$6:$V$1005,0))="","",INDEX(Investments!$C$6:$C$1005,MATCH($A91,Investments!$V$6:$V$1005,0))),""))</f>
        <v/>
      </c>
      <c r="D91" s="27">
        <f>IF($A91="","",IFERROR(IF(INDEX(Investments!$D$6:$D$1005,MATCH($A91,Investments!$V$6:$V$1005,0))="","",INDEX(Investments!$D$6:$D$1005,MATCH($A91,Investments!$V$6:$V$1005,0))),""))</f>
        <v/>
      </c>
      <c r="E91" s="28">
        <f>IF($A91="","",IFERROR(IF(INDEX(Investments!$E$6:$E$1005,MATCH($A91,Investments!$V$6:$V$1005,0))="","",INDEX(Investments!$E$6:$E$1005,MATCH($A91,Investments!$V$6:$V$1005,0))),""))</f>
        <v/>
      </c>
      <c r="F91" s="39">
        <f>IF($A91="","",IFERROR(IF(INDEX(Investments!$Q$6:$Q$1005,MATCH($A91,Investments!$V$6:$V$1005,0))="","",INDEX(Investments!$Q$6:$Q$1005,MATCH($A91,Investments!$V$6:$V$1005,0))),""))</f>
        <v/>
      </c>
      <c r="G91" s="39">
        <f>IF($A91="","",IFERROR(IF(INDEX(Investments!$R$6:$R$1005,MATCH($A91,Investments!$V$6:$V$1005,0))="","",INDEX(Investments!$R$6:$R$1005,MATCH($A91,Investments!$V$6:$V$1005,0))),""))</f>
        <v/>
      </c>
      <c r="H91" s="39">
        <f>IF($A91="","",IFERROR(IF(INDEX(Investments!$L$6:$L$1005,MATCH($A91,Investments!$V$6:$V$1005,0))="","",INDEX(Investments!$L$6:$L$1005,MATCH($A91,Investments!$V$6:$V$1005,0))),""))</f>
        <v/>
      </c>
      <c r="I91" s="39">
        <f>IF($A91="","",IFERROR(IF(INDEX(Investments!$S$6:$S$1005,MATCH($A91,Investments!$V$6:$V$1005,0))="","",INDEX(Investments!$S$6:$S$1005,MATCH($A91,Investments!$V$6:$V$1005,0))),""))</f>
        <v/>
      </c>
      <c r="J91" s="31">
        <f>IF($A91="","",IFERROR(IF(INDEX(Investments!$T$6:$T$1005,MATCH($A91,Investments!$V$6:$V$1005,0))="","",INDEX(Investments!$T$6:$T$1005,MATCH($A91,Investments!$V$6:$V$1005,0))),""))</f>
        <v/>
      </c>
      <c r="K91" s="31">
        <f>IF($A91="","",IFERROR(IF(INDEX(Investments!$O$6:$O$1005,MATCH($A91,Investments!$V$6:$V$1005,0))="","",INDEX(Investments!$O$6:$O$1005,MATCH($A91,Investments!$V$6:$V$1005,0))),""))</f>
        <v/>
      </c>
    </row>
    <row r="92">
      <c r="A92" s="58">
        <f>IF($C$4="","",IF(71&gt;COUNTIFS(Investments!$A$6:$A$1005,$C$4),"",71))</f>
        <v/>
      </c>
      <c r="B92" s="22">
        <f>IF($A92="","",IFERROR(IF(INDEX(Investments!$B$6:$B$1005,MATCH($A92,Investments!$V$6:$V$1005,0))="","",INDEX(Investments!$B$6:$B$1005,MATCH($A92,Investments!$V$6:$V$1005,0))),""))</f>
        <v/>
      </c>
      <c r="C92" s="22">
        <f>IF($A92="","",IFERROR(IF(INDEX(Investments!$C$6:$C$1005,MATCH($A92,Investments!$V$6:$V$1005,0))="","",INDEX(Investments!$C$6:$C$1005,MATCH($A92,Investments!$V$6:$V$1005,0))),""))</f>
        <v/>
      </c>
      <c r="D92" s="22">
        <f>IF($A92="","",IFERROR(IF(INDEX(Investments!$D$6:$D$1005,MATCH($A92,Investments!$V$6:$V$1005,0))="","",INDEX(Investments!$D$6:$D$1005,MATCH($A92,Investments!$V$6:$V$1005,0))),""))</f>
        <v/>
      </c>
      <c r="E92" s="23">
        <f>IF($A92="","",IFERROR(IF(INDEX(Investments!$E$6:$E$1005,MATCH($A92,Investments!$V$6:$V$1005,0))="","",INDEX(Investments!$E$6:$E$1005,MATCH($A92,Investments!$V$6:$V$1005,0))),""))</f>
        <v/>
      </c>
      <c r="F92" s="49">
        <f>IF($A92="","",IFERROR(IF(INDEX(Investments!$Q$6:$Q$1005,MATCH($A92,Investments!$V$6:$V$1005,0))="","",INDEX(Investments!$Q$6:$Q$1005,MATCH($A92,Investments!$V$6:$V$1005,0))),""))</f>
        <v/>
      </c>
      <c r="G92" s="49">
        <f>IF($A92="","",IFERROR(IF(INDEX(Investments!$R$6:$R$1005,MATCH($A92,Investments!$V$6:$V$1005,0))="","",INDEX(Investments!$R$6:$R$1005,MATCH($A92,Investments!$V$6:$V$1005,0))),""))</f>
        <v/>
      </c>
      <c r="H92" s="49">
        <f>IF($A92="","",IFERROR(IF(INDEX(Investments!$L$6:$L$1005,MATCH($A92,Investments!$V$6:$V$1005,0))="","",INDEX(Investments!$L$6:$L$1005,MATCH($A92,Investments!$V$6:$V$1005,0))),""))</f>
        <v/>
      </c>
      <c r="I92" s="49">
        <f>IF($A92="","",IFERROR(IF(INDEX(Investments!$S$6:$S$1005,MATCH($A92,Investments!$V$6:$V$1005,0))="","",INDEX(Investments!$S$6:$S$1005,MATCH($A92,Investments!$V$6:$V$1005,0))),""))</f>
        <v/>
      </c>
      <c r="J92" s="26">
        <f>IF($A92="","",IFERROR(IF(INDEX(Investments!$T$6:$T$1005,MATCH($A92,Investments!$V$6:$V$1005,0))="","",INDEX(Investments!$T$6:$T$1005,MATCH($A92,Investments!$V$6:$V$1005,0))),""))</f>
        <v/>
      </c>
      <c r="K92" s="26">
        <f>IF($A92="","",IFERROR(IF(INDEX(Investments!$O$6:$O$1005,MATCH($A92,Investments!$V$6:$V$1005,0))="","",INDEX(Investments!$O$6:$O$1005,MATCH($A92,Investments!$V$6:$V$1005,0))),""))</f>
        <v/>
      </c>
    </row>
    <row r="93">
      <c r="A93" s="59">
        <f>IF($C$4="","",IF(72&gt;COUNTIFS(Investments!$A$6:$A$1005,$C$4),"",72))</f>
        <v/>
      </c>
      <c r="B93" s="27">
        <f>IF($A93="","",IFERROR(IF(INDEX(Investments!$B$6:$B$1005,MATCH($A93,Investments!$V$6:$V$1005,0))="","",INDEX(Investments!$B$6:$B$1005,MATCH($A93,Investments!$V$6:$V$1005,0))),""))</f>
        <v/>
      </c>
      <c r="C93" s="27">
        <f>IF($A93="","",IFERROR(IF(INDEX(Investments!$C$6:$C$1005,MATCH($A93,Investments!$V$6:$V$1005,0))="","",INDEX(Investments!$C$6:$C$1005,MATCH($A93,Investments!$V$6:$V$1005,0))),""))</f>
        <v/>
      </c>
      <c r="D93" s="27">
        <f>IF($A93="","",IFERROR(IF(INDEX(Investments!$D$6:$D$1005,MATCH($A93,Investments!$V$6:$V$1005,0))="","",INDEX(Investments!$D$6:$D$1005,MATCH($A93,Investments!$V$6:$V$1005,0))),""))</f>
        <v/>
      </c>
      <c r="E93" s="28">
        <f>IF($A93="","",IFERROR(IF(INDEX(Investments!$E$6:$E$1005,MATCH($A93,Investments!$V$6:$V$1005,0))="","",INDEX(Investments!$E$6:$E$1005,MATCH($A93,Investments!$V$6:$V$1005,0))),""))</f>
        <v/>
      </c>
      <c r="F93" s="39">
        <f>IF($A93="","",IFERROR(IF(INDEX(Investments!$Q$6:$Q$1005,MATCH($A93,Investments!$V$6:$V$1005,0))="","",INDEX(Investments!$Q$6:$Q$1005,MATCH($A93,Investments!$V$6:$V$1005,0))),""))</f>
        <v/>
      </c>
      <c r="G93" s="39">
        <f>IF($A93="","",IFERROR(IF(INDEX(Investments!$R$6:$R$1005,MATCH($A93,Investments!$V$6:$V$1005,0))="","",INDEX(Investments!$R$6:$R$1005,MATCH($A93,Investments!$V$6:$V$1005,0))),""))</f>
        <v/>
      </c>
      <c r="H93" s="39">
        <f>IF($A93="","",IFERROR(IF(INDEX(Investments!$L$6:$L$1005,MATCH($A93,Investments!$V$6:$V$1005,0))="","",INDEX(Investments!$L$6:$L$1005,MATCH($A93,Investments!$V$6:$V$1005,0))),""))</f>
        <v/>
      </c>
      <c r="I93" s="39">
        <f>IF($A93="","",IFERROR(IF(INDEX(Investments!$S$6:$S$1005,MATCH($A93,Investments!$V$6:$V$1005,0))="","",INDEX(Investments!$S$6:$S$1005,MATCH($A93,Investments!$V$6:$V$1005,0))),""))</f>
        <v/>
      </c>
      <c r="J93" s="31">
        <f>IF($A93="","",IFERROR(IF(INDEX(Investments!$T$6:$T$1005,MATCH($A93,Investments!$V$6:$V$1005,0))="","",INDEX(Investments!$T$6:$T$1005,MATCH($A93,Investments!$V$6:$V$1005,0))),""))</f>
        <v/>
      </c>
      <c r="K93" s="31">
        <f>IF($A93="","",IFERROR(IF(INDEX(Investments!$O$6:$O$1005,MATCH($A93,Investments!$V$6:$V$1005,0))="","",INDEX(Investments!$O$6:$O$1005,MATCH($A93,Investments!$V$6:$V$1005,0))),""))</f>
        <v/>
      </c>
    </row>
    <row r="94">
      <c r="A94" s="58">
        <f>IF($C$4="","",IF(73&gt;COUNTIFS(Investments!$A$6:$A$1005,$C$4),"",73))</f>
        <v/>
      </c>
      <c r="B94" s="22">
        <f>IF($A94="","",IFERROR(IF(INDEX(Investments!$B$6:$B$1005,MATCH($A94,Investments!$V$6:$V$1005,0))="","",INDEX(Investments!$B$6:$B$1005,MATCH($A94,Investments!$V$6:$V$1005,0))),""))</f>
        <v/>
      </c>
      <c r="C94" s="22">
        <f>IF($A94="","",IFERROR(IF(INDEX(Investments!$C$6:$C$1005,MATCH($A94,Investments!$V$6:$V$1005,0))="","",INDEX(Investments!$C$6:$C$1005,MATCH($A94,Investments!$V$6:$V$1005,0))),""))</f>
        <v/>
      </c>
      <c r="D94" s="22">
        <f>IF($A94="","",IFERROR(IF(INDEX(Investments!$D$6:$D$1005,MATCH($A94,Investments!$V$6:$V$1005,0))="","",INDEX(Investments!$D$6:$D$1005,MATCH($A94,Investments!$V$6:$V$1005,0))),""))</f>
        <v/>
      </c>
      <c r="E94" s="23">
        <f>IF($A94="","",IFERROR(IF(INDEX(Investments!$E$6:$E$1005,MATCH($A94,Investments!$V$6:$V$1005,0))="","",INDEX(Investments!$E$6:$E$1005,MATCH($A94,Investments!$V$6:$V$1005,0))),""))</f>
        <v/>
      </c>
      <c r="F94" s="49">
        <f>IF($A94="","",IFERROR(IF(INDEX(Investments!$Q$6:$Q$1005,MATCH($A94,Investments!$V$6:$V$1005,0))="","",INDEX(Investments!$Q$6:$Q$1005,MATCH($A94,Investments!$V$6:$V$1005,0))),""))</f>
        <v/>
      </c>
      <c r="G94" s="49">
        <f>IF($A94="","",IFERROR(IF(INDEX(Investments!$R$6:$R$1005,MATCH($A94,Investments!$V$6:$V$1005,0))="","",INDEX(Investments!$R$6:$R$1005,MATCH($A94,Investments!$V$6:$V$1005,0))),""))</f>
        <v/>
      </c>
      <c r="H94" s="49">
        <f>IF($A94="","",IFERROR(IF(INDEX(Investments!$L$6:$L$1005,MATCH($A94,Investments!$V$6:$V$1005,0))="","",INDEX(Investments!$L$6:$L$1005,MATCH($A94,Investments!$V$6:$V$1005,0))),""))</f>
        <v/>
      </c>
      <c r="I94" s="49">
        <f>IF($A94="","",IFERROR(IF(INDEX(Investments!$S$6:$S$1005,MATCH($A94,Investments!$V$6:$V$1005,0))="","",INDEX(Investments!$S$6:$S$1005,MATCH($A94,Investments!$V$6:$V$1005,0))),""))</f>
        <v/>
      </c>
      <c r="J94" s="26">
        <f>IF($A94="","",IFERROR(IF(INDEX(Investments!$T$6:$T$1005,MATCH($A94,Investments!$V$6:$V$1005,0))="","",INDEX(Investments!$T$6:$T$1005,MATCH($A94,Investments!$V$6:$V$1005,0))),""))</f>
        <v/>
      </c>
      <c r="K94" s="26">
        <f>IF($A94="","",IFERROR(IF(INDEX(Investments!$O$6:$O$1005,MATCH($A94,Investments!$V$6:$V$1005,0))="","",INDEX(Investments!$O$6:$O$1005,MATCH($A94,Investments!$V$6:$V$1005,0))),""))</f>
        <v/>
      </c>
    </row>
    <row r="95">
      <c r="A95" s="59">
        <f>IF($C$4="","",IF(74&gt;COUNTIFS(Investments!$A$6:$A$1005,$C$4),"",74))</f>
        <v/>
      </c>
      <c r="B95" s="27">
        <f>IF($A95="","",IFERROR(IF(INDEX(Investments!$B$6:$B$1005,MATCH($A95,Investments!$V$6:$V$1005,0))="","",INDEX(Investments!$B$6:$B$1005,MATCH($A95,Investments!$V$6:$V$1005,0))),""))</f>
        <v/>
      </c>
      <c r="C95" s="27">
        <f>IF($A95="","",IFERROR(IF(INDEX(Investments!$C$6:$C$1005,MATCH($A95,Investments!$V$6:$V$1005,0))="","",INDEX(Investments!$C$6:$C$1005,MATCH($A95,Investments!$V$6:$V$1005,0))),""))</f>
        <v/>
      </c>
      <c r="D95" s="27">
        <f>IF($A95="","",IFERROR(IF(INDEX(Investments!$D$6:$D$1005,MATCH($A95,Investments!$V$6:$V$1005,0))="","",INDEX(Investments!$D$6:$D$1005,MATCH($A95,Investments!$V$6:$V$1005,0))),""))</f>
        <v/>
      </c>
      <c r="E95" s="28">
        <f>IF($A95="","",IFERROR(IF(INDEX(Investments!$E$6:$E$1005,MATCH($A95,Investments!$V$6:$V$1005,0))="","",INDEX(Investments!$E$6:$E$1005,MATCH($A95,Investments!$V$6:$V$1005,0))),""))</f>
        <v/>
      </c>
      <c r="F95" s="39">
        <f>IF($A95="","",IFERROR(IF(INDEX(Investments!$Q$6:$Q$1005,MATCH($A95,Investments!$V$6:$V$1005,0))="","",INDEX(Investments!$Q$6:$Q$1005,MATCH($A95,Investments!$V$6:$V$1005,0))),""))</f>
        <v/>
      </c>
      <c r="G95" s="39">
        <f>IF($A95="","",IFERROR(IF(INDEX(Investments!$R$6:$R$1005,MATCH($A95,Investments!$V$6:$V$1005,0))="","",INDEX(Investments!$R$6:$R$1005,MATCH($A95,Investments!$V$6:$V$1005,0))),""))</f>
        <v/>
      </c>
      <c r="H95" s="39">
        <f>IF($A95="","",IFERROR(IF(INDEX(Investments!$L$6:$L$1005,MATCH($A95,Investments!$V$6:$V$1005,0))="","",INDEX(Investments!$L$6:$L$1005,MATCH($A95,Investments!$V$6:$V$1005,0))),""))</f>
        <v/>
      </c>
      <c r="I95" s="39">
        <f>IF($A95="","",IFERROR(IF(INDEX(Investments!$S$6:$S$1005,MATCH($A95,Investments!$V$6:$V$1005,0))="","",INDEX(Investments!$S$6:$S$1005,MATCH($A95,Investments!$V$6:$V$1005,0))),""))</f>
        <v/>
      </c>
      <c r="J95" s="31">
        <f>IF($A95="","",IFERROR(IF(INDEX(Investments!$T$6:$T$1005,MATCH($A95,Investments!$V$6:$V$1005,0))="","",INDEX(Investments!$T$6:$T$1005,MATCH($A95,Investments!$V$6:$V$1005,0))),""))</f>
        <v/>
      </c>
      <c r="K95" s="31">
        <f>IF($A95="","",IFERROR(IF(INDEX(Investments!$O$6:$O$1005,MATCH($A95,Investments!$V$6:$V$1005,0))="","",INDEX(Investments!$O$6:$O$1005,MATCH($A95,Investments!$V$6:$V$1005,0))),""))</f>
        <v/>
      </c>
    </row>
    <row r="96">
      <c r="A96" s="58">
        <f>IF($C$4="","",IF(75&gt;COUNTIFS(Investments!$A$6:$A$1005,$C$4),"",75))</f>
        <v/>
      </c>
      <c r="B96" s="22">
        <f>IF($A96="","",IFERROR(IF(INDEX(Investments!$B$6:$B$1005,MATCH($A96,Investments!$V$6:$V$1005,0))="","",INDEX(Investments!$B$6:$B$1005,MATCH($A96,Investments!$V$6:$V$1005,0))),""))</f>
        <v/>
      </c>
      <c r="C96" s="22">
        <f>IF($A96="","",IFERROR(IF(INDEX(Investments!$C$6:$C$1005,MATCH($A96,Investments!$V$6:$V$1005,0))="","",INDEX(Investments!$C$6:$C$1005,MATCH($A96,Investments!$V$6:$V$1005,0))),""))</f>
        <v/>
      </c>
      <c r="D96" s="22">
        <f>IF($A96="","",IFERROR(IF(INDEX(Investments!$D$6:$D$1005,MATCH($A96,Investments!$V$6:$V$1005,0))="","",INDEX(Investments!$D$6:$D$1005,MATCH($A96,Investments!$V$6:$V$1005,0))),""))</f>
        <v/>
      </c>
      <c r="E96" s="23">
        <f>IF($A96="","",IFERROR(IF(INDEX(Investments!$E$6:$E$1005,MATCH($A96,Investments!$V$6:$V$1005,0))="","",INDEX(Investments!$E$6:$E$1005,MATCH($A96,Investments!$V$6:$V$1005,0))),""))</f>
        <v/>
      </c>
      <c r="F96" s="49">
        <f>IF($A96="","",IFERROR(IF(INDEX(Investments!$Q$6:$Q$1005,MATCH($A96,Investments!$V$6:$V$1005,0))="","",INDEX(Investments!$Q$6:$Q$1005,MATCH($A96,Investments!$V$6:$V$1005,0))),""))</f>
        <v/>
      </c>
      <c r="G96" s="49">
        <f>IF($A96="","",IFERROR(IF(INDEX(Investments!$R$6:$R$1005,MATCH($A96,Investments!$V$6:$V$1005,0))="","",INDEX(Investments!$R$6:$R$1005,MATCH($A96,Investments!$V$6:$V$1005,0))),""))</f>
        <v/>
      </c>
      <c r="H96" s="49">
        <f>IF($A96="","",IFERROR(IF(INDEX(Investments!$L$6:$L$1005,MATCH($A96,Investments!$V$6:$V$1005,0))="","",INDEX(Investments!$L$6:$L$1005,MATCH($A96,Investments!$V$6:$V$1005,0))),""))</f>
        <v/>
      </c>
      <c r="I96" s="49">
        <f>IF($A96="","",IFERROR(IF(INDEX(Investments!$S$6:$S$1005,MATCH($A96,Investments!$V$6:$V$1005,0))="","",INDEX(Investments!$S$6:$S$1005,MATCH($A96,Investments!$V$6:$V$1005,0))),""))</f>
        <v/>
      </c>
      <c r="J96" s="26">
        <f>IF($A96="","",IFERROR(IF(INDEX(Investments!$T$6:$T$1005,MATCH($A96,Investments!$V$6:$V$1005,0))="","",INDEX(Investments!$T$6:$T$1005,MATCH($A96,Investments!$V$6:$V$1005,0))),""))</f>
        <v/>
      </c>
      <c r="K96" s="26">
        <f>IF($A96="","",IFERROR(IF(INDEX(Investments!$O$6:$O$1005,MATCH($A96,Investments!$V$6:$V$1005,0))="","",INDEX(Investments!$O$6:$O$1005,MATCH($A96,Investments!$V$6:$V$1005,0))),""))</f>
        <v/>
      </c>
    </row>
    <row r="97">
      <c r="A97" s="59">
        <f>IF($C$4="","",IF(76&gt;COUNTIFS(Investments!$A$6:$A$1005,$C$4),"",76))</f>
        <v/>
      </c>
      <c r="B97" s="27">
        <f>IF($A97="","",IFERROR(IF(INDEX(Investments!$B$6:$B$1005,MATCH($A97,Investments!$V$6:$V$1005,0))="","",INDEX(Investments!$B$6:$B$1005,MATCH($A97,Investments!$V$6:$V$1005,0))),""))</f>
        <v/>
      </c>
      <c r="C97" s="27">
        <f>IF($A97="","",IFERROR(IF(INDEX(Investments!$C$6:$C$1005,MATCH($A97,Investments!$V$6:$V$1005,0))="","",INDEX(Investments!$C$6:$C$1005,MATCH($A97,Investments!$V$6:$V$1005,0))),""))</f>
        <v/>
      </c>
      <c r="D97" s="27">
        <f>IF($A97="","",IFERROR(IF(INDEX(Investments!$D$6:$D$1005,MATCH($A97,Investments!$V$6:$V$1005,0))="","",INDEX(Investments!$D$6:$D$1005,MATCH($A97,Investments!$V$6:$V$1005,0))),""))</f>
        <v/>
      </c>
      <c r="E97" s="28">
        <f>IF($A97="","",IFERROR(IF(INDEX(Investments!$E$6:$E$1005,MATCH($A97,Investments!$V$6:$V$1005,0))="","",INDEX(Investments!$E$6:$E$1005,MATCH($A97,Investments!$V$6:$V$1005,0))),""))</f>
        <v/>
      </c>
      <c r="F97" s="39">
        <f>IF($A97="","",IFERROR(IF(INDEX(Investments!$Q$6:$Q$1005,MATCH($A97,Investments!$V$6:$V$1005,0))="","",INDEX(Investments!$Q$6:$Q$1005,MATCH($A97,Investments!$V$6:$V$1005,0))),""))</f>
        <v/>
      </c>
      <c r="G97" s="39">
        <f>IF($A97="","",IFERROR(IF(INDEX(Investments!$R$6:$R$1005,MATCH($A97,Investments!$V$6:$V$1005,0))="","",INDEX(Investments!$R$6:$R$1005,MATCH($A97,Investments!$V$6:$V$1005,0))),""))</f>
        <v/>
      </c>
      <c r="H97" s="39">
        <f>IF($A97="","",IFERROR(IF(INDEX(Investments!$L$6:$L$1005,MATCH($A97,Investments!$V$6:$V$1005,0))="","",INDEX(Investments!$L$6:$L$1005,MATCH($A97,Investments!$V$6:$V$1005,0))),""))</f>
        <v/>
      </c>
      <c r="I97" s="39">
        <f>IF($A97="","",IFERROR(IF(INDEX(Investments!$S$6:$S$1005,MATCH($A97,Investments!$V$6:$V$1005,0))="","",INDEX(Investments!$S$6:$S$1005,MATCH($A97,Investments!$V$6:$V$1005,0))),""))</f>
        <v/>
      </c>
      <c r="J97" s="31">
        <f>IF($A97="","",IFERROR(IF(INDEX(Investments!$T$6:$T$1005,MATCH($A97,Investments!$V$6:$V$1005,0))="","",INDEX(Investments!$T$6:$T$1005,MATCH($A97,Investments!$V$6:$V$1005,0))),""))</f>
        <v/>
      </c>
      <c r="K97" s="31">
        <f>IF($A97="","",IFERROR(IF(INDEX(Investments!$O$6:$O$1005,MATCH($A97,Investments!$V$6:$V$1005,0))="","",INDEX(Investments!$O$6:$O$1005,MATCH($A97,Investments!$V$6:$V$1005,0))),""))</f>
        <v/>
      </c>
    </row>
    <row r="98">
      <c r="A98" s="58">
        <f>IF($C$4="","",IF(77&gt;COUNTIFS(Investments!$A$6:$A$1005,$C$4),"",77))</f>
        <v/>
      </c>
      <c r="B98" s="22">
        <f>IF($A98="","",IFERROR(IF(INDEX(Investments!$B$6:$B$1005,MATCH($A98,Investments!$V$6:$V$1005,0))="","",INDEX(Investments!$B$6:$B$1005,MATCH($A98,Investments!$V$6:$V$1005,0))),""))</f>
        <v/>
      </c>
      <c r="C98" s="22">
        <f>IF($A98="","",IFERROR(IF(INDEX(Investments!$C$6:$C$1005,MATCH($A98,Investments!$V$6:$V$1005,0))="","",INDEX(Investments!$C$6:$C$1005,MATCH($A98,Investments!$V$6:$V$1005,0))),""))</f>
        <v/>
      </c>
      <c r="D98" s="22">
        <f>IF($A98="","",IFERROR(IF(INDEX(Investments!$D$6:$D$1005,MATCH($A98,Investments!$V$6:$V$1005,0))="","",INDEX(Investments!$D$6:$D$1005,MATCH($A98,Investments!$V$6:$V$1005,0))),""))</f>
        <v/>
      </c>
      <c r="E98" s="23">
        <f>IF($A98="","",IFERROR(IF(INDEX(Investments!$E$6:$E$1005,MATCH($A98,Investments!$V$6:$V$1005,0))="","",INDEX(Investments!$E$6:$E$1005,MATCH($A98,Investments!$V$6:$V$1005,0))),""))</f>
        <v/>
      </c>
      <c r="F98" s="49">
        <f>IF($A98="","",IFERROR(IF(INDEX(Investments!$Q$6:$Q$1005,MATCH($A98,Investments!$V$6:$V$1005,0))="","",INDEX(Investments!$Q$6:$Q$1005,MATCH($A98,Investments!$V$6:$V$1005,0))),""))</f>
        <v/>
      </c>
      <c r="G98" s="49">
        <f>IF($A98="","",IFERROR(IF(INDEX(Investments!$R$6:$R$1005,MATCH($A98,Investments!$V$6:$V$1005,0))="","",INDEX(Investments!$R$6:$R$1005,MATCH($A98,Investments!$V$6:$V$1005,0))),""))</f>
        <v/>
      </c>
      <c r="H98" s="49">
        <f>IF($A98="","",IFERROR(IF(INDEX(Investments!$L$6:$L$1005,MATCH($A98,Investments!$V$6:$V$1005,0))="","",INDEX(Investments!$L$6:$L$1005,MATCH($A98,Investments!$V$6:$V$1005,0))),""))</f>
        <v/>
      </c>
      <c r="I98" s="49">
        <f>IF($A98="","",IFERROR(IF(INDEX(Investments!$S$6:$S$1005,MATCH($A98,Investments!$V$6:$V$1005,0))="","",INDEX(Investments!$S$6:$S$1005,MATCH($A98,Investments!$V$6:$V$1005,0))),""))</f>
        <v/>
      </c>
      <c r="J98" s="26">
        <f>IF($A98="","",IFERROR(IF(INDEX(Investments!$T$6:$T$1005,MATCH($A98,Investments!$V$6:$V$1005,0))="","",INDEX(Investments!$T$6:$T$1005,MATCH($A98,Investments!$V$6:$V$1005,0))),""))</f>
        <v/>
      </c>
      <c r="K98" s="26">
        <f>IF($A98="","",IFERROR(IF(INDEX(Investments!$O$6:$O$1005,MATCH($A98,Investments!$V$6:$V$1005,0))="","",INDEX(Investments!$O$6:$O$1005,MATCH($A98,Investments!$V$6:$V$1005,0))),""))</f>
        <v/>
      </c>
    </row>
    <row r="99">
      <c r="A99" s="59">
        <f>IF($C$4="","",IF(78&gt;COUNTIFS(Investments!$A$6:$A$1005,$C$4),"",78))</f>
        <v/>
      </c>
      <c r="B99" s="27">
        <f>IF($A99="","",IFERROR(IF(INDEX(Investments!$B$6:$B$1005,MATCH($A99,Investments!$V$6:$V$1005,0))="","",INDEX(Investments!$B$6:$B$1005,MATCH($A99,Investments!$V$6:$V$1005,0))),""))</f>
        <v/>
      </c>
      <c r="C99" s="27">
        <f>IF($A99="","",IFERROR(IF(INDEX(Investments!$C$6:$C$1005,MATCH($A99,Investments!$V$6:$V$1005,0))="","",INDEX(Investments!$C$6:$C$1005,MATCH($A99,Investments!$V$6:$V$1005,0))),""))</f>
        <v/>
      </c>
      <c r="D99" s="27">
        <f>IF($A99="","",IFERROR(IF(INDEX(Investments!$D$6:$D$1005,MATCH($A99,Investments!$V$6:$V$1005,0))="","",INDEX(Investments!$D$6:$D$1005,MATCH($A99,Investments!$V$6:$V$1005,0))),""))</f>
        <v/>
      </c>
      <c r="E99" s="28">
        <f>IF($A99="","",IFERROR(IF(INDEX(Investments!$E$6:$E$1005,MATCH($A99,Investments!$V$6:$V$1005,0))="","",INDEX(Investments!$E$6:$E$1005,MATCH($A99,Investments!$V$6:$V$1005,0))),""))</f>
        <v/>
      </c>
      <c r="F99" s="39">
        <f>IF($A99="","",IFERROR(IF(INDEX(Investments!$Q$6:$Q$1005,MATCH($A99,Investments!$V$6:$V$1005,0))="","",INDEX(Investments!$Q$6:$Q$1005,MATCH($A99,Investments!$V$6:$V$1005,0))),""))</f>
        <v/>
      </c>
      <c r="G99" s="39">
        <f>IF($A99="","",IFERROR(IF(INDEX(Investments!$R$6:$R$1005,MATCH($A99,Investments!$V$6:$V$1005,0))="","",INDEX(Investments!$R$6:$R$1005,MATCH($A99,Investments!$V$6:$V$1005,0))),""))</f>
        <v/>
      </c>
      <c r="H99" s="39">
        <f>IF($A99="","",IFERROR(IF(INDEX(Investments!$L$6:$L$1005,MATCH($A99,Investments!$V$6:$V$1005,0))="","",INDEX(Investments!$L$6:$L$1005,MATCH($A99,Investments!$V$6:$V$1005,0))),""))</f>
        <v/>
      </c>
      <c r="I99" s="39">
        <f>IF($A99="","",IFERROR(IF(INDEX(Investments!$S$6:$S$1005,MATCH($A99,Investments!$V$6:$V$1005,0))="","",INDEX(Investments!$S$6:$S$1005,MATCH($A99,Investments!$V$6:$V$1005,0))),""))</f>
        <v/>
      </c>
      <c r="J99" s="31">
        <f>IF($A99="","",IFERROR(IF(INDEX(Investments!$T$6:$T$1005,MATCH($A99,Investments!$V$6:$V$1005,0))="","",INDEX(Investments!$T$6:$T$1005,MATCH($A99,Investments!$V$6:$V$1005,0))),""))</f>
        <v/>
      </c>
      <c r="K99" s="31">
        <f>IF($A99="","",IFERROR(IF(INDEX(Investments!$O$6:$O$1005,MATCH($A99,Investments!$V$6:$V$1005,0))="","",INDEX(Investments!$O$6:$O$1005,MATCH($A99,Investments!$V$6:$V$1005,0))),""))</f>
        <v/>
      </c>
    </row>
    <row r="100">
      <c r="A100" s="58">
        <f>IF($C$4="","",IF(79&gt;COUNTIFS(Investments!$A$6:$A$1005,$C$4),"",79))</f>
        <v/>
      </c>
      <c r="B100" s="22">
        <f>IF($A100="","",IFERROR(IF(INDEX(Investments!$B$6:$B$1005,MATCH($A100,Investments!$V$6:$V$1005,0))="","",INDEX(Investments!$B$6:$B$1005,MATCH($A100,Investments!$V$6:$V$1005,0))),""))</f>
        <v/>
      </c>
      <c r="C100" s="22">
        <f>IF($A100="","",IFERROR(IF(INDEX(Investments!$C$6:$C$1005,MATCH($A100,Investments!$V$6:$V$1005,0))="","",INDEX(Investments!$C$6:$C$1005,MATCH($A100,Investments!$V$6:$V$1005,0))),""))</f>
        <v/>
      </c>
      <c r="D100" s="22">
        <f>IF($A100="","",IFERROR(IF(INDEX(Investments!$D$6:$D$1005,MATCH($A100,Investments!$V$6:$V$1005,0))="","",INDEX(Investments!$D$6:$D$1005,MATCH($A100,Investments!$V$6:$V$1005,0))),""))</f>
        <v/>
      </c>
      <c r="E100" s="23">
        <f>IF($A100="","",IFERROR(IF(INDEX(Investments!$E$6:$E$1005,MATCH($A100,Investments!$V$6:$V$1005,0))="","",INDEX(Investments!$E$6:$E$1005,MATCH($A100,Investments!$V$6:$V$1005,0))),""))</f>
        <v/>
      </c>
      <c r="F100" s="49">
        <f>IF($A100="","",IFERROR(IF(INDEX(Investments!$Q$6:$Q$1005,MATCH($A100,Investments!$V$6:$V$1005,0))="","",INDEX(Investments!$Q$6:$Q$1005,MATCH($A100,Investments!$V$6:$V$1005,0))),""))</f>
        <v/>
      </c>
      <c r="G100" s="49">
        <f>IF($A100="","",IFERROR(IF(INDEX(Investments!$R$6:$R$1005,MATCH($A100,Investments!$V$6:$V$1005,0))="","",INDEX(Investments!$R$6:$R$1005,MATCH($A100,Investments!$V$6:$V$1005,0))),""))</f>
        <v/>
      </c>
      <c r="H100" s="49">
        <f>IF($A100="","",IFERROR(IF(INDEX(Investments!$L$6:$L$1005,MATCH($A100,Investments!$V$6:$V$1005,0))="","",INDEX(Investments!$L$6:$L$1005,MATCH($A100,Investments!$V$6:$V$1005,0))),""))</f>
        <v/>
      </c>
      <c r="I100" s="49">
        <f>IF($A100="","",IFERROR(IF(INDEX(Investments!$S$6:$S$1005,MATCH($A100,Investments!$V$6:$V$1005,0))="","",INDEX(Investments!$S$6:$S$1005,MATCH($A100,Investments!$V$6:$V$1005,0))),""))</f>
        <v/>
      </c>
      <c r="J100" s="26">
        <f>IF($A100="","",IFERROR(IF(INDEX(Investments!$T$6:$T$1005,MATCH($A100,Investments!$V$6:$V$1005,0))="","",INDEX(Investments!$T$6:$T$1005,MATCH($A100,Investments!$V$6:$V$1005,0))),""))</f>
        <v/>
      </c>
      <c r="K100" s="26">
        <f>IF($A100="","",IFERROR(IF(INDEX(Investments!$O$6:$O$1005,MATCH($A100,Investments!$V$6:$V$1005,0))="","",INDEX(Investments!$O$6:$O$1005,MATCH($A100,Investments!$V$6:$V$1005,0))),""))</f>
        <v/>
      </c>
    </row>
    <row r="101">
      <c r="A101" s="59">
        <f>IF($C$4="","",IF(80&gt;COUNTIFS(Investments!$A$6:$A$1005,$C$4),"",80))</f>
        <v/>
      </c>
      <c r="B101" s="27">
        <f>IF($A101="","",IFERROR(IF(INDEX(Investments!$B$6:$B$1005,MATCH($A101,Investments!$V$6:$V$1005,0))="","",INDEX(Investments!$B$6:$B$1005,MATCH($A101,Investments!$V$6:$V$1005,0))),""))</f>
        <v/>
      </c>
      <c r="C101" s="27">
        <f>IF($A101="","",IFERROR(IF(INDEX(Investments!$C$6:$C$1005,MATCH($A101,Investments!$V$6:$V$1005,0))="","",INDEX(Investments!$C$6:$C$1005,MATCH($A101,Investments!$V$6:$V$1005,0))),""))</f>
        <v/>
      </c>
      <c r="D101" s="27">
        <f>IF($A101="","",IFERROR(IF(INDEX(Investments!$D$6:$D$1005,MATCH($A101,Investments!$V$6:$V$1005,0))="","",INDEX(Investments!$D$6:$D$1005,MATCH($A101,Investments!$V$6:$V$1005,0))),""))</f>
        <v/>
      </c>
      <c r="E101" s="28">
        <f>IF($A101="","",IFERROR(IF(INDEX(Investments!$E$6:$E$1005,MATCH($A101,Investments!$V$6:$V$1005,0))="","",INDEX(Investments!$E$6:$E$1005,MATCH($A101,Investments!$V$6:$V$1005,0))),""))</f>
        <v/>
      </c>
      <c r="F101" s="39">
        <f>IF($A101="","",IFERROR(IF(INDEX(Investments!$Q$6:$Q$1005,MATCH($A101,Investments!$V$6:$V$1005,0))="","",INDEX(Investments!$Q$6:$Q$1005,MATCH($A101,Investments!$V$6:$V$1005,0))),""))</f>
        <v/>
      </c>
      <c r="G101" s="39">
        <f>IF($A101="","",IFERROR(IF(INDEX(Investments!$R$6:$R$1005,MATCH($A101,Investments!$V$6:$V$1005,0))="","",INDEX(Investments!$R$6:$R$1005,MATCH($A101,Investments!$V$6:$V$1005,0))),""))</f>
        <v/>
      </c>
      <c r="H101" s="39">
        <f>IF($A101="","",IFERROR(IF(INDEX(Investments!$L$6:$L$1005,MATCH($A101,Investments!$V$6:$V$1005,0))="","",INDEX(Investments!$L$6:$L$1005,MATCH($A101,Investments!$V$6:$V$1005,0))),""))</f>
        <v/>
      </c>
      <c r="I101" s="39">
        <f>IF($A101="","",IFERROR(IF(INDEX(Investments!$S$6:$S$1005,MATCH($A101,Investments!$V$6:$V$1005,0))="","",INDEX(Investments!$S$6:$S$1005,MATCH($A101,Investments!$V$6:$V$1005,0))),""))</f>
        <v/>
      </c>
      <c r="J101" s="31">
        <f>IF($A101="","",IFERROR(IF(INDEX(Investments!$T$6:$T$1005,MATCH($A101,Investments!$V$6:$V$1005,0))="","",INDEX(Investments!$T$6:$T$1005,MATCH($A101,Investments!$V$6:$V$1005,0))),""))</f>
        <v/>
      </c>
      <c r="K101" s="31">
        <f>IF($A101="","",IFERROR(IF(INDEX(Investments!$O$6:$O$1005,MATCH($A101,Investments!$V$6:$V$1005,0))="","",INDEX(Investments!$O$6:$O$1005,MATCH($A101,Investments!$V$6:$V$1005,0))),""))</f>
        <v/>
      </c>
    </row>
    <row r="102">
      <c r="A102" s="58">
        <f>IF($C$4="","",IF(81&gt;COUNTIFS(Investments!$A$6:$A$1005,$C$4),"",81))</f>
        <v/>
      </c>
      <c r="B102" s="22">
        <f>IF($A102="","",IFERROR(IF(INDEX(Investments!$B$6:$B$1005,MATCH($A102,Investments!$V$6:$V$1005,0))="","",INDEX(Investments!$B$6:$B$1005,MATCH($A102,Investments!$V$6:$V$1005,0))),""))</f>
        <v/>
      </c>
      <c r="C102" s="22">
        <f>IF($A102="","",IFERROR(IF(INDEX(Investments!$C$6:$C$1005,MATCH($A102,Investments!$V$6:$V$1005,0))="","",INDEX(Investments!$C$6:$C$1005,MATCH($A102,Investments!$V$6:$V$1005,0))),""))</f>
        <v/>
      </c>
      <c r="D102" s="22">
        <f>IF($A102="","",IFERROR(IF(INDEX(Investments!$D$6:$D$1005,MATCH($A102,Investments!$V$6:$V$1005,0))="","",INDEX(Investments!$D$6:$D$1005,MATCH($A102,Investments!$V$6:$V$1005,0))),""))</f>
        <v/>
      </c>
      <c r="E102" s="23">
        <f>IF($A102="","",IFERROR(IF(INDEX(Investments!$E$6:$E$1005,MATCH($A102,Investments!$V$6:$V$1005,0))="","",INDEX(Investments!$E$6:$E$1005,MATCH($A102,Investments!$V$6:$V$1005,0))),""))</f>
        <v/>
      </c>
      <c r="F102" s="49">
        <f>IF($A102="","",IFERROR(IF(INDEX(Investments!$Q$6:$Q$1005,MATCH($A102,Investments!$V$6:$V$1005,0))="","",INDEX(Investments!$Q$6:$Q$1005,MATCH($A102,Investments!$V$6:$V$1005,0))),""))</f>
        <v/>
      </c>
      <c r="G102" s="49">
        <f>IF($A102="","",IFERROR(IF(INDEX(Investments!$R$6:$R$1005,MATCH($A102,Investments!$V$6:$V$1005,0))="","",INDEX(Investments!$R$6:$R$1005,MATCH($A102,Investments!$V$6:$V$1005,0))),""))</f>
        <v/>
      </c>
      <c r="H102" s="49">
        <f>IF($A102="","",IFERROR(IF(INDEX(Investments!$L$6:$L$1005,MATCH($A102,Investments!$V$6:$V$1005,0))="","",INDEX(Investments!$L$6:$L$1005,MATCH($A102,Investments!$V$6:$V$1005,0))),""))</f>
        <v/>
      </c>
      <c r="I102" s="49">
        <f>IF($A102="","",IFERROR(IF(INDEX(Investments!$S$6:$S$1005,MATCH($A102,Investments!$V$6:$V$1005,0))="","",INDEX(Investments!$S$6:$S$1005,MATCH($A102,Investments!$V$6:$V$1005,0))),""))</f>
        <v/>
      </c>
      <c r="J102" s="26">
        <f>IF($A102="","",IFERROR(IF(INDEX(Investments!$T$6:$T$1005,MATCH($A102,Investments!$V$6:$V$1005,0))="","",INDEX(Investments!$T$6:$T$1005,MATCH($A102,Investments!$V$6:$V$1005,0))),""))</f>
        <v/>
      </c>
      <c r="K102" s="26">
        <f>IF($A102="","",IFERROR(IF(INDEX(Investments!$O$6:$O$1005,MATCH($A102,Investments!$V$6:$V$1005,0))="","",INDEX(Investments!$O$6:$O$1005,MATCH($A102,Investments!$V$6:$V$1005,0))),""))</f>
        <v/>
      </c>
    </row>
    <row r="103">
      <c r="A103" s="59">
        <f>IF($C$4="","",IF(82&gt;COUNTIFS(Investments!$A$6:$A$1005,$C$4),"",82))</f>
        <v/>
      </c>
      <c r="B103" s="27">
        <f>IF($A103="","",IFERROR(IF(INDEX(Investments!$B$6:$B$1005,MATCH($A103,Investments!$V$6:$V$1005,0))="","",INDEX(Investments!$B$6:$B$1005,MATCH($A103,Investments!$V$6:$V$1005,0))),""))</f>
        <v/>
      </c>
      <c r="C103" s="27">
        <f>IF($A103="","",IFERROR(IF(INDEX(Investments!$C$6:$C$1005,MATCH($A103,Investments!$V$6:$V$1005,0))="","",INDEX(Investments!$C$6:$C$1005,MATCH($A103,Investments!$V$6:$V$1005,0))),""))</f>
        <v/>
      </c>
      <c r="D103" s="27">
        <f>IF($A103="","",IFERROR(IF(INDEX(Investments!$D$6:$D$1005,MATCH($A103,Investments!$V$6:$V$1005,0))="","",INDEX(Investments!$D$6:$D$1005,MATCH($A103,Investments!$V$6:$V$1005,0))),""))</f>
        <v/>
      </c>
      <c r="E103" s="28">
        <f>IF($A103="","",IFERROR(IF(INDEX(Investments!$E$6:$E$1005,MATCH($A103,Investments!$V$6:$V$1005,0))="","",INDEX(Investments!$E$6:$E$1005,MATCH($A103,Investments!$V$6:$V$1005,0))),""))</f>
        <v/>
      </c>
      <c r="F103" s="39">
        <f>IF($A103="","",IFERROR(IF(INDEX(Investments!$Q$6:$Q$1005,MATCH($A103,Investments!$V$6:$V$1005,0))="","",INDEX(Investments!$Q$6:$Q$1005,MATCH($A103,Investments!$V$6:$V$1005,0))),""))</f>
        <v/>
      </c>
      <c r="G103" s="39">
        <f>IF($A103="","",IFERROR(IF(INDEX(Investments!$R$6:$R$1005,MATCH($A103,Investments!$V$6:$V$1005,0))="","",INDEX(Investments!$R$6:$R$1005,MATCH($A103,Investments!$V$6:$V$1005,0))),""))</f>
        <v/>
      </c>
      <c r="H103" s="39">
        <f>IF($A103="","",IFERROR(IF(INDEX(Investments!$L$6:$L$1005,MATCH($A103,Investments!$V$6:$V$1005,0))="","",INDEX(Investments!$L$6:$L$1005,MATCH($A103,Investments!$V$6:$V$1005,0))),""))</f>
        <v/>
      </c>
      <c r="I103" s="39">
        <f>IF($A103="","",IFERROR(IF(INDEX(Investments!$S$6:$S$1005,MATCH($A103,Investments!$V$6:$V$1005,0))="","",INDEX(Investments!$S$6:$S$1005,MATCH($A103,Investments!$V$6:$V$1005,0))),""))</f>
        <v/>
      </c>
      <c r="J103" s="31">
        <f>IF($A103="","",IFERROR(IF(INDEX(Investments!$T$6:$T$1005,MATCH($A103,Investments!$V$6:$V$1005,0))="","",INDEX(Investments!$T$6:$T$1005,MATCH($A103,Investments!$V$6:$V$1005,0))),""))</f>
        <v/>
      </c>
      <c r="K103" s="31">
        <f>IF($A103="","",IFERROR(IF(INDEX(Investments!$O$6:$O$1005,MATCH($A103,Investments!$V$6:$V$1005,0))="","",INDEX(Investments!$O$6:$O$1005,MATCH($A103,Investments!$V$6:$V$1005,0))),""))</f>
        <v/>
      </c>
    </row>
    <row r="104">
      <c r="A104" s="58">
        <f>IF($C$4="","",IF(83&gt;COUNTIFS(Investments!$A$6:$A$1005,$C$4),"",83))</f>
        <v/>
      </c>
      <c r="B104" s="22">
        <f>IF($A104="","",IFERROR(IF(INDEX(Investments!$B$6:$B$1005,MATCH($A104,Investments!$V$6:$V$1005,0))="","",INDEX(Investments!$B$6:$B$1005,MATCH($A104,Investments!$V$6:$V$1005,0))),""))</f>
        <v/>
      </c>
      <c r="C104" s="22">
        <f>IF($A104="","",IFERROR(IF(INDEX(Investments!$C$6:$C$1005,MATCH($A104,Investments!$V$6:$V$1005,0))="","",INDEX(Investments!$C$6:$C$1005,MATCH($A104,Investments!$V$6:$V$1005,0))),""))</f>
        <v/>
      </c>
      <c r="D104" s="22">
        <f>IF($A104="","",IFERROR(IF(INDEX(Investments!$D$6:$D$1005,MATCH($A104,Investments!$V$6:$V$1005,0))="","",INDEX(Investments!$D$6:$D$1005,MATCH($A104,Investments!$V$6:$V$1005,0))),""))</f>
        <v/>
      </c>
      <c r="E104" s="23">
        <f>IF($A104="","",IFERROR(IF(INDEX(Investments!$E$6:$E$1005,MATCH($A104,Investments!$V$6:$V$1005,0))="","",INDEX(Investments!$E$6:$E$1005,MATCH($A104,Investments!$V$6:$V$1005,0))),""))</f>
        <v/>
      </c>
      <c r="F104" s="49">
        <f>IF($A104="","",IFERROR(IF(INDEX(Investments!$Q$6:$Q$1005,MATCH($A104,Investments!$V$6:$V$1005,0))="","",INDEX(Investments!$Q$6:$Q$1005,MATCH($A104,Investments!$V$6:$V$1005,0))),""))</f>
        <v/>
      </c>
      <c r="G104" s="49">
        <f>IF($A104="","",IFERROR(IF(INDEX(Investments!$R$6:$R$1005,MATCH($A104,Investments!$V$6:$V$1005,0))="","",INDEX(Investments!$R$6:$R$1005,MATCH($A104,Investments!$V$6:$V$1005,0))),""))</f>
        <v/>
      </c>
      <c r="H104" s="49">
        <f>IF($A104="","",IFERROR(IF(INDEX(Investments!$L$6:$L$1005,MATCH($A104,Investments!$V$6:$V$1005,0))="","",INDEX(Investments!$L$6:$L$1005,MATCH($A104,Investments!$V$6:$V$1005,0))),""))</f>
        <v/>
      </c>
      <c r="I104" s="49">
        <f>IF($A104="","",IFERROR(IF(INDEX(Investments!$S$6:$S$1005,MATCH($A104,Investments!$V$6:$V$1005,0))="","",INDEX(Investments!$S$6:$S$1005,MATCH($A104,Investments!$V$6:$V$1005,0))),""))</f>
        <v/>
      </c>
      <c r="J104" s="26">
        <f>IF($A104="","",IFERROR(IF(INDEX(Investments!$T$6:$T$1005,MATCH($A104,Investments!$V$6:$V$1005,0))="","",INDEX(Investments!$T$6:$T$1005,MATCH($A104,Investments!$V$6:$V$1005,0))),""))</f>
        <v/>
      </c>
      <c r="K104" s="26">
        <f>IF($A104="","",IFERROR(IF(INDEX(Investments!$O$6:$O$1005,MATCH($A104,Investments!$V$6:$V$1005,0))="","",INDEX(Investments!$O$6:$O$1005,MATCH($A104,Investments!$V$6:$V$1005,0))),""))</f>
        <v/>
      </c>
    </row>
    <row r="105">
      <c r="A105" s="59">
        <f>IF($C$4="","",IF(84&gt;COUNTIFS(Investments!$A$6:$A$1005,$C$4),"",84))</f>
        <v/>
      </c>
      <c r="B105" s="27">
        <f>IF($A105="","",IFERROR(IF(INDEX(Investments!$B$6:$B$1005,MATCH($A105,Investments!$V$6:$V$1005,0))="","",INDEX(Investments!$B$6:$B$1005,MATCH($A105,Investments!$V$6:$V$1005,0))),""))</f>
        <v/>
      </c>
      <c r="C105" s="27">
        <f>IF($A105="","",IFERROR(IF(INDEX(Investments!$C$6:$C$1005,MATCH($A105,Investments!$V$6:$V$1005,0))="","",INDEX(Investments!$C$6:$C$1005,MATCH($A105,Investments!$V$6:$V$1005,0))),""))</f>
        <v/>
      </c>
      <c r="D105" s="27">
        <f>IF($A105="","",IFERROR(IF(INDEX(Investments!$D$6:$D$1005,MATCH($A105,Investments!$V$6:$V$1005,0))="","",INDEX(Investments!$D$6:$D$1005,MATCH($A105,Investments!$V$6:$V$1005,0))),""))</f>
        <v/>
      </c>
      <c r="E105" s="28">
        <f>IF($A105="","",IFERROR(IF(INDEX(Investments!$E$6:$E$1005,MATCH($A105,Investments!$V$6:$V$1005,0))="","",INDEX(Investments!$E$6:$E$1005,MATCH($A105,Investments!$V$6:$V$1005,0))),""))</f>
        <v/>
      </c>
      <c r="F105" s="39">
        <f>IF($A105="","",IFERROR(IF(INDEX(Investments!$Q$6:$Q$1005,MATCH($A105,Investments!$V$6:$V$1005,0))="","",INDEX(Investments!$Q$6:$Q$1005,MATCH($A105,Investments!$V$6:$V$1005,0))),""))</f>
        <v/>
      </c>
      <c r="G105" s="39">
        <f>IF($A105="","",IFERROR(IF(INDEX(Investments!$R$6:$R$1005,MATCH($A105,Investments!$V$6:$V$1005,0))="","",INDEX(Investments!$R$6:$R$1005,MATCH($A105,Investments!$V$6:$V$1005,0))),""))</f>
        <v/>
      </c>
      <c r="H105" s="39">
        <f>IF($A105="","",IFERROR(IF(INDEX(Investments!$L$6:$L$1005,MATCH($A105,Investments!$V$6:$V$1005,0))="","",INDEX(Investments!$L$6:$L$1005,MATCH($A105,Investments!$V$6:$V$1005,0))),""))</f>
        <v/>
      </c>
      <c r="I105" s="39">
        <f>IF($A105="","",IFERROR(IF(INDEX(Investments!$S$6:$S$1005,MATCH($A105,Investments!$V$6:$V$1005,0))="","",INDEX(Investments!$S$6:$S$1005,MATCH($A105,Investments!$V$6:$V$1005,0))),""))</f>
        <v/>
      </c>
      <c r="J105" s="31">
        <f>IF($A105="","",IFERROR(IF(INDEX(Investments!$T$6:$T$1005,MATCH($A105,Investments!$V$6:$V$1005,0))="","",INDEX(Investments!$T$6:$T$1005,MATCH($A105,Investments!$V$6:$V$1005,0))),""))</f>
        <v/>
      </c>
      <c r="K105" s="31">
        <f>IF($A105="","",IFERROR(IF(INDEX(Investments!$O$6:$O$1005,MATCH($A105,Investments!$V$6:$V$1005,0))="","",INDEX(Investments!$O$6:$O$1005,MATCH($A105,Investments!$V$6:$V$1005,0))),""))</f>
        <v/>
      </c>
    </row>
    <row r="106">
      <c r="A106" s="58">
        <f>IF($C$4="","",IF(85&gt;COUNTIFS(Investments!$A$6:$A$1005,$C$4),"",85))</f>
        <v/>
      </c>
      <c r="B106" s="22">
        <f>IF($A106="","",IFERROR(IF(INDEX(Investments!$B$6:$B$1005,MATCH($A106,Investments!$V$6:$V$1005,0))="","",INDEX(Investments!$B$6:$B$1005,MATCH($A106,Investments!$V$6:$V$1005,0))),""))</f>
        <v/>
      </c>
      <c r="C106" s="22">
        <f>IF($A106="","",IFERROR(IF(INDEX(Investments!$C$6:$C$1005,MATCH($A106,Investments!$V$6:$V$1005,0))="","",INDEX(Investments!$C$6:$C$1005,MATCH($A106,Investments!$V$6:$V$1005,0))),""))</f>
        <v/>
      </c>
      <c r="D106" s="22">
        <f>IF($A106="","",IFERROR(IF(INDEX(Investments!$D$6:$D$1005,MATCH($A106,Investments!$V$6:$V$1005,0))="","",INDEX(Investments!$D$6:$D$1005,MATCH($A106,Investments!$V$6:$V$1005,0))),""))</f>
        <v/>
      </c>
      <c r="E106" s="23">
        <f>IF($A106="","",IFERROR(IF(INDEX(Investments!$E$6:$E$1005,MATCH($A106,Investments!$V$6:$V$1005,0))="","",INDEX(Investments!$E$6:$E$1005,MATCH($A106,Investments!$V$6:$V$1005,0))),""))</f>
        <v/>
      </c>
      <c r="F106" s="49">
        <f>IF($A106="","",IFERROR(IF(INDEX(Investments!$Q$6:$Q$1005,MATCH($A106,Investments!$V$6:$V$1005,0))="","",INDEX(Investments!$Q$6:$Q$1005,MATCH($A106,Investments!$V$6:$V$1005,0))),""))</f>
        <v/>
      </c>
      <c r="G106" s="49">
        <f>IF($A106="","",IFERROR(IF(INDEX(Investments!$R$6:$R$1005,MATCH($A106,Investments!$V$6:$V$1005,0))="","",INDEX(Investments!$R$6:$R$1005,MATCH($A106,Investments!$V$6:$V$1005,0))),""))</f>
        <v/>
      </c>
      <c r="H106" s="49">
        <f>IF($A106="","",IFERROR(IF(INDEX(Investments!$L$6:$L$1005,MATCH($A106,Investments!$V$6:$V$1005,0))="","",INDEX(Investments!$L$6:$L$1005,MATCH($A106,Investments!$V$6:$V$1005,0))),""))</f>
        <v/>
      </c>
      <c r="I106" s="49">
        <f>IF($A106="","",IFERROR(IF(INDEX(Investments!$S$6:$S$1005,MATCH($A106,Investments!$V$6:$V$1005,0))="","",INDEX(Investments!$S$6:$S$1005,MATCH($A106,Investments!$V$6:$V$1005,0))),""))</f>
        <v/>
      </c>
      <c r="J106" s="26">
        <f>IF($A106="","",IFERROR(IF(INDEX(Investments!$T$6:$T$1005,MATCH($A106,Investments!$V$6:$V$1005,0))="","",INDEX(Investments!$T$6:$T$1005,MATCH($A106,Investments!$V$6:$V$1005,0))),""))</f>
        <v/>
      </c>
      <c r="K106" s="26">
        <f>IF($A106="","",IFERROR(IF(INDEX(Investments!$O$6:$O$1005,MATCH($A106,Investments!$V$6:$V$1005,0))="","",INDEX(Investments!$O$6:$O$1005,MATCH($A106,Investments!$V$6:$V$1005,0))),""))</f>
        <v/>
      </c>
    </row>
    <row r="107">
      <c r="A107" s="59">
        <f>IF($C$4="","",IF(86&gt;COUNTIFS(Investments!$A$6:$A$1005,$C$4),"",86))</f>
        <v/>
      </c>
      <c r="B107" s="27">
        <f>IF($A107="","",IFERROR(IF(INDEX(Investments!$B$6:$B$1005,MATCH($A107,Investments!$V$6:$V$1005,0))="","",INDEX(Investments!$B$6:$B$1005,MATCH($A107,Investments!$V$6:$V$1005,0))),""))</f>
        <v/>
      </c>
      <c r="C107" s="27">
        <f>IF($A107="","",IFERROR(IF(INDEX(Investments!$C$6:$C$1005,MATCH($A107,Investments!$V$6:$V$1005,0))="","",INDEX(Investments!$C$6:$C$1005,MATCH($A107,Investments!$V$6:$V$1005,0))),""))</f>
        <v/>
      </c>
      <c r="D107" s="27">
        <f>IF($A107="","",IFERROR(IF(INDEX(Investments!$D$6:$D$1005,MATCH($A107,Investments!$V$6:$V$1005,0))="","",INDEX(Investments!$D$6:$D$1005,MATCH($A107,Investments!$V$6:$V$1005,0))),""))</f>
        <v/>
      </c>
      <c r="E107" s="28">
        <f>IF($A107="","",IFERROR(IF(INDEX(Investments!$E$6:$E$1005,MATCH($A107,Investments!$V$6:$V$1005,0))="","",INDEX(Investments!$E$6:$E$1005,MATCH($A107,Investments!$V$6:$V$1005,0))),""))</f>
        <v/>
      </c>
      <c r="F107" s="39">
        <f>IF($A107="","",IFERROR(IF(INDEX(Investments!$Q$6:$Q$1005,MATCH($A107,Investments!$V$6:$V$1005,0))="","",INDEX(Investments!$Q$6:$Q$1005,MATCH($A107,Investments!$V$6:$V$1005,0))),""))</f>
        <v/>
      </c>
      <c r="G107" s="39">
        <f>IF($A107="","",IFERROR(IF(INDEX(Investments!$R$6:$R$1005,MATCH($A107,Investments!$V$6:$V$1005,0))="","",INDEX(Investments!$R$6:$R$1005,MATCH($A107,Investments!$V$6:$V$1005,0))),""))</f>
        <v/>
      </c>
      <c r="H107" s="39">
        <f>IF($A107="","",IFERROR(IF(INDEX(Investments!$L$6:$L$1005,MATCH($A107,Investments!$V$6:$V$1005,0))="","",INDEX(Investments!$L$6:$L$1005,MATCH($A107,Investments!$V$6:$V$1005,0))),""))</f>
        <v/>
      </c>
      <c r="I107" s="39">
        <f>IF($A107="","",IFERROR(IF(INDEX(Investments!$S$6:$S$1005,MATCH($A107,Investments!$V$6:$V$1005,0))="","",INDEX(Investments!$S$6:$S$1005,MATCH($A107,Investments!$V$6:$V$1005,0))),""))</f>
        <v/>
      </c>
      <c r="J107" s="31">
        <f>IF($A107="","",IFERROR(IF(INDEX(Investments!$T$6:$T$1005,MATCH($A107,Investments!$V$6:$V$1005,0))="","",INDEX(Investments!$T$6:$T$1005,MATCH($A107,Investments!$V$6:$V$1005,0))),""))</f>
        <v/>
      </c>
      <c r="K107" s="31">
        <f>IF($A107="","",IFERROR(IF(INDEX(Investments!$O$6:$O$1005,MATCH($A107,Investments!$V$6:$V$1005,0))="","",INDEX(Investments!$O$6:$O$1005,MATCH($A107,Investments!$V$6:$V$1005,0))),""))</f>
        <v/>
      </c>
    </row>
    <row r="108">
      <c r="A108" s="58">
        <f>IF($C$4="","",IF(87&gt;COUNTIFS(Investments!$A$6:$A$1005,$C$4),"",87))</f>
        <v/>
      </c>
      <c r="B108" s="22">
        <f>IF($A108="","",IFERROR(IF(INDEX(Investments!$B$6:$B$1005,MATCH($A108,Investments!$V$6:$V$1005,0))="","",INDEX(Investments!$B$6:$B$1005,MATCH($A108,Investments!$V$6:$V$1005,0))),""))</f>
        <v/>
      </c>
      <c r="C108" s="22">
        <f>IF($A108="","",IFERROR(IF(INDEX(Investments!$C$6:$C$1005,MATCH($A108,Investments!$V$6:$V$1005,0))="","",INDEX(Investments!$C$6:$C$1005,MATCH($A108,Investments!$V$6:$V$1005,0))),""))</f>
        <v/>
      </c>
      <c r="D108" s="22">
        <f>IF($A108="","",IFERROR(IF(INDEX(Investments!$D$6:$D$1005,MATCH($A108,Investments!$V$6:$V$1005,0))="","",INDEX(Investments!$D$6:$D$1005,MATCH($A108,Investments!$V$6:$V$1005,0))),""))</f>
        <v/>
      </c>
      <c r="E108" s="23">
        <f>IF($A108="","",IFERROR(IF(INDEX(Investments!$E$6:$E$1005,MATCH($A108,Investments!$V$6:$V$1005,0))="","",INDEX(Investments!$E$6:$E$1005,MATCH($A108,Investments!$V$6:$V$1005,0))),""))</f>
        <v/>
      </c>
      <c r="F108" s="49">
        <f>IF($A108="","",IFERROR(IF(INDEX(Investments!$Q$6:$Q$1005,MATCH($A108,Investments!$V$6:$V$1005,0))="","",INDEX(Investments!$Q$6:$Q$1005,MATCH($A108,Investments!$V$6:$V$1005,0))),""))</f>
        <v/>
      </c>
      <c r="G108" s="49">
        <f>IF($A108="","",IFERROR(IF(INDEX(Investments!$R$6:$R$1005,MATCH($A108,Investments!$V$6:$V$1005,0))="","",INDEX(Investments!$R$6:$R$1005,MATCH($A108,Investments!$V$6:$V$1005,0))),""))</f>
        <v/>
      </c>
      <c r="H108" s="49">
        <f>IF($A108="","",IFERROR(IF(INDEX(Investments!$L$6:$L$1005,MATCH($A108,Investments!$V$6:$V$1005,0))="","",INDEX(Investments!$L$6:$L$1005,MATCH($A108,Investments!$V$6:$V$1005,0))),""))</f>
        <v/>
      </c>
      <c r="I108" s="49">
        <f>IF($A108="","",IFERROR(IF(INDEX(Investments!$S$6:$S$1005,MATCH($A108,Investments!$V$6:$V$1005,0))="","",INDEX(Investments!$S$6:$S$1005,MATCH($A108,Investments!$V$6:$V$1005,0))),""))</f>
        <v/>
      </c>
      <c r="J108" s="26">
        <f>IF($A108="","",IFERROR(IF(INDEX(Investments!$T$6:$T$1005,MATCH($A108,Investments!$V$6:$V$1005,0))="","",INDEX(Investments!$T$6:$T$1005,MATCH($A108,Investments!$V$6:$V$1005,0))),""))</f>
        <v/>
      </c>
      <c r="K108" s="26">
        <f>IF($A108="","",IFERROR(IF(INDEX(Investments!$O$6:$O$1005,MATCH($A108,Investments!$V$6:$V$1005,0))="","",INDEX(Investments!$O$6:$O$1005,MATCH($A108,Investments!$V$6:$V$1005,0))),""))</f>
        <v/>
      </c>
    </row>
    <row r="109">
      <c r="A109" s="59">
        <f>IF($C$4="","",IF(88&gt;COUNTIFS(Investments!$A$6:$A$1005,$C$4),"",88))</f>
        <v/>
      </c>
      <c r="B109" s="27">
        <f>IF($A109="","",IFERROR(IF(INDEX(Investments!$B$6:$B$1005,MATCH($A109,Investments!$V$6:$V$1005,0))="","",INDEX(Investments!$B$6:$B$1005,MATCH($A109,Investments!$V$6:$V$1005,0))),""))</f>
        <v/>
      </c>
      <c r="C109" s="27">
        <f>IF($A109="","",IFERROR(IF(INDEX(Investments!$C$6:$C$1005,MATCH($A109,Investments!$V$6:$V$1005,0))="","",INDEX(Investments!$C$6:$C$1005,MATCH($A109,Investments!$V$6:$V$1005,0))),""))</f>
        <v/>
      </c>
      <c r="D109" s="27">
        <f>IF($A109="","",IFERROR(IF(INDEX(Investments!$D$6:$D$1005,MATCH($A109,Investments!$V$6:$V$1005,0))="","",INDEX(Investments!$D$6:$D$1005,MATCH($A109,Investments!$V$6:$V$1005,0))),""))</f>
        <v/>
      </c>
      <c r="E109" s="28">
        <f>IF($A109="","",IFERROR(IF(INDEX(Investments!$E$6:$E$1005,MATCH($A109,Investments!$V$6:$V$1005,0))="","",INDEX(Investments!$E$6:$E$1005,MATCH($A109,Investments!$V$6:$V$1005,0))),""))</f>
        <v/>
      </c>
      <c r="F109" s="39">
        <f>IF($A109="","",IFERROR(IF(INDEX(Investments!$Q$6:$Q$1005,MATCH($A109,Investments!$V$6:$V$1005,0))="","",INDEX(Investments!$Q$6:$Q$1005,MATCH($A109,Investments!$V$6:$V$1005,0))),""))</f>
        <v/>
      </c>
      <c r="G109" s="39">
        <f>IF($A109="","",IFERROR(IF(INDEX(Investments!$R$6:$R$1005,MATCH($A109,Investments!$V$6:$V$1005,0))="","",INDEX(Investments!$R$6:$R$1005,MATCH($A109,Investments!$V$6:$V$1005,0))),""))</f>
        <v/>
      </c>
      <c r="H109" s="39">
        <f>IF($A109="","",IFERROR(IF(INDEX(Investments!$L$6:$L$1005,MATCH($A109,Investments!$V$6:$V$1005,0))="","",INDEX(Investments!$L$6:$L$1005,MATCH($A109,Investments!$V$6:$V$1005,0))),""))</f>
        <v/>
      </c>
      <c r="I109" s="39">
        <f>IF($A109="","",IFERROR(IF(INDEX(Investments!$S$6:$S$1005,MATCH($A109,Investments!$V$6:$V$1005,0))="","",INDEX(Investments!$S$6:$S$1005,MATCH($A109,Investments!$V$6:$V$1005,0))),""))</f>
        <v/>
      </c>
      <c r="J109" s="31">
        <f>IF($A109="","",IFERROR(IF(INDEX(Investments!$T$6:$T$1005,MATCH($A109,Investments!$V$6:$V$1005,0))="","",INDEX(Investments!$T$6:$T$1005,MATCH($A109,Investments!$V$6:$V$1005,0))),""))</f>
        <v/>
      </c>
      <c r="K109" s="31">
        <f>IF($A109="","",IFERROR(IF(INDEX(Investments!$O$6:$O$1005,MATCH($A109,Investments!$V$6:$V$1005,0))="","",INDEX(Investments!$O$6:$O$1005,MATCH($A109,Investments!$V$6:$V$1005,0))),""))</f>
        <v/>
      </c>
    </row>
    <row r="110">
      <c r="A110" s="58">
        <f>IF($C$4="","",IF(89&gt;COUNTIFS(Investments!$A$6:$A$1005,$C$4),"",89))</f>
        <v/>
      </c>
      <c r="B110" s="22">
        <f>IF($A110="","",IFERROR(IF(INDEX(Investments!$B$6:$B$1005,MATCH($A110,Investments!$V$6:$V$1005,0))="","",INDEX(Investments!$B$6:$B$1005,MATCH($A110,Investments!$V$6:$V$1005,0))),""))</f>
        <v/>
      </c>
      <c r="C110" s="22">
        <f>IF($A110="","",IFERROR(IF(INDEX(Investments!$C$6:$C$1005,MATCH($A110,Investments!$V$6:$V$1005,0))="","",INDEX(Investments!$C$6:$C$1005,MATCH($A110,Investments!$V$6:$V$1005,0))),""))</f>
        <v/>
      </c>
      <c r="D110" s="22">
        <f>IF($A110="","",IFERROR(IF(INDEX(Investments!$D$6:$D$1005,MATCH($A110,Investments!$V$6:$V$1005,0))="","",INDEX(Investments!$D$6:$D$1005,MATCH($A110,Investments!$V$6:$V$1005,0))),""))</f>
        <v/>
      </c>
      <c r="E110" s="23">
        <f>IF($A110="","",IFERROR(IF(INDEX(Investments!$E$6:$E$1005,MATCH($A110,Investments!$V$6:$V$1005,0))="","",INDEX(Investments!$E$6:$E$1005,MATCH($A110,Investments!$V$6:$V$1005,0))),""))</f>
        <v/>
      </c>
      <c r="F110" s="49">
        <f>IF($A110="","",IFERROR(IF(INDEX(Investments!$Q$6:$Q$1005,MATCH($A110,Investments!$V$6:$V$1005,0))="","",INDEX(Investments!$Q$6:$Q$1005,MATCH($A110,Investments!$V$6:$V$1005,0))),""))</f>
        <v/>
      </c>
      <c r="G110" s="49">
        <f>IF($A110="","",IFERROR(IF(INDEX(Investments!$R$6:$R$1005,MATCH($A110,Investments!$V$6:$V$1005,0))="","",INDEX(Investments!$R$6:$R$1005,MATCH($A110,Investments!$V$6:$V$1005,0))),""))</f>
        <v/>
      </c>
      <c r="H110" s="49">
        <f>IF($A110="","",IFERROR(IF(INDEX(Investments!$L$6:$L$1005,MATCH($A110,Investments!$V$6:$V$1005,0))="","",INDEX(Investments!$L$6:$L$1005,MATCH($A110,Investments!$V$6:$V$1005,0))),""))</f>
        <v/>
      </c>
      <c r="I110" s="49">
        <f>IF($A110="","",IFERROR(IF(INDEX(Investments!$S$6:$S$1005,MATCH($A110,Investments!$V$6:$V$1005,0))="","",INDEX(Investments!$S$6:$S$1005,MATCH($A110,Investments!$V$6:$V$1005,0))),""))</f>
        <v/>
      </c>
      <c r="J110" s="26">
        <f>IF($A110="","",IFERROR(IF(INDEX(Investments!$T$6:$T$1005,MATCH($A110,Investments!$V$6:$V$1005,0))="","",INDEX(Investments!$T$6:$T$1005,MATCH($A110,Investments!$V$6:$V$1005,0))),""))</f>
        <v/>
      </c>
      <c r="K110" s="26">
        <f>IF($A110="","",IFERROR(IF(INDEX(Investments!$O$6:$O$1005,MATCH($A110,Investments!$V$6:$V$1005,0))="","",INDEX(Investments!$O$6:$O$1005,MATCH($A110,Investments!$V$6:$V$1005,0))),""))</f>
        <v/>
      </c>
    </row>
    <row r="111">
      <c r="A111" s="59">
        <f>IF($C$4="","",IF(90&gt;COUNTIFS(Investments!$A$6:$A$1005,$C$4),"",90))</f>
        <v/>
      </c>
      <c r="B111" s="27">
        <f>IF($A111="","",IFERROR(IF(INDEX(Investments!$B$6:$B$1005,MATCH($A111,Investments!$V$6:$V$1005,0))="","",INDEX(Investments!$B$6:$B$1005,MATCH($A111,Investments!$V$6:$V$1005,0))),""))</f>
        <v/>
      </c>
      <c r="C111" s="27">
        <f>IF($A111="","",IFERROR(IF(INDEX(Investments!$C$6:$C$1005,MATCH($A111,Investments!$V$6:$V$1005,0))="","",INDEX(Investments!$C$6:$C$1005,MATCH($A111,Investments!$V$6:$V$1005,0))),""))</f>
        <v/>
      </c>
      <c r="D111" s="27">
        <f>IF($A111="","",IFERROR(IF(INDEX(Investments!$D$6:$D$1005,MATCH($A111,Investments!$V$6:$V$1005,0))="","",INDEX(Investments!$D$6:$D$1005,MATCH($A111,Investments!$V$6:$V$1005,0))),""))</f>
        <v/>
      </c>
      <c r="E111" s="28">
        <f>IF($A111="","",IFERROR(IF(INDEX(Investments!$E$6:$E$1005,MATCH($A111,Investments!$V$6:$V$1005,0))="","",INDEX(Investments!$E$6:$E$1005,MATCH($A111,Investments!$V$6:$V$1005,0))),""))</f>
        <v/>
      </c>
      <c r="F111" s="39">
        <f>IF($A111="","",IFERROR(IF(INDEX(Investments!$Q$6:$Q$1005,MATCH($A111,Investments!$V$6:$V$1005,0))="","",INDEX(Investments!$Q$6:$Q$1005,MATCH($A111,Investments!$V$6:$V$1005,0))),""))</f>
        <v/>
      </c>
      <c r="G111" s="39">
        <f>IF($A111="","",IFERROR(IF(INDEX(Investments!$R$6:$R$1005,MATCH($A111,Investments!$V$6:$V$1005,0))="","",INDEX(Investments!$R$6:$R$1005,MATCH($A111,Investments!$V$6:$V$1005,0))),""))</f>
        <v/>
      </c>
      <c r="H111" s="39">
        <f>IF($A111="","",IFERROR(IF(INDEX(Investments!$L$6:$L$1005,MATCH($A111,Investments!$V$6:$V$1005,0))="","",INDEX(Investments!$L$6:$L$1005,MATCH($A111,Investments!$V$6:$V$1005,0))),""))</f>
        <v/>
      </c>
      <c r="I111" s="39">
        <f>IF($A111="","",IFERROR(IF(INDEX(Investments!$S$6:$S$1005,MATCH($A111,Investments!$V$6:$V$1005,0))="","",INDEX(Investments!$S$6:$S$1005,MATCH($A111,Investments!$V$6:$V$1005,0))),""))</f>
        <v/>
      </c>
      <c r="J111" s="31">
        <f>IF($A111="","",IFERROR(IF(INDEX(Investments!$T$6:$T$1005,MATCH($A111,Investments!$V$6:$V$1005,0))="","",INDEX(Investments!$T$6:$T$1005,MATCH($A111,Investments!$V$6:$V$1005,0))),""))</f>
        <v/>
      </c>
      <c r="K111" s="31">
        <f>IF($A111="","",IFERROR(IF(INDEX(Investments!$O$6:$O$1005,MATCH($A111,Investments!$V$6:$V$1005,0))="","",INDEX(Investments!$O$6:$O$1005,MATCH($A111,Investments!$V$6:$V$1005,0))),""))</f>
        <v/>
      </c>
    </row>
    <row r="112">
      <c r="A112" s="58">
        <f>IF($C$4="","",IF(91&gt;COUNTIFS(Investments!$A$6:$A$1005,$C$4),"",91))</f>
        <v/>
      </c>
      <c r="B112" s="22">
        <f>IF($A112="","",IFERROR(IF(INDEX(Investments!$B$6:$B$1005,MATCH($A112,Investments!$V$6:$V$1005,0))="","",INDEX(Investments!$B$6:$B$1005,MATCH($A112,Investments!$V$6:$V$1005,0))),""))</f>
        <v/>
      </c>
      <c r="C112" s="22">
        <f>IF($A112="","",IFERROR(IF(INDEX(Investments!$C$6:$C$1005,MATCH($A112,Investments!$V$6:$V$1005,0))="","",INDEX(Investments!$C$6:$C$1005,MATCH($A112,Investments!$V$6:$V$1005,0))),""))</f>
        <v/>
      </c>
      <c r="D112" s="22">
        <f>IF($A112="","",IFERROR(IF(INDEX(Investments!$D$6:$D$1005,MATCH($A112,Investments!$V$6:$V$1005,0))="","",INDEX(Investments!$D$6:$D$1005,MATCH($A112,Investments!$V$6:$V$1005,0))),""))</f>
        <v/>
      </c>
      <c r="E112" s="23">
        <f>IF($A112="","",IFERROR(IF(INDEX(Investments!$E$6:$E$1005,MATCH($A112,Investments!$V$6:$V$1005,0))="","",INDEX(Investments!$E$6:$E$1005,MATCH($A112,Investments!$V$6:$V$1005,0))),""))</f>
        <v/>
      </c>
      <c r="F112" s="49">
        <f>IF($A112="","",IFERROR(IF(INDEX(Investments!$Q$6:$Q$1005,MATCH($A112,Investments!$V$6:$V$1005,0))="","",INDEX(Investments!$Q$6:$Q$1005,MATCH($A112,Investments!$V$6:$V$1005,0))),""))</f>
        <v/>
      </c>
      <c r="G112" s="49">
        <f>IF($A112="","",IFERROR(IF(INDEX(Investments!$R$6:$R$1005,MATCH($A112,Investments!$V$6:$V$1005,0))="","",INDEX(Investments!$R$6:$R$1005,MATCH($A112,Investments!$V$6:$V$1005,0))),""))</f>
        <v/>
      </c>
      <c r="H112" s="49">
        <f>IF($A112="","",IFERROR(IF(INDEX(Investments!$L$6:$L$1005,MATCH($A112,Investments!$V$6:$V$1005,0))="","",INDEX(Investments!$L$6:$L$1005,MATCH($A112,Investments!$V$6:$V$1005,0))),""))</f>
        <v/>
      </c>
      <c r="I112" s="49">
        <f>IF($A112="","",IFERROR(IF(INDEX(Investments!$S$6:$S$1005,MATCH($A112,Investments!$V$6:$V$1005,0))="","",INDEX(Investments!$S$6:$S$1005,MATCH($A112,Investments!$V$6:$V$1005,0))),""))</f>
        <v/>
      </c>
      <c r="J112" s="26">
        <f>IF($A112="","",IFERROR(IF(INDEX(Investments!$T$6:$T$1005,MATCH($A112,Investments!$V$6:$V$1005,0))="","",INDEX(Investments!$T$6:$T$1005,MATCH($A112,Investments!$V$6:$V$1005,0))),""))</f>
        <v/>
      </c>
      <c r="K112" s="26">
        <f>IF($A112="","",IFERROR(IF(INDEX(Investments!$O$6:$O$1005,MATCH($A112,Investments!$V$6:$V$1005,0))="","",INDEX(Investments!$O$6:$O$1005,MATCH($A112,Investments!$V$6:$V$1005,0))),""))</f>
        <v/>
      </c>
    </row>
    <row r="113">
      <c r="A113" s="59">
        <f>IF($C$4="","",IF(92&gt;COUNTIFS(Investments!$A$6:$A$1005,$C$4),"",92))</f>
        <v/>
      </c>
      <c r="B113" s="27">
        <f>IF($A113="","",IFERROR(IF(INDEX(Investments!$B$6:$B$1005,MATCH($A113,Investments!$V$6:$V$1005,0))="","",INDEX(Investments!$B$6:$B$1005,MATCH($A113,Investments!$V$6:$V$1005,0))),""))</f>
        <v/>
      </c>
      <c r="C113" s="27">
        <f>IF($A113="","",IFERROR(IF(INDEX(Investments!$C$6:$C$1005,MATCH($A113,Investments!$V$6:$V$1005,0))="","",INDEX(Investments!$C$6:$C$1005,MATCH($A113,Investments!$V$6:$V$1005,0))),""))</f>
        <v/>
      </c>
      <c r="D113" s="27">
        <f>IF($A113="","",IFERROR(IF(INDEX(Investments!$D$6:$D$1005,MATCH($A113,Investments!$V$6:$V$1005,0))="","",INDEX(Investments!$D$6:$D$1005,MATCH($A113,Investments!$V$6:$V$1005,0))),""))</f>
        <v/>
      </c>
      <c r="E113" s="28">
        <f>IF($A113="","",IFERROR(IF(INDEX(Investments!$E$6:$E$1005,MATCH($A113,Investments!$V$6:$V$1005,0))="","",INDEX(Investments!$E$6:$E$1005,MATCH($A113,Investments!$V$6:$V$1005,0))),""))</f>
        <v/>
      </c>
      <c r="F113" s="39">
        <f>IF($A113="","",IFERROR(IF(INDEX(Investments!$Q$6:$Q$1005,MATCH($A113,Investments!$V$6:$V$1005,0))="","",INDEX(Investments!$Q$6:$Q$1005,MATCH($A113,Investments!$V$6:$V$1005,0))),""))</f>
        <v/>
      </c>
      <c r="G113" s="39">
        <f>IF($A113="","",IFERROR(IF(INDEX(Investments!$R$6:$R$1005,MATCH($A113,Investments!$V$6:$V$1005,0))="","",INDEX(Investments!$R$6:$R$1005,MATCH($A113,Investments!$V$6:$V$1005,0))),""))</f>
        <v/>
      </c>
      <c r="H113" s="39">
        <f>IF($A113="","",IFERROR(IF(INDEX(Investments!$L$6:$L$1005,MATCH($A113,Investments!$V$6:$V$1005,0))="","",INDEX(Investments!$L$6:$L$1005,MATCH($A113,Investments!$V$6:$V$1005,0))),""))</f>
        <v/>
      </c>
      <c r="I113" s="39">
        <f>IF($A113="","",IFERROR(IF(INDEX(Investments!$S$6:$S$1005,MATCH($A113,Investments!$V$6:$V$1005,0))="","",INDEX(Investments!$S$6:$S$1005,MATCH($A113,Investments!$V$6:$V$1005,0))),""))</f>
        <v/>
      </c>
      <c r="J113" s="31">
        <f>IF($A113="","",IFERROR(IF(INDEX(Investments!$T$6:$T$1005,MATCH($A113,Investments!$V$6:$V$1005,0))="","",INDEX(Investments!$T$6:$T$1005,MATCH($A113,Investments!$V$6:$V$1005,0))),""))</f>
        <v/>
      </c>
      <c r="K113" s="31">
        <f>IF($A113="","",IFERROR(IF(INDEX(Investments!$O$6:$O$1005,MATCH($A113,Investments!$V$6:$V$1005,0))="","",INDEX(Investments!$O$6:$O$1005,MATCH($A113,Investments!$V$6:$V$1005,0))),""))</f>
        <v/>
      </c>
    </row>
    <row r="114">
      <c r="A114" s="58">
        <f>IF($C$4="","",IF(93&gt;COUNTIFS(Investments!$A$6:$A$1005,$C$4),"",93))</f>
        <v/>
      </c>
      <c r="B114" s="22">
        <f>IF($A114="","",IFERROR(IF(INDEX(Investments!$B$6:$B$1005,MATCH($A114,Investments!$V$6:$V$1005,0))="","",INDEX(Investments!$B$6:$B$1005,MATCH($A114,Investments!$V$6:$V$1005,0))),""))</f>
        <v/>
      </c>
      <c r="C114" s="22">
        <f>IF($A114="","",IFERROR(IF(INDEX(Investments!$C$6:$C$1005,MATCH($A114,Investments!$V$6:$V$1005,0))="","",INDEX(Investments!$C$6:$C$1005,MATCH($A114,Investments!$V$6:$V$1005,0))),""))</f>
        <v/>
      </c>
      <c r="D114" s="22">
        <f>IF($A114="","",IFERROR(IF(INDEX(Investments!$D$6:$D$1005,MATCH($A114,Investments!$V$6:$V$1005,0))="","",INDEX(Investments!$D$6:$D$1005,MATCH($A114,Investments!$V$6:$V$1005,0))),""))</f>
        <v/>
      </c>
      <c r="E114" s="23">
        <f>IF($A114="","",IFERROR(IF(INDEX(Investments!$E$6:$E$1005,MATCH($A114,Investments!$V$6:$V$1005,0))="","",INDEX(Investments!$E$6:$E$1005,MATCH($A114,Investments!$V$6:$V$1005,0))),""))</f>
        <v/>
      </c>
      <c r="F114" s="49">
        <f>IF($A114="","",IFERROR(IF(INDEX(Investments!$Q$6:$Q$1005,MATCH($A114,Investments!$V$6:$V$1005,0))="","",INDEX(Investments!$Q$6:$Q$1005,MATCH($A114,Investments!$V$6:$V$1005,0))),""))</f>
        <v/>
      </c>
      <c r="G114" s="49">
        <f>IF($A114="","",IFERROR(IF(INDEX(Investments!$R$6:$R$1005,MATCH($A114,Investments!$V$6:$V$1005,0))="","",INDEX(Investments!$R$6:$R$1005,MATCH($A114,Investments!$V$6:$V$1005,0))),""))</f>
        <v/>
      </c>
      <c r="H114" s="49">
        <f>IF($A114="","",IFERROR(IF(INDEX(Investments!$L$6:$L$1005,MATCH($A114,Investments!$V$6:$V$1005,0))="","",INDEX(Investments!$L$6:$L$1005,MATCH($A114,Investments!$V$6:$V$1005,0))),""))</f>
        <v/>
      </c>
      <c r="I114" s="49">
        <f>IF($A114="","",IFERROR(IF(INDEX(Investments!$S$6:$S$1005,MATCH($A114,Investments!$V$6:$V$1005,0))="","",INDEX(Investments!$S$6:$S$1005,MATCH($A114,Investments!$V$6:$V$1005,0))),""))</f>
        <v/>
      </c>
      <c r="J114" s="26">
        <f>IF($A114="","",IFERROR(IF(INDEX(Investments!$T$6:$T$1005,MATCH($A114,Investments!$V$6:$V$1005,0))="","",INDEX(Investments!$T$6:$T$1005,MATCH($A114,Investments!$V$6:$V$1005,0))),""))</f>
        <v/>
      </c>
      <c r="K114" s="26">
        <f>IF($A114="","",IFERROR(IF(INDEX(Investments!$O$6:$O$1005,MATCH($A114,Investments!$V$6:$V$1005,0))="","",INDEX(Investments!$O$6:$O$1005,MATCH($A114,Investments!$V$6:$V$1005,0))),""))</f>
        <v/>
      </c>
    </row>
    <row r="115">
      <c r="A115" s="59">
        <f>IF($C$4="","",IF(94&gt;COUNTIFS(Investments!$A$6:$A$1005,$C$4),"",94))</f>
        <v/>
      </c>
      <c r="B115" s="27">
        <f>IF($A115="","",IFERROR(IF(INDEX(Investments!$B$6:$B$1005,MATCH($A115,Investments!$V$6:$V$1005,0))="","",INDEX(Investments!$B$6:$B$1005,MATCH($A115,Investments!$V$6:$V$1005,0))),""))</f>
        <v/>
      </c>
      <c r="C115" s="27">
        <f>IF($A115="","",IFERROR(IF(INDEX(Investments!$C$6:$C$1005,MATCH($A115,Investments!$V$6:$V$1005,0))="","",INDEX(Investments!$C$6:$C$1005,MATCH($A115,Investments!$V$6:$V$1005,0))),""))</f>
        <v/>
      </c>
      <c r="D115" s="27">
        <f>IF($A115="","",IFERROR(IF(INDEX(Investments!$D$6:$D$1005,MATCH($A115,Investments!$V$6:$V$1005,0))="","",INDEX(Investments!$D$6:$D$1005,MATCH($A115,Investments!$V$6:$V$1005,0))),""))</f>
        <v/>
      </c>
      <c r="E115" s="28">
        <f>IF($A115="","",IFERROR(IF(INDEX(Investments!$E$6:$E$1005,MATCH($A115,Investments!$V$6:$V$1005,0))="","",INDEX(Investments!$E$6:$E$1005,MATCH($A115,Investments!$V$6:$V$1005,0))),""))</f>
        <v/>
      </c>
      <c r="F115" s="39">
        <f>IF($A115="","",IFERROR(IF(INDEX(Investments!$Q$6:$Q$1005,MATCH($A115,Investments!$V$6:$V$1005,0))="","",INDEX(Investments!$Q$6:$Q$1005,MATCH($A115,Investments!$V$6:$V$1005,0))),""))</f>
        <v/>
      </c>
      <c r="G115" s="39">
        <f>IF($A115="","",IFERROR(IF(INDEX(Investments!$R$6:$R$1005,MATCH($A115,Investments!$V$6:$V$1005,0))="","",INDEX(Investments!$R$6:$R$1005,MATCH($A115,Investments!$V$6:$V$1005,0))),""))</f>
        <v/>
      </c>
      <c r="H115" s="39">
        <f>IF($A115="","",IFERROR(IF(INDEX(Investments!$L$6:$L$1005,MATCH($A115,Investments!$V$6:$V$1005,0))="","",INDEX(Investments!$L$6:$L$1005,MATCH($A115,Investments!$V$6:$V$1005,0))),""))</f>
        <v/>
      </c>
      <c r="I115" s="39">
        <f>IF($A115="","",IFERROR(IF(INDEX(Investments!$S$6:$S$1005,MATCH($A115,Investments!$V$6:$V$1005,0))="","",INDEX(Investments!$S$6:$S$1005,MATCH($A115,Investments!$V$6:$V$1005,0))),""))</f>
        <v/>
      </c>
      <c r="J115" s="31">
        <f>IF($A115="","",IFERROR(IF(INDEX(Investments!$T$6:$T$1005,MATCH($A115,Investments!$V$6:$V$1005,0))="","",INDEX(Investments!$T$6:$T$1005,MATCH($A115,Investments!$V$6:$V$1005,0))),""))</f>
        <v/>
      </c>
      <c r="K115" s="31">
        <f>IF($A115="","",IFERROR(IF(INDEX(Investments!$O$6:$O$1005,MATCH($A115,Investments!$V$6:$V$1005,0))="","",INDEX(Investments!$O$6:$O$1005,MATCH($A115,Investments!$V$6:$V$1005,0))),""))</f>
        <v/>
      </c>
    </row>
    <row r="116">
      <c r="A116" s="58">
        <f>IF($C$4="","",IF(95&gt;COUNTIFS(Investments!$A$6:$A$1005,$C$4),"",95))</f>
        <v/>
      </c>
      <c r="B116" s="22">
        <f>IF($A116="","",IFERROR(IF(INDEX(Investments!$B$6:$B$1005,MATCH($A116,Investments!$V$6:$V$1005,0))="","",INDEX(Investments!$B$6:$B$1005,MATCH($A116,Investments!$V$6:$V$1005,0))),""))</f>
        <v/>
      </c>
      <c r="C116" s="22">
        <f>IF($A116="","",IFERROR(IF(INDEX(Investments!$C$6:$C$1005,MATCH($A116,Investments!$V$6:$V$1005,0))="","",INDEX(Investments!$C$6:$C$1005,MATCH($A116,Investments!$V$6:$V$1005,0))),""))</f>
        <v/>
      </c>
      <c r="D116" s="22">
        <f>IF($A116="","",IFERROR(IF(INDEX(Investments!$D$6:$D$1005,MATCH($A116,Investments!$V$6:$V$1005,0))="","",INDEX(Investments!$D$6:$D$1005,MATCH($A116,Investments!$V$6:$V$1005,0))),""))</f>
        <v/>
      </c>
      <c r="E116" s="23">
        <f>IF($A116="","",IFERROR(IF(INDEX(Investments!$E$6:$E$1005,MATCH($A116,Investments!$V$6:$V$1005,0))="","",INDEX(Investments!$E$6:$E$1005,MATCH($A116,Investments!$V$6:$V$1005,0))),""))</f>
        <v/>
      </c>
      <c r="F116" s="49">
        <f>IF($A116="","",IFERROR(IF(INDEX(Investments!$Q$6:$Q$1005,MATCH($A116,Investments!$V$6:$V$1005,0))="","",INDEX(Investments!$Q$6:$Q$1005,MATCH($A116,Investments!$V$6:$V$1005,0))),""))</f>
        <v/>
      </c>
      <c r="G116" s="49">
        <f>IF($A116="","",IFERROR(IF(INDEX(Investments!$R$6:$R$1005,MATCH($A116,Investments!$V$6:$V$1005,0))="","",INDEX(Investments!$R$6:$R$1005,MATCH($A116,Investments!$V$6:$V$1005,0))),""))</f>
        <v/>
      </c>
      <c r="H116" s="49">
        <f>IF($A116="","",IFERROR(IF(INDEX(Investments!$L$6:$L$1005,MATCH($A116,Investments!$V$6:$V$1005,0))="","",INDEX(Investments!$L$6:$L$1005,MATCH($A116,Investments!$V$6:$V$1005,0))),""))</f>
        <v/>
      </c>
      <c r="I116" s="49">
        <f>IF($A116="","",IFERROR(IF(INDEX(Investments!$S$6:$S$1005,MATCH($A116,Investments!$V$6:$V$1005,0))="","",INDEX(Investments!$S$6:$S$1005,MATCH($A116,Investments!$V$6:$V$1005,0))),""))</f>
        <v/>
      </c>
      <c r="J116" s="26">
        <f>IF($A116="","",IFERROR(IF(INDEX(Investments!$T$6:$T$1005,MATCH($A116,Investments!$V$6:$V$1005,0))="","",INDEX(Investments!$T$6:$T$1005,MATCH($A116,Investments!$V$6:$V$1005,0))),""))</f>
        <v/>
      </c>
      <c r="K116" s="26">
        <f>IF($A116="","",IFERROR(IF(INDEX(Investments!$O$6:$O$1005,MATCH($A116,Investments!$V$6:$V$1005,0))="","",INDEX(Investments!$O$6:$O$1005,MATCH($A116,Investments!$V$6:$V$1005,0))),""))</f>
        <v/>
      </c>
    </row>
    <row r="117">
      <c r="A117" s="59">
        <f>IF($C$4="","",IF(96&gt;COUNTIFS(Investments!$A$6:$A$1005,$C$4),"",96))</f>
        <v/>
      </c>
      <c r="B117" s="27">
        <f>IF($A117="","",IFERROR(IF(INDEX(Investments!$B$6:$B$1005,MATCH($A117,Investments!$V$6:$V$1005,0))="","",INDEX(Investments!$B$6:$B$1005,MATCH($A117,Investments!$V$6:$V$1005,0))),""))</f>
        <v/>
      </c>
      <c r="C117" s="27">
        <f>IF($A117="","",IFERROR(IF(INDEX(Investments!$C$6:$C$1005,MATCH($A117,Investments!$V$6:$V$1005,0))="","",INDEX(Investments!$C$6:$C$1005,MATCH($A117,Investments!$V$6:$V$1005,0))),""))</f>
        <v/>
      </c>
      <c r="D117" s="27">
        <f>IF($A117="","",IFERROR(IF(INDEX(Investments!$D$6:$D$1005,MATCH($A117,Investments!$V$6:$V$1005,0))="","",INDEX(Investments!$D$6:$D$1005,MATCH($A117,Investments!$V$6:$V$1005,0))),""))</f>
        <v/>
      </c>
      <c r="E117" s="28">
        <f>IF($A117="","",IFERROR(IF(INDEX(Investments!$E$6:$E$1005,MATCH($A117,Investments!$V$6:$V$1005,0))="","",INDEX(Investments!$E$6:$E$1005,MATCH($A117,Investments!$V$6:$V$1005,0))),""))</f>
        <v/>
      </c>
      <c r="F117" s="39">
        <f>IF($A117="","",IFERROR(IF(INDEX(Investments!$Q$6:$Q$1005,MATCH($A117,Investments!$V$6:$V$1005,0))="","",INDEX(Investments!$Q$6:$Q$1005,MATCH($A117,Investments!$V$6:$V$1005,0))),""))</f>
        <v/>
      </c>
      <c r="G117" s="39">
        <f>IF($A117="","",IFERROR(IF(INDEX(Investments!$R$6:$R$1005,MATCH($A117,Investments!$V$6:$V$1005,0))="","",INDEX(Investments!$R$6:$R$1005,MATCH($A117,Investments!$V$6:$V$1005,0))),""))</f>
        <v/>
      </c>
      <c r="H117" s="39">
        <f>IF($A117="","",IFERROR(IF(INDEX(Investments!$L$6:$L$1005,MATCH($A117,Investments!$V$6:$V$1005,0))="","",INDEX(Investments!$L$6:$L$1005,MATCH($A117,Investments!$V$6:$V$1005,0))),""))</f>
        <v/>
      </c>
      <c r="I117" s="39">
        <f>IF($A117="","",IFERROR(IF(INDEX(Investments!$S$6:$S$1005,MATCH($A117,Investments!$V$6:$V$1005,0))="","",INDEX(Investments!$S$6:$S$1005,MATCH($A117,Investments!$V$6:$V$1005,0))),""))</f>
        <v/>
      </c>
      <c r="J117" s="31">
        <f>IF($A117="","",IFERROR(IF(INDEX(Investments!$T$6:$T$1005,MATCH($A117,Investments!$V$6:$V$1005,0))="","",INDEX(Investments!$T$6:$T$1005,MATCH($A117,Investments!$V$6:$V$1005,0))),""))</f>
        <v/>
      </c>
      <c r="K117" s="31">
        <f>IF($A117="","",IFERROR(IF(INDEX(Investments!$O$6:$O$1005,MATCH($A117,Investments!$V$6:$V$1005,0))="","",INDEX(Investments!$O$6:$O$1005,MATCH($A117,Investments!$V$6:$V$1005,0))),""))</f>
        <v/>
      </c>
    </row>
    <row r="118">
      <c r="A118" s="58">
        <f>IF($C$4="","",IF(97&gt;COUNTIFS(Investments!$A$6:$A$1005,$C$4),"",97))</f>
        <v/>
      </c>
      <c r="B118" s="22">
        <f>IF($A118="","",IFERROR(IF(INDEX(Investments!$B$6:$B$1005,MATCH($A118,Investments!$V$6:$V$1005,0))="","",INDEX(Investments!$B$6:$B$1005,MATCH($A118,Investments!$V$6:$V$1005,0))),""))</f>
        <v/>
      </c>
      <c r="C118" s="22">
        <f>IF($A118="","",IFERROR(IF(INDEX(Investments!$C$6:$C$1005,MATCH($A118,Investments!$V$6:$V$1005,0))="","",INDEX(Investments!$C$6:$C$1005,MATCH($A118,Investments!$V$6:$V$1005,0))),""))</f>
        <v/>
      </c>
      <c r="D118" s="22">
        <f>IF($A118="","",IFERROR(IF(INDEX(Investments!$D$6:$D$1005,MATCH($A118,Investments!$V$6:$V$1005,0))="","",INDEX(Investments!$D$6:$D$1005,MATCH($A118,Investments!$V$6:$V$1005,0))),""))</f>
        <v/>
      </c>
      <c r="E118" s="23">
        <f>IF($A118="","",IFERROR(IF(INDEX(Investments!$E$6:$E$1005,MATCH($A118,Investments!$V$6:$V$1005,0))="","",INDEX(Investments!$E$6:$E$1005,MATCH($A118,Investments!$V$6:$V$1005,0))),""))</f>
        <v/>
      </c>
      <c r="F118" s="49">
        <f>IF($A118="","",IFERROR(IF(INDEX(Investments!$Q$6:$Q$1005,MATCH($A118,Investments!$V$6:$V$1005,0))="","",INDEX(Investments!$Q$6:$Q$1005,MATCH($A118,Investments!$V$6:$V$1005,0))),""))</f>
        <v/>
      </c>
      <c r="G118" s="49">
        <f>IF($A118="","",IFERROR(IF(INDEX(Investments!$R$6:$R$1005,MATCH($A118,Investments!$V$6:$V$1005,0))="","",INDEX(Investments!$R$6:$R$1005,MATCH($A118,Investments!$V$6:$V$1005,0))),""))</f>
        <v/>
      </c>
      <c r="H118" s="49">
        <f>IF($A118="","",IFERROR(IF(INDEX(Investments!$L$6:$L$1005,MATCH($A118,Investments!$V$6:$V$1005,0))="","",INDEX(Investments!$L$6:$L$1005,MATCH($A118,Investments!$V$6:$V$1005,0))),""))</f>
        <v/>
      </c>
      <c r="I118" s="49">
        <f>IF($A118="","",IFERROR(IF(INDEX(Investments!$S$6:$S$1005,MATCH($A118,Investments!$V$6:$V$1005,0))="","",INDEX(Investments!$S$6:$S$1005,MATCH($A118,Investments!$V$6:$V$1005,0))),""))</f>
        <v/>
      </c>
      <c r="J118" s="26">
        <f>IF($A118="","",IFERROR(IF(INDEX(Investments!$T$6:$T$1005,MATCH($A118,Investments!$V$6:$V$1005,0))="","",INDEX(Investments!$T$6:$T$1005,MATCH($A118,Investments!$V$6:$V$1005,0))),""))</f>
        <v/>
      </c>
      <c r="K118" s="26">
        <f>IF($A118="","",IFERROR(IF(INDEX(Investments!$O$6:$O$1005,MATCH($A118,Investments!$V$6:$V$1005,0))="","",INDEX(Investments!$O$6:$O$1005,MATCH($A118,Investments!$V$6:$V$1005,0))),""))</f>
        <v/>
      </c>
    </row>
    <row r="119">
      <c r="A119" s="59">
        <f>IF($C$4="","",IF(98&gt;COUNTIFS(Investments!$A$6:$A$1005,$C$4),"",98))</f>
        <v/>
      </c>
      <c r="B119" s="27">
        <f>IF($A119="","",IFERROR(IF(INDEX(Investments!$B$6:$B$1005,MATCH($A119,Investments!$V$6:$V$1005,0))="","",INDEX(Investments!$B$6:$B$1005,MATCH($A119,Investments!$V$6:$V$1005,0))),""))</f>
        <v/>
      </c>
      <c r="C119" s="27">
        <f>IF($A119="","",IFERROR(IF(INDEX(Investments!$C$6:$C$1005,MATCH($A119,Investments!$V$6:$V$1005,0))="","",INDEX(Investments!$C$6:$C$1005,MATCH($A119,Investments!$V$6:$V$1005,0))),""))</f>
        <v/>
      </c>
      <c r="D119" s="27">
        <f>IF($A119="","",IFERROR(IF(INDEX(Investments!$D$6:$D$1005,MATCH($A119,Investments!$V$6:$V$1005,0))="","",INDEX(Investments!$D$6:$D$1005,MATCH($A119,Investments!$V$6:$V$1005,0))),""))</f>
        <v/>
      </c>
      <c r="E119" s="28">
        <f>IF($A119="","",IFERROR(IF(INDEX(Investments!$E$6:$E$1005,MATCH($A119,Investments!$V$6:$V$1005,0))="","",INDEX(Investments!$E$6:$E$1005,MATCH($A119,Investments!$V$6:$V$1005,0))),""))</f>
        <v/>
      </c>
      <c r="F119" s="39">
        <f>IF($A119="","",IFERROR(IF(INDEX(Investments!$Q$6:$Q$1005,MATCH($A119,Investments!$V$6:$V$1005,0))="","",INDEX(Investments!$Q$6:$Q$1005,MATCH($A119,Investments!$V$6:$V$1005,0))),""))</f>
        <v/>
      </c>
      <c r="G119" s="39">
        <f>IF($A119="","",IFERROR(IF(INDEX(Investments!$R$6:$R$1005,MATCH($A119,Investments!$V$6:$V$1005,0))="","",INDEX(Investments!$R$6:$R$1005,MATCH($A119,Investments!$V$6:$V$1005,0))),""))</f>
        <v/>
      </c>
      <c r="H119" s="39">
        <f>IF($A119="","",IFERROR(IF(INDEX(Investments!$L$6:$L$1005,MATCH($A119,Investments!$V$6:$V$1005,0))="","",INDEX(Investments!$L$6:$L$1005,MATCH($A119,Investments!$V$6:$V$1005,0))),""))</f>
        <v/>
      </c>
      <c r="I119" s="39">
        <f>IF($A119="","",IFERROR(IF(INDEX(Investments!$S$6:$S$1005,MATCH($A119,Investments!$V$6:$V$1005,0))="","",INDEX(Investments!$S$6:$S$1005,MATCH($A119,Investments!$V$6:$V$1005,0))),""))</f>
        <v/>
      </c>
      <c r="J119" s="31">
        <f>IF($A119="","",IFERROR(IF(INDEX(Investments!$T$6:$T$1005,MATCH($A119,Investments!$V$6:$V$1005,0))="","",INDEX(Investments!$T$6:$T$1005,MATCH($A119,Investments!$V$6:$V$1005,0))),""))</f>
        <v/>
      </c>
      <c r="K119" s="31">
        <f>IF($A119="","",IFERROR(IF(INDEX(Investments!$O$6:$O$1005,MATCH($A119,Investments!$V$6:$V$1005,0))="","",INDEX(Investments!$O$6:$O$1005,MATCH($A119,Investments!$V$6:$V$1005,0))),""))</f>
        <v/>
      </c>
    </row>
    <row r="120">
      <c r="A120" s="58">
        <f>IF($C$4="","",IF(99&gt;COUNTIFS(Investments!$A$6:$A$1005,$C$4),"",99))</f>
        <v/>
      </c>
      <c r="B120" s="22">
        <f>IF($A120="","",IFERROR(IF(INDEX(Investments!$B$6:$B$1005,MATCH($A120,Investments!$V$6:$V$1005,0))="","",INDEX(Investments!$B$6:$B$1005,MATCH($A120,Investments!$V$6:$V$1005,0))),""))</f>
        <v/>
      </c>
      <c r="C120" s="22">
        <f>IF($A120="","",IFERROR(IF(INDEX(Investments!$C$6:$C$1005,MATCH($A120,Investments!$V$6:$V$1005,0))="","",INDEX(Investments!$C$6:$C$1005,MATCH($A120,Investments!$V$6:$V$1005,0))),""))</f>
        <v/>
      </c>
      <c r="D120" s="22">
        <f>IF($A120="","",IFERROR(IF(INDEX(Investments!$D$6:$D$1005,MATCH($A120,Investments!$V$6:$V$1005,0))="","",INDEX(Investments!$D$6:$D$1005,MATCH($A120,Investments!$V$6:$V$1005,0))),""))</f>
        <v/>
      </c>
      <c r="E120" s="23">
        <f>IF($A120="","",IFERROR(IF(INDEX(Investments!$E$6:$E$1005,MATCH($A120,Investments!$V$6:$V$1005,0))="","",INDEX(Investments!$E$6:$E$1005,MATCH($A120,Investments!$V$6:$V$1005,0))),""))</f>
        <v/>
      </c>
      <c r="F120" s="49">
        <f>IF($A120="","",IFERROR(IF(INDEX(Investments!$Q$6:$Q$1005,MATCH($A120,Investments!$V$6:$V$1005,0))="","",INDEX(Investments!$Q$6:$Q$1005,MATCH($A120,Investments!$V$6:$V$1005,0))),""))</f>
        <v/>
      </c>
      <c r="G120" s="49">
        <f>IF($A120="","",IFERROR(IF(INDEX(Investments!$R$6:$R$1005,MATCH($A120,Investments!$V$6:$V$1005,0))="","",INDEX(Investments!$R$6:$R$1005,MATCH($A120,Investments!$V$6:$V$1005,0))),""))</f>
        <v/>
      </c>
      <c r="H120" s="49">
        <f>IF($A120="","",IFERROR(IF(INDEX(Investments!$L$6:$L$1005,MATCH($A120,Investments!$V$6:$V$1005,0))="","",INDEX(Investments!$L$6:$L$1005,MATCH($A120,Investments!$V$6:$V$1005,0))),""))</f>
        <v/>
      </c>
      <c r="I120" s="49">
        <f>IF($A120="","",IFERROR(IF(INDEX(Investments!$S$6:$S$1005,MATCH($A120,Investments!$V$6:$V$1005,0))="","",INDEX(Investments!$S$6:$S$1005,MATCH($A120,Investments!$V$6:$V$1005,0))),""))</f>
        <v/>
      </c>
      <c r="J120" s="26">
        <f>IF($A120="","",IFERROR(IF(INDEX(Investments!$T$6:$T$1005,MATCH($A120,Investments!$V$6:$V$1005,0))="","",INDEX(Investments!$T$6:$T$1005,MATCH($A120,Investments!$V$6:$V$1005,0))),""))</f>
        <v/>
      </c>
      <c r="K120" s="26">
        <f>IF($A120="","",IFERROR(IF(INDEX(Investments!$O$6:$O$1005,MATCH($A120,Investments!$V$6:$V$1005,0))="","",INDEX(Investments!$O$6:$O$1005,MATCH($A120,Investments!$V$6:$V$1005,0))),""))</f>
        <v/>
      </c>
    </row>
    <row r="121">
      <c r="A121" s="59">
        <f>IF($C$4="","",IF(100&gt;COUNTIFS(Investments!$A$6:$A$1005,$C$4),"",100))</f>
        <v/>
      </c>
      <c r="B121" s="27">
        <f>IF($A121="","",IFERROR(IF(INDEX(Investments!$B$6:$B$1005,MATCH($A121,Investments!$V$6:$V$1005,0))="","",INDEX(Investments!$B$6:$B$1005,MATCH($A121,Investments!$V$6:$V$1005,0))),""))</f>
        <v/>
      </c>
      <c r="C121" s="27">
        <f>IF($A121="","",IFERROR(IF(INDEX(Investments!$C$6:$C$1005,MATCH($A121,Investments!$V$6:$V$1005,0))="","",INDEX(Investments!$C$6:$C$1005,MATCH($A121,Investments!$V$6:$V$1005,0))),""))</f>
        <v/>
      </c>
      <c r="D121" s="27">
        <f>IF($A121="","",IFERROR(IF(INDEX(Investments!$D$6:$D$1005,MATCH($A121,Investments!$V$6:$V$1005,0))="","",INDEX(Investments!$D$6:$D$1005,MATCH($A121,Investments!$V$6:$V$1005,0))),""))</f>
        <v/>
      </c>
      <c r="E121" s="28">
        <f>IF($A121="","",IFERROR(IF(INDEX(Investments!$E$6:$E$1005,MATCH($A121,Investments!$V$6:$V$1005,0))="","",INDEX(Investments!$E$6:$E$1005,MATCH($A121,Investments!$V$6:$V$1005,0))),""))</f>
        <v/>
      </c>
      <c r="F121" s="39">
        <f>IF($A121="","",IFERROR(IF(INDEX(Investments!$Q$6:$Q$1005,MATCH($A121,Investments!$V$6:$V$1005,0))="","",INDEX(Investments!$Q$6:$Q$1005,MATCH($A121,Investments!$V$6:$V$1005,0))),""))</f>
        <v/>
      </c>
      <c r="G121" s="39">
        <f>IF($A121="","",IFERROR(IF(INDEX(Investments!$R$6:$R$1005,MATCH($A121,Investments!$V$6:$V$1005,0))="","",INDEX(Investments!$R$6:$R$1005,MATCH($A121,Investments!$V$6:$V$1005,0))),""))</f>
        <v/>
      </c>
      <c r="H121" s="39">
        <f>IF($A121="","",IFERROR(IF(INDEX(Investments!$L$6:$L$1005,MATCH($A121,Investments!$V$6:$V$1005,0))="","",INDEX(Investments!$L$6:$L$1005,MATCH($A121,Investments!$V$6:$V$1005,0))),""))</f>
        <v/>
      </c>
      <c r="I121" s="39">
        <f>IF($A121="","",IFERROR(IF(INDEX(Investments!$S$6:$S$1005,MATCH($A121,Investments!$V$6:$V$1005,0))="","",INDEX(Investments!$S$6:$S$1005,MATCH($A121,Investments!$V$6:$V$1005,0))),""))</f>
        <v/>
      </c>
      <c r="J121" s="31">
        <f>IF($A121="","",IFERROR(IF(INDEX(Investments!$T$6:$T$1005,MATCH($A121,Investments!$V$6:$V$1005,0))="","",INDEX(Investments!$T$6:$T$1005,MATCH($A121,Investments!$V$6:$V$1005,0))),""))</f>
        <v/>
      </c>
      <c r="K121" s="31">
        <f>IF($A121="","",IFERROR(IF(INDEX(Investments!$O$6:$O$1005,MATCH($A121,Investments!$V$6:$V$1005,0))="","",INDEX(Investments!$O$6:$O$1005,MATCH($A121,Investments!$V$6:$V$1005,0))),""))</f>
        <v/>
      </c>
    </row>
    <row r="122">
      <c r="A122" s="51" t="inlineStr"/>
      <c r="B122" s="51" t="inlineStr">
        <is>
          <t>TOTAL</t>
        </is>
      </c>
      <c r="C122" s="51" t="n"/>
      <c r="D122" s="51" t="n"/>
      <c r="E122" s="51" t="n"/>
      <c r="F122" s="53">
        <f>SUM($F$22:$F$121)</f>
        <v/>
      </c>
      <c r="G122" s="53">
        <f>SUM($G$22:$G$121)</f>
        <v/>
      </c>
      <c r="H122" s="53">
        <f>SUM($H$22:$H$121)</f>
        <v/>
      </c>
      <c r="I122" s="53">
        <f>($H$122+$G$122)-$F$122</f>
        <v/>
      </c>
      <c r="J122" s="54">
        <f>IF($F$122=0,"",$I$122/$F$122)</f>
        <v/>
      </c>
      <c r="K122" s="54">
        <f>$J$17</f>
        <v/>
      </c>
    </row>
    <row r="124">
      <c r="A124" s="32" t="inlineStr">
        <is>
          <t>Lists up to 100 schemes for the selected client, in Investments-sheet order. If a client holds more, the count in the summary strip is still complete.</t>
        </is>
      </c>
    </row>
  </sheetData>
  <mergeCells count="10">
    <mergeCell ref="F11:K11"/>
    <mergeCell ref="F10:K10"/>
    <mergeCell ref="F6:K6"/>
    <mergeCell ref="A15:K15"/>
    <mergeCell ref="A2:K2"/>
    <mergeCell ref="A19:K19"/>
    <mergeCell ref="F9:K9"/>
    <mergeCell ref="F7:K7"/>
    <mergeCell ref="F8:K8"/>
    <mergeCell ref="A1:K1"/>
  </mergeCells>
  <conditionalFormatting sqref="I22:I121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J22:J121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K22:K121">
    <cfRule type="cellIs" priority="5" operator="lessThan" dxfId="0">
      <formula>0</formula>
    </cfRule>
    <cfRule type="cellIs" priority="6" operator="greaterThan" dxfId="1">
      <formula>0</formula>
    </cfRule>
  </conditionalFormatting>
  <dataValidations count="1">
    <dataValidation sqref="C4" showDropDown="0" showInputMessage="0" showErrorMessage="0" allowBlank="1" type="list">
      <formula1>Clients!$B$4:$B$203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8" customWidth="1" min="4" max="4"/>
  </cols>
  <sheetData>
    <row r="1" ht="34" customHeight="1">
      <c r="A1" s="8" t="inlineStr">
        <is>
          <t>Category  (Asset - Category)</t>
        </is>
      </c>
      <c r="B1" s="8" t="inlineStr">
        <is>
          <t>Asset Class</t>
        </is>
      </c>
      <c r="C1" s="8" t="inlineStr">
        <is>
          <t>Status</t>
        </is>
      </c>
      <c r="D1" s="8" t="inlineStr">
        <is>
          <t>Client Segment</t>
        </is>
      </c>
    </row>
    <row r="2">
      <c r="A2" s="60" t="inlineStr">
        <is>
          <t>Equity - Large Cap Fund</t>
        </is>
      </c>
      <c r="B2" s="60" t="inlineStr">
        <is>
          <t>Equity</t>
        </is>
      </c>
      <c r="C2" s="60" t="inlineStr">
        <is>
          <t>Live</t>
        </is>
      </c>
      <c r="D2" s="60" t="inlineStr">
        <is>
          <t>Retail</t>
        </is>
      </c>
    </row>
    <row r="3">
      <c r="A3" s="60" t="inlineStr">
        <is>
          <t>Equity - Large &amp; Mid Cap Fund</t>
        </is>
      </c>
      <c r="B3" s="60" t="inlineStr">
        <is>
          <t>Debt</t>
        </is>
      </c>
      <c r="C3" s="60" t="inlineStr">
        <is>
          <t>Exited</t>
        </is>
      </c>
      <c r="D3" s="60" t="inlineStr">
        <is>
          <t>HNI</t>
        </is>
      </c>
    </row>
    <row r="4">
      <c r="A4" s="60" t="inlineStr">
        <is>
          <t>Equity - Mid Cap Fund</t>
        </is>
      </c>
      <c r="B4" s="60" t="inlineStr">
        <is>
          <t>Hybrid</t>
        </is>
      </c>
      <c r="D4" s="60" t="inlineStr">
        <is>
          <t>Ultra HNI</t>
        </is>
      </c>
    </row>
    <row r="5">
      <c r="A5" s="60" t="inlineStr">
        <is>
          <t>Equity - Small Cap Fund</t>
        </is>
      </c>
      <c r="B5" s="60" t="inlineStr">
        <is>
          <t>Others</t>
        </is>
      </c>
      <c r="D5" s="60" t="inlineStr">
        <is>
          <t>Corporate</t>
        </is>
      </c>
    </row>
    <row r="6">
      <c r="A6" s="60" t="inlineStr">
        <is>
          <t>Equity - Multi Cap Fund</t>
        </is>
      </c>
      <c r="D6" s="60" t="inlineStr">
        <is>
          <t>NRI</t>
        </is>
      </c>
    </row>
    <row r="7">
      <c r="A7" s="60" t="inlineStr">
        <is>
          <t>Equity - Flexi Cap Fund</t>
        </is>
      </c>
    </row>
    <row r="8">
      <c r="A8" s="60" t="inlineStr">
        <is>
          <t>Equity - Focused Fund</t>
        </is>
      </c>
    </row>
    <row r="9">
      <c r="A9" s="60" t="inlineStr">
        <is>
          <t>Equity - Value Fund</t>
        </is>
      </c>
    </row>
    <row r="10">
      <c r="A10" s="60" t="inlineStr">
        <is>
          <t>Equity - Contra Fund</t>
        </is>
      </c>
    </row>
    <row r="11">
      <c r="A11" s="60" t="inlineStr">
        <is>
          <t>Equity - Dividend Yield Fund</t>
        </is>
      </c>
    </row>
    <row r="12">
      <c r="A12" s="60" t="inlineStr">
        <is>
          <t>Equity - ELSS</t>
        </is>
      </c>
    </row>
    <row r="13">
      <c r="A13" s="60" t="inlineStr">
        <is>
          <t>Equity - Sectoral/ Thematic</t>
        </is>
      </c>
    </row>
    <row r="14">
      <c r="A14" s="60" t="inlineStr">
        <is>
          <t>Debt - Overnight Fund</t>
        </is>
      </c>
    </row>
    <row r="15">
      <c r="A15" s="60" t="inlineStr">
        <is>
          <t>Debt - Liquid Fund</t>
        </is>
      </c>
    </row>
    <row r="16">
      <c r="A16" s="60" t="inlineStr">
        <is>
          <t>Debt - Ultra Short Duration Fund</t>
        </is>
      </c>
    </row>
    <row r="17">
      <c r="A17" s="60" t="inlineStr">
        <is>
          <t>Debt - Low Duration Fund</t>
        </is>
      </c>
    </row>
    <row r="18">
      <c r="A18" s="60" t="inlineStr">
        <is>
          <t>Debt - Money Market Fund</t>
        </is>
      </c>
    </row>
    <row r="19">
      <c r="A19" s="60" t="inlineStr">
        <is>
          <t>Debt - Short Duration Fund</t>
        </is>
      </c>
    </row>
    <row r="20">
      <c r="A20" s="60" t="inlineStr">
        <is>
          <t>Debt - Corporate Bond Fund</t>
        </is>
      </c>
    </row>
    <row r="21">
      <c r="A21" s="60" t="inlineStr">
        <is>
          <t>Debt - Banking and PSU Fund</t>
        </is>
      </c>
    </row>
    <row r="22">
      <c r="A22" s="60" t="inlineStr">
        <is>
          <t>Debt - Credit Risk Fund</t>
        </is>
      </c>
    </row>
    <row r="23">
      <c r="A23" s="60" t="inlineStr">
        <is>
          <t>Debt - Dynamic Bond</t>
        </is>
      </c>
    </row>
    <row r="24">
      <c r="A24" s="60" t="inlineStr">
        <is>
          <t>Debt - Gilt Fund</t>
        </is>
      </c>
    </row>
    <row r="25">
      <c r="A25" s="60" t="inlineStr">
        <is>
          <t>Hybrid - Aggressive Hybrid Fund</t>
        </is>
      </c>
    </row>
    <row r="26">
      <c r="A26" s="60" t="inlineStr">
        <is>
          <t>Hybrid - Dynamic Asset Allocation or Balanced Advantage</t>
        </is>
      </c>
    </row>
    <row r="27">
      <c r="A27" s="60" t="inlineStr">
        <is>
          <t>Hybrid - Multi Asset Allocation</t>
        </is>
      </c>
    </row>
    <row r="28">
      <c r="A28" s="60" t="inlineStr">
        <is>
          <t>Hybrid - Conservative Hybrid Fund</t>
        </is>
      </c>
    </row>
    <row r="29">
      <c r="A29" s="60" t="inlineStr">
        <is>
          <t>Hybrid - Equity Savings</t>
        </is>
      </c>
    </row>
    <row r="30">
      <c r="A30" s="60" t="inlineStr">
        <is>
          <t>Hybrid - Arbitrage Fund</t>
        </is>
      </c>
    </row>
    <row r="31">
      <c r="A31" s="60" t="inlineStr">
        <is>
          <t>Others - Index Funds</t>
        </is>
      </c>
    </row>
    <row r="32">
      <c r="A32" s="60" t="inlineStr">
        <is>
          <t>Others - FoF Domestic</t>
        </is>
      </c>
    </row>
    <row r="33">
      <c r="A33" s="60" t="inlineStr">
        <is>
          <t>Others - FoF Overseas</t>
        </is>
      </c>
    </row>
    <row r="34">
      <c r="A34" s="60" t="inlineStr">
        <is>
          <t>Others - Gold ETF</t>
        </is>
      </c>
    </row>
    <row r="35">
      <c r="A35" s="60" t="inlineStr">
        <is>
          <t>Others - Other ETFs</t>
        </is>
      </c>
    </row>
    <row r="36">
      <c r="A36" s="60" t="inlineStr">
        <is>
          <t>Others - Solution Oriented</t>
        </is>
      </c>
    </row>
    <row r="38">
      <c r="A38" s="32" t="inlineStr">
        <is>
          <t>Add or rename values here - dropdowns and the category-wise review follow this list. Keep the 'Asset - Category' naming so the Asset Class is picked 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2026-10-05T07:36:56Z</dcterms:created>
  <dcterms:modified xsi:type="dcterms:W3CDTF">2026-10-05T07:36:59Z</dcterms:modified>
</cp:coreProperties>
</file>