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view" sheetId="1" state="visible" r:id="rId3"/>
  </sheets>
  <definedNames>
    <definedName function="false" hidden="true" localSheetId="0" name="_xlnm._FilterDatabase" vbProcedure="false">'Fund Review'!$A$10:$M$310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<sst xmlns="http://schemas.openxmlformats.org/spreadsheetml/2006/main" count="69" uniqueCount="67">
  <si>
    <t xml:space="preserve">MUTUAL FUND REVIEW</t>
  </si>
  <si>
    <t xml:space="preserve">Equity - Large Cap Fund</t>
  </si>
  <si>
    <t xml:space="preserve">Type in the blue columns. Verdict, action and the summary fill themselves in. Use the Verdict filter arrow to see one group at a time.</t>
  </si>
  <si>
    <t xml:space="preserve">Equity - Large &amp; Mid Cap Fund</t>
  </si>
  <si>
    <t xml:space="preserve">SUMMARY</t>
  </si>
  <si>
    <t xml:space="preserve">Schemes</t>
  </si>
  <si>
    <t xml:space="preserve">Total Invested</t>
  </si>
  <si>
    <t xml:space="preserve">Current Value</t>
  </si>
  <si>
    <t xml:space="preserve">RATING RULE  -  edit the yellow cells</t>
  </si>
  <si>
    <t xml:space="preserve">3Y Return</t>
  </si>
  <si>
    <t xml:space="preserve">Equity - Mid Cap Fund</t>
  </si>
  <si>
    <t xml:space="preserve">Best Fund</t>
  </si>
  <si>
    <t xml:space="preserve">Best Fund  -  3Y return at or above</t>
  </si>
  <si>
    <t xml:space="preserve">Equity - Small Cap Fund</t>
  </si>
  <si>
    <t xml:space="preserve">Need to Improve</t>
  </si>
  <si>
    <t xml:space="preserve">Need to Improve  -  3Y return at or above</t>
  </si>
  <si>
    <t xml:space="preserve">Equity - Multi Cap Fund</t>
  </si>
  <si>
    <t xml:space="preserve">Not Performing</t>
  </si>
  <si>
    <t xml:space="preserve">Not Performing  -  3Y return below</t>
  </si>
  <si>
    <t xml:space="preserve">Equity - Flexi Cap Fund</t>
  </si>
  <si>
    <t xml:space="preserve">Data Pending</t>
  </si>
  <si>
    <t xml:space="preserve">Enter 1Y / 3Y / 5Y returns as the scheme's published CAGR from the factsheet or AMFI - not the XIRR of this holding, which depends on the client's own cash-flow dates. The 13% and 10% bars are house rules, not a SEBI or AMFI standard.</t>
  </si>
  <si>
    <t xml:space="preserve">Equity - Focused Fund</t>
  </si>
  <si>
    <t xml:space="preserve">TOTAL</t>
  </si>
  <si>
    <t xml:space="preserve">Equity - Value Fund</t>
  </si>
  <si>
    <t xml:space="preserve">Equity - Contra Fund</t>
  </si>
  <si>
    <t xml:space="preserve">Client Name</t>
  </si>
  <si>
    <t xml:space="preserve">Scheme Name</t>
  </si>
  <si>
    <t xml:space="preserve">Category</t>
  </si>
  <si>
    <t xml:space="preserve">Current Value (Live)</t>
  </si>
  <si>
    <t xml:space="preserve">Gain / Loss</t>
  </si>
  <si>
    <t xml:space="preserve">Abs. Rtn.</t>
  </si>
  <si>
    <t xml:space="preserve">3Y Return (CAGR)</t>
  </si>
  <si>
    <t xml:space="preserve">Category Avg 3Y</t>
  </si>
  <si>
    <t xml:space="preserve">vs Category</t>
  </si>
  <si>
    <t xml:space="preserve">Verdict</t>
  </si>
  <si>
    <t xml:space="preserve">Suggested Action</t>
  </si>
  <si>
    <t xml:space="preserve">Remark</t>
  </si>
  <si>
    <t xml:space="preserve">Equity - Dividend Yield Fund</t>
  </si>
  <si>
    <t xml:space="preserve">Sample Client (EXAMPLE)</t>
  </si>
  <si>
    <t xml:space="preserve">Bluechip Flexi Cap Fund - Growth</t>
  </si>
  <si>
    <t xml:space="preserve">EXAMPLE ROW - delete it before you start.</t>
  </si>
  <si>
    <t xml:space="preserve">Equity - ELSS</t>
  </si>
  <si>
    <t xml:space="preserve">Equity - Sectoral/ Thematic</t>
  </si>
  <si>
    <t xml:space="preserve">Debt - Overnight Fund</t>
  </si>
  <si>
    <t xml:space="preserve">Debt - Liquid Fund</t>
  </si>
  <si>
    <t xml:space="preserve">Debt - Ultra Short Duration Fund</t>
  </si>
  <si>
    <t xml:space="preserve">Debt - Low Duration Fund</t>
  </si>
  <si>
    <t xml:space="preserve">Debt - Money Market Fund</t>
  </si>
  <si>
    <t xml:space="preserve">Debt - Short Duration Fund</t>
  </si>
  <si>
    <t xml:space="preserve">Debt - Corporate Bond Fund</t>
  </si>
  <si>
    <t xml:space="preserve">Debt - Banking and PSU Fund</t>
  </si>
  <si>
    <t xml:space="preserve">Debt - Credit Risk Fund</t>
  </si>
  <si>
    <t xml:space="preserve">Debt - Dynamic Bond</t>
  </si>
  <si>
    <t xml:space="preserve">Debt - Gilt Fund</t>
  </si>
  <si>
    <t xml:space="preserve">Hybrid - Aggressive Hybrid Fund</t>
  </si>
  <si>
    <t xml:space="preserve">Hybrid - Dynamic Asset Allocation or Balanced Advantage</t>
  </si>
  <si>
    <t xml:space="preserve">Hybrid - Multi Asset Allocation</t>
  </si>
  <si>
    <t xml:space="preserve">Hybrid - Conservative Hybrid Fund</t>
  </si>
  <si>
    <t xml:space="preserve">Hybrid - Equity Savings</t>
  </si>
  <si>
    <t xml:space="preserve">Hybrid - Arbitrage Fund</t>
  </si>
  <si>
    <t xml:space="preserve">Others - Index Funds</t>
  </si>
  <si>
    <t xml:space="preserve">Others - FoF Domestic</t>
  </si>
  <si>
    <t xml:space="preserve">Others - FoF Overseas</t>
  </si>
  <si>
    <t xml:space="preserve">Others - Gold ETF</t>
  </si>
  <si>
    <t xml:space="preserve">Others - Other ETFs</t>
  </si>
  <si>
    <t xml:space="preserve">Others - Solution Oriented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</si>
</sst>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[&gt;=10000000]&quot;₹ &quot;##\,##\,##\,##0.00;[&gt;=100000]&quot;₹ &quot;##\,##\,##0.00;&quot;₹ &quot;#,##0.00"/>
    <numFmt numFmtId="167" formatCode="0.00%;\(0.0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75B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30"/>
    <col collapsed="false" customWidth="true" hidden="false" outlineLevel="0" max="13" min="13" style="0" width="44"/>
    <col collapsed="false" customWidth="true" hidden="true" outlineLevel="0" max="16" min="16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2" t="s">
        <v>1</v>
      </c>
    </row>
    <row r="2" customFormat="false" ht="16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P2" s="2" t="s">
        <v>3</v>
      </c>
    </row>
    <row r="3" customFormat="false" ht="19.5" hidden="false" customHeight="true" outlineLevel="0" collapsed="false">
      <c r="A3" s="4" t="s">
        <v>4</v>
      </c>
      <c r="B3" s="4"/>
      <c r="C3" s="5" t="s">
        <v>5</v>
      </c>
      <c r="D3" s="5" t="s">
        <v>6</v>
      </c>
      <c r="E3" s="5" t="s">
        <v>7</v>
      </c>
      <c r="G3" s="4" t="s">
        <v>8</v>
      </c>
      <c r="H3" s="4"/>
      <c r="I3" s="4"/>
      <c r="J3" s="5" t="s">
        <v>9</v>
      </c>
      <c r="P3" s="2" t="s">
        <v>10</v>
      </c>
    </row>
    <row r="4" customFormat="false" ht="15" hidden="false" customHeight="false" outlineLevel="0" collapsed="false">
      <c r="A4" s="6" t="s">
        <v>11</v>
      </c>
      <c r="B4" s="6"/>
      <c r="C4" s="7" t="n">
        <f aca="false">COUNTIF($K$11:$K$310,$A4)</f>
        <v>1</v>
      </c>
      <c r="D4" s="8" t="n">
        <f aca="false">SUMIF($K$11:$K$310,$A4,$D$11:$D$310)</f>
        <v>190000</v>
      </c>
      <c r="E4" s="8" t="n">
        <f aca="false">SUMIF($K$11:$K$310,$A4,$E$11:$E$310)</f>
        <v>265430</v>
      </c>
      <c r="G4" s="6" t="s">
        <v>12</v>
      </c>
      <c r="H4" s="6"/>
      <c r="I4" s="6"/>
      <c r="J4" s="9" t="n">
        <v>0.13</v>
      </c>
      <c r="P4" s="2" t="s">
        <v>13</v>
      </c>
    </row>
    <row r="5" customFormat="false" ht="15" hidden="false" customHeight="false" outlineLevel="0" collapsed="false">
      <c r="A5" s="10" t="s">
        <v>14</v>
      </c>
      <c r="B5" s="10"/>
      <c r="C5" s="7" t="n">
        <f aca="false">COUNTIF($K$11:$K$310,$A5)</f>
        <v>0</v>
      </c>
      <c r="D5" s="8" t="n">
        <f aca="false">SUMIF($K$11:$K$310,$A5,$D$11:$D$310)</f>
        <v>0</v>
      </c>
      <c r="E5" s="8" t="n">
        <f aca="false">SUMIF($K$11:$K$310,$A5,$E$11:$E$310)</f>
        <v>0</v>
      </c>
      <c r="G5" s="10" t="s">
        <v>15</v>
      </c>
      <c r="H5" s="10"/>
      <c r="I5" s="10"/>
      <c r="J5" s="9" t="n">
        <v>0.1</v>
      </c>
      <c r="P5" s="2" t="s">
        <v>16</v>
      </c>
    </row>
    <row r="6" customFormat="false" ht="15" hidden="false" customHeight="false" outlineLevel="0" collapsed="false">
      <c r="A6" s="11" t="s">
        <v>17</v>
      </c>
      <c r="B6" s="11"/>
      <c r="C6" s="7" t="n">
        <f aca="false">COUNTIF($K$11:$K$310,$A6)</f>
        <v>0</v>
      </c>
      <c r="D6" s="8" t="n">
        <f aca="false">SUMIF($K$11:$K$310,$A6,$D$11:$D$310)</f>
        <v>0</v>
      </c>
      <c r="E6" s="8" t="n">
        <f aca="false">SUMIF($K$11:$K$310,$A6,$E$11:$E$310)</f>
        <v>0</v>
      </c>
      <c r="G6" s="11" t="s">
        <v>18</v>
      </c>
      <c r="H6" s="11"/>
      <c r="I6" s="11"/>
      <c r="J6" s="12" t="n">
        <f aca="false">$J$5</f>
        <v>0.1</v>
      </c>
      <c r="P6" s="2" t="s">
        <v>19</v>
      </c>
    </row>
    <row r="7" customFormat="false" ht="15" hidden="false" customHeight="true" outlineLevel="0" collapsed="false">
      <c r="A7" s="13" t="s">
        <v>20</v>
      </c>
      <c r="B7" s="13"/>
      <c r="C7" s="7" t="n">
        <f aca="false">COUNTIF($K$11:$K$310,$A7)</f>
        <v>0</v>
      </c>
      <c r="D7" s="8" t="n">
        <f aca="false">SUMIF($K$11:$K$310,$A7,$D$11:$D$310)</f>
        <v>0</v>
      </c>
      <c r="E7" s="8" t="n">
        <f aca="false">SUMIF($K$11:$K$310,$A7,$E$11:$E$310)</f>
        <v>0</v>
      </c>
      <c r="G7" s="14" t="s">
        <v>21</v>
      </c>
      <c r="H7" s="14"/>
      <c r="I7" s="14"/>
      <c r="J7" s="14"/>
      <c r="K7" s="14"/>
      <c r="L7" s="14"/>
      <c r="M7" s="14"/>
      <c r="P7" s="2" t="s">
        <v>22</v>
      </c>
    </row>
    <row r="8" customFormat="false" ht="15" hidden="false" customHeight="false" outlineLevel="0" collapsed="false">
      <c r="A8" s="15" t="s">
        <v>23</v>
      </c>
      <c r="B8" s="15"/>
      <c r="C8" s="16" t="n">
        <f aca="false">SUM(C4:C7)</f>
        <v>1</v>
      </c>
      <c r="D8" s="17" t="n">
        <f aca="false">SUM(D4:D7)</f>
        <v>190000</v>
      </c>
      <c r="E8" s="17" t="n">
        <f aca="false">SUM(E4:E7)</f>
        <v>265430</v>
      </c>
      <c r="G8" s="14"/>
      <c r="H8" s="14"/>
      <c r="I8" s="14"/>
      <c r="J8" s="14"/>
      <c r="K8" s="14"/>
      <c r="L8" s="14"/>
      <c r="M8" s="14"/>
      <c r="P8" s="2" t="s">
        <v>24</v>
      </c>
    </row>
    <row r="9" customFormat="false" ht="15" hidden="false" customHeight="false" outlineLevel="0" collapsed="false">
      <c r="P9" s="2" t="s">
        <v>25</v>
      </c>
    </row>
    <row r="10" customFormat="false" ht="31.5" hidden="false" customHeight="true" outlineLevel="0" collapsed="false">
      <c r="A10" s="5" t="s">
        <v>26</v>
      </c>
      <c r="B10" s="5" t="s">
        <v>27</v>
      </c>
      <c r="C10" s="5" t="s">
        <v>28</v>
      </c>
      <c r="D10" s="5" t="s">
        <v>6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33</v>
      </c>
      <c r="J10" s="5" t="s">
        <v>34</v>
      </c>
      <c r="K10" s="5" t="s">
        <v>35</v>
      </c>
      <c r="L10" s="5" t="s">
        <v>36</v>
      </c>
      <c r="M10" s="5" t="s">
        <v>37</v>
      </c>
      <c r="P10" s="2" t="s">
        <v>38</v>
      </c>
    </row>
    <row r="11" customFormat="false" ht="15" hidden="false" customHeight="true" outlineLevel="0" collapsed="false">
      <c r="A11" s="18" t="s">
        <v>39</v>
      </c>
      <c r="B11" s="18" t="s">
        <v>40</v>
      </c>
      <c r="C11" s="18" t="s">
        <v>19</v>
      </c>
      <c r="D11" s="19" t="n">
        <v>190000</v>
      </c>
      <c r="E11" s="19" t="n">
        <v>265430</v>
      </c>
      <c r="F11" s="20" t="n">
        <f aca="false">IF($B11="","",$E11-$D11)</f>
        <v>75430</v>
      </c>
      <c r="G11" s="21" t="n">
        <f aca="false">IF(OR($B11="",N($D11)=0),"",$F11/$D11)</f>
        <v>0.397</v>
      </c>
      <c r="H11" s="22" t="n">
        <v>0.1512</v>
      </c>
      <c r="I11" s="22" t="n">
        <v>0.141</v>
      </c>
      <c r="J11" s="21" t="n">
        <f aca="false">IF(OR($H11="",$I11=""),"",$H11-$I11)</f>
        <v>0.0102</v>
      </c>
      <c r="K11" s="23" t="str">
        <f aca="false">IF($B11="","",IF($H11="","Data Pending",IF($H11&gt;=$J$4,"Best Fund",IF($H11&gt;=$J$5,"Need to Improve","Not Performing"))))</f>
        <v>Best Fund</v>
      </c>
      <c r="L11" s="24" t="str">
        <f aca="false">IF($K11="","",IF($K11="Data Pending","Enter the 3Y return",IF($K11="Best Fund","Hold / consider top-up",IF($K11="Need to Improve","Watch 2 quarters, then decide","Review with client - switch or exit"))))</f>
        <v>Hold / consider top-up</v>
      </c>
      <c r="M11" s="18" t="s">
        <v>41</v>
      </c>
      <c r="P11" s="2" t="s">
        <v>42</v>
      </c>
    </row>
    <row r="12" customFormat="false" ht="15" hidden="false" customHeight="true" outlineLevel="0" collapsed="false">
      <c r="A12" s="18"/>
      <c r="B12" s="18"/>
      <c r="C12" s="18"/>
      <c r="D12" s="19"/>
      <c r="E12" s="19"/>
      <c r="F12" s="20" t="str">
        <f aca="false">IF($B12="","",$E12-$D12)</f>
        <v/>
      </c>
      <c r="G12" s="21" t="str">
        <f aca="false">IF(OR($B12="",N($D12)=0),"",$F12/$D12)</f>
        <v/>
      </c>
      <c r="H12" s="22"/>
      <c r="I12" s="22"/>
      <c r="J12" s="21" t="str">
        <f aca="false">IF(OR($H12="",$I12=""),"",$H12-$I12)</f>
        <v/>
      </c>
      <c r="K12" s="23" t="str">
        <f aca="false">IF($B12="","",IF($H12="","Data Pending",IF($H12&gt;=$J$4,"Best Fund",IF($H12&gt;=$J$5,"Need to Improve","Not Performing"))))</f>
        <v/>
      </c>
      <c r="L12" s="24" t="str">
        <f aca="false">IF($K12="","",IF($K12="Data Pending","Enter the 3Y return",IF($K12="Best Fund","Hold / consider top-up",IF($K12="Need to Improve","Watch 2 quarters, then decide","Review with client - switch or exit"))))</f>
        <v/>
      </c>
      <c r="M12" s="18"/>
      <c r="P12" s="2" t="s">
        <v>43</v>
      </c>
    </row>
    <row r="13" customFormat="false" ht="15" hidden="false" customHeight="true" outlineLevel="0" collapsed="false">
      <c r="A13" s="18"/>
      <c r="B13" s="18"/>
      <c r="C13" s="18"/>
      <c r="D13" s="19"/>
      <c r="E13" s="19"/>
      <c r="F13" s="20" t="str">
        <f aca="false">IF($B13="","",$E13-$D13)</f>
        <v/>
      </c>
      <c r="G13" s="21" t="str">
        <f aca="false">IF(OR($B13="",N($D13)=0),"",$F13/$D13)</f>
        <v/>
      </c>
      <c r="H13" s="22"/>
      <c r="I13" s="22"/>
      <c r="J13" s="21" t="str">
        <f aca="false">IF(OR($H13="",$I13=""),"",$H13-$I13)</f>
        <v/>
      </c>
      <c r="K13" s="23" t="str">
        <f aca="false">IF($B13="","",IF($H13="","Data Pending",IF($H13&gt;=$J$4,"Best Fund",IF($H13&gt;=$J$5,"Need to Improve","Not Performing"))))</f>
        <v/>
      </c>
      <c r="L13" s="24" t="str">
        <f aca="false">IF($K13="","",IF($K13="Data Pending","Enter the 3Y return",IF($K13="Best Fund","Hold / consider top-up",IF($K13="Need to Improve","Watch 2 quarters, then decide","Review with client - switch or exit"))))</f>
        <v/>
      </c>
      <c r="M13" s="18"/>
      <c r="P13" s="2" t="s">
        <v>44</v>
      </c>
    </row>
    <row r="14" customFormat="false" ht="15" hidden="false" customHeight="true" outlineLevel="0" collapsed="false">
      <c r="A14" s="18"/>
      <c r="B14" s="18"/>
      <c r="C14" s="18"/>
      <c r="D14" s="19"/>
      <c r="E14" s="19"/>
      <c r="F14" s="20" t="str">
        <f aca="false">IF($B14="","",$E14-$D14)</f>
        <v/>
      </c>
      <c r="G14" s="21" t="str">
        <f aca="false">IF(OR($B14="",N($D14)=0),"",$F14/$D14)</f>
        <v/>
      </c>
      <c r="H14" s="22"/>
      <c r="I14" s="22"/>
      <c r="J14" s="21" t="str">
        <f aca="false">IF(OR($H14="",$I14=""),"",$H14-$I14)</f>
        <v/>
      </c>
      <c r="K14" s="23" t="str">
        <f aca="false">IF($B14="","",IF($H14="","Data Pending",IF($H14&gt;=$J$4,"Best Fund",IF($H14&gt;=$J$5,"Need to Improve","Not Performing"))))</f>
        <v/>
      </c>
      <c r="L14" s="24" t="str">
        <f aca="false">IF($K14="","",IF($K14="Data Pending","Enter the 3Y return",IF($K14="Best Fund","Hold / consider top-up",IF($K14="Need to Improve","Watch 2 quarters, then decide","Review with client - switch or exit"))))</f>
        <v/>
      </c>
      <c r="M14" s="18"/>
      <c r="P14" s="2" t="s">
        <v>45</v>
      </c>
    </row>
    <row r="15" customFormat="false" ht="15" hidden="false" customHeight="true" outlineLevel="0" collapsed="false">
      <c r="A15" s="18"/>
      <c r="B15" s="18"/>
      <c r="C15" s="18"/>
      <c r="D15" s="19"/>
      <c r="E15" s="19"/>
      <c r="F15" s="20" t="str">
        <f aca="false">IF($B15="","",$E15-$D15)</f>
        <v/>
      </c>
      <c r="G15" s="21" t="str">
        <f aca="false">IF(OR($B15="",N($D15)=0),"",$F15/$D15)</f>
        <v/>
      </c>
      <c r="H15" s="22"/>
      <c r="I15" s="22"/>
      <c r="J15" s="21" t="str">
        <f aca="false">IF(OR($H15="",$I15=""),"",$H15-$I15)</f>
        <v/>
      </c>
      <c r="K15" s="23" t="str">
        <f aca="false">IF($B15="","",IF($H15="","Data Pending",IF($H15&gt;=$J$4,"Best Fund",IF($H15&gt;=$J$5,"Need to Improve","Not Performing"))))</f>
        <v/>
      </c>
      <c r="L15" s="24" t="str">
        <f aca="false">IF($K15="","",IF($K15="Data Pending","Enter the 3Y return",IF($K15="Best Fund","Hold / consider top-up",IF($K15="Need to Improve","Watch 2 quarters, then decide","Review with client - switch or exit"))))</f>
        <v/>
      </c>
      <c r="M15" s="18"/>
      <c r="P15" s="2" t="s">
        <v>46</v>
      </c>
    </row>
    <row r="16" customFormat="false" ht="15" hidden="false" customHeight="true" outlineLevel="0" collapsed="false">
      <c r="A16" s="18"/>
      <c r="B16" s="18"/>
      <c r="C16" s="18"/>
      <c r="D16" s="19"/>
      <c r="E16" s="19"/>
      <c r="F16" s="20" t="str">
        <f aca="false">IF($B16="","",$E16-$D16)</f>
        <v/>
      </c>
      <c r="G16" s="21" t="str">
        <f aca="false">IF(OR($B16="",N($D16)=0),"",$F16/$D16)</f>
        <v/>
      </c>
      <c r="H16" s="22"/>
      <c r="I16" s="22"/>
      <c r="J16" s="21" t="str">
        <f aca="false">IF(OR($H16="",$I16=""),"",$H16-$I16)</f>
        <v/>
      </c>
      <c r="K16" s="23" t="str">
        <f aca="false">IF($B16="","",IF($H16="","Data Pending",IF($H16&gt;=$J$4,"Best Fund",IF($H16&gt;=$J$5,"Need to Improve","Not Performing"))))</f>
        <v/>
      </c>
      <c r="L16" s="24" t="str">
        <f aca="false">IF($K16="","",IF($K16="Data Pending","Enter the 3Y return",IF($K16="Best Fund","Hold / consider top-up",IF($K16="Need to Improve","Watch 2 quarters, then decide","Review with client - switch or exit"))))</f>
        <v/>
      </c>
      <c r="M16" s="18"/>
      <c r="P16" s="2" t="s">
        <v>47</v>
      </c>
    </row>
    <row r="17" customFormat="false" ht="15" hidden="false" customHeight="true" outlineLevel="0" collapsed="false">
      <c r="A17" s="18"/>
      <c r="B17" s="18"/>
      <c r="C17" s="18"/>
      <c r="D17" s="19"/>
      <c r="E17" s="19"/>
      <c r="F17" s="20" t="str">
        <f aca="false">IF($B17="","",$E17-$D17)</f>
        <v/>
      </c>
      <c r="G17" s="21" t="str">
        <f aca="false">IF(OR($B17="",N($D17)=0),"",$F17/$D17)</f>
        <v/>
      </c>
      <c r="H17" s="22"/>
      <c r="I17" s="22"/>
      <c r="J17" s="21" t="str">
        <f aca="false">IF(OR($H17="",$I17=""),"",$H17-$I17)</f>
        <v/>
      </c>
      <c r="K17" s="23" t="str">
        <f aca="false">IF($B17="","",IF($H17="","Data Pending",IF($H17&gt;=$J$4,"Best Fund",IF($H17&gt;=$J$5,"Need to Improve","Not Performing"))))</f>
        <v/>
      </c>
      <c r="L17" s="24" t="str">
        <f aca="false">IF($K17="","",IF($K17="Data Pending","Enter the 3Y return",IF($K17="Best Fund","Hold / consider top-up",IF($K17="Need to Improve","Watch 2 quarters, then decide","Review with client - switch or exit"))))</f>
        <v/>
      </c>
      <c r="M17" s="18"/>
      <c r="P17" s="2" t="s">
        <v>48</v>
      </c>
    </row>
    <row r="18" customFormat="false" ht="15" hidden="false" customHeight="true" outlineLevel="0" collapsed="false">
      <c r="A18" s="18"/>
      <c r="B18" s="18"/>
      <c r="C18" s="18"/>
      <c r="D18" s="19"/>
      <c r="E18" s="19"/>
      <c r="F18" s="20" t="str">
        <f aca="false">IF($B18="","",$E18-$D18)</f>
        <v/>
      </c>
      <c r="G18" s="21" t="str">
        <f aca="false">IF(OR($B18="",N($D18)=0),"",$F18/$D18)</f>
        <v/>
      </c>
      <c r="H18" s="22"/>
      <c r="I18" s="22"/>
      <c r="J18" s="21" t="str">
        <f aca="false">IF(OR($H18="",$I18=""),"",$H18-$I18)</f>
        <v/>
      </c>
      <c r="K18" s="23" t="str">
        <f aca="false">IF($B18="","",IF($H18="","Data Pending",IF($H18&gt;=$J$4,"Best Fund",IF($H18&gt;=$J$5,"Need to Improve","Not Performing"))))</f>
        <v/>
      </c>
      <c r="L18" s="24" t="str">
        <f aca="false">IF($K18="","",IF($K18="Data Pending","Enter the 3Y return",IF($K18="Best Fund","Hold / consider top-up",IF($K18="Need to Improve","Watch 2 quarters, then decide","Review with client - switch or exit"))))</f>
        <v/>
      </c>
      <c r="M18" s="18"/>
      <c r="P18" s="2" t="s">
        <v>49</v>
      </c>
    </row>
    <row r="19" customFormat="false" ht="15" hidden="false" customHeight="true" outlineLevel="0" collapsed="false">
      <c r="A19" s="18"/>
      <c r="B19" s="18"/>
      <c r="C19" s="18"/>
      <c r="D19" s="19"/>
      <c r="E19" s="19"/>
      <c r="F19" s="20" t="str">
        <f aca="false">IF($B19="","",$E19-$D19)</f>
        <v/>
      </c>
      <c r="G19" s="21" t="str">
        <f aca="false">IF(OR($B19="",N($D19)=0),"",$F19/$D19)</f>
        <v/>
      </c>
      <c r="H19" s="22"/>
      <c r="I19" s="22"/>
      <c r="J19" s="21" t="str">
        <f aca="false">IF(OR($H19="",$I19=""),"",$H19-$I19)</f>
        <v/>
      </c>
      <c r="K19" s="23" t="str">
        <f aca="false">IF($B19="","",IF($H19="","Data Pending",IF($H19&gt;=$J$4,"Best Fund",IF($H19&gt;=$J$5,"Need to Improve","Not Performing"))))</f>
        <v/>
      </c>
      <c r="L19" s="24" t="str">
        <f aca="false">IF($K19="","",IF($K19="Data Pending","Enter the 3Y return",IF($K19="Best Fund","Hold / consider top-up",IF($K19="Need to Improve","Watch 2 quarters, then decide","Review with client - switch or exit"))))</f>
        <v/>
      </c>
      <c r="M19" s="18"/>
      <c r="P19" s="2" t="s">
        <v>50</v>
      </c>
    </row>
    <row r="20" customFormat="false" ht="15" hidden="false" customHeight="true" outlineLevel="0" collapsed="false">
      <c r="A20" s="18"/>
      <c r="B20" s="18"/>
      <c r="C20" s="18"/>
      <c r="D20" s="19"/>
      <c r="E20" s="19"/>
      <c r="F20" s="20" t="str">
        <f aca="false">IF($B20="","",$E20-$D20)</f>
        <v/>
      </c>
      <c r="G20" s="21" t="str">
        <f aca="false">IF(OR($B20="",N($D20)=0),"",$F20/$D20)</f>
        <v/>
      </c>
      <c r="H20" s="22"/>
      <c r="I20" s="22"/>
      <c r="J20" s="21" t="str">
        <f aca="false">IF(OR($H20="",$I20=""),"",$H20-$I20)</f>
        <v/>
      </c>
      <c r="K20" s="23" t="str">
        <f aca="false">IF($B20="","",IF($H20="","Data Pending",IF($H20&gt;=$J$4,"Best Fund",IF($H20&gt;=$J$5,"Need to Improve","Not Performing"))))</f>
        <v/>
      </c>
      <c r="L20" s="24" t="str">
        <f aca="false">IF($K20="","",IF($K20="Data Pending","Enter the 3Y return",IF($K20="Best Fund","Hold / consider top-up",IF($K20="Need to Improve","Watch 2 quarters, then decide","Review with client - switch or exit"))))</f>
        <v/>
      </c>
      <c r="M20" s="18"/>
      <c r="P20" s="2" t="s">
        <v>51</v>
      </c>
    </row>
    <row r="21" customFormat="false" ht="15" hidden="false" customHeight="true" outlineLevel="0" collapsed="false">
      <c r="A21" s="18"/>
      <c r="B21" s="18"/>
      <c r="C21" s="18"/>
      <c r="D21" s="19"/>
      <c r="E21" s="19"/>
      <c r="F21" s="20" t="str">
        <f aca="false">IF($B21="","",$E21-$D21)</f>
        <v/>
      </c>
      <c r="G21" s="21" t="str">
        <f aca="false">IF(OR($B21="",N($D21)=0),"",$F21/$D21)</f>
        <v/>
      </c>
      <c r="H21" s="22"/>
      <c r="I21" s="22"/>
      <c r="J21" s="21" t="str">
        <f aca="false">IF(OR($H21="",$I21=""),"",$H21-$I21)</f>
        <v/>
      </c>
      <c r="K21" s="23" t="str">
        <f aca="false">IF($B21="","",IF($H21="","Data Pending",IF($H21&gt;=$J$4,"Best Fund",IF($H21&gt;=$J$5,"Need to Improve","Not Performing"))))</f>
        <v/>
      </c>
      <c r="L21" s="24" t="str">
        <f aca="false">IF($K21="","",IF($K21="Data Pending","Enter the 3Y return",IF($K21="Best Fund","Hold / consider top-up",IF($K21="Need to Improve","Watch 2 quarters, then decide","Review with client - switch or exit"))))</f>
        <v/>
      </c>
      <c r="M21" s="18"/>
      <c r="P21" s="2" t="s">
        <v>52</v>
      </c>
    </row>
    <row r="22" customFormat="false" ht="15" hidden="false" customHeight="true" outlineLevel="0" collapsed="false">
      <c r="A22" s="18"/>
      <c r="B22" s="18"/>
      <c r="C22" s="18"/>
      <c r="D22" s="19"/>
      <c r="E22" s="19"/>
      <c r="F22" s="20" t="str">
        <f aca="false">IF($B22="","",$E22-$D22)</f>
        <v/>
      </c>
      <c r="G22" s="21" t="str">
        <f aca="false">IF(OR($B22="",N($D22)=0),"",$F22/$D22)</f>
        <v/>
      </c>
      <c r="H22" s="22"/>
      <c r="I22" s="22"/>
      <c r="J22" s="21" t="str">
        <f aca="false">IF(OR($H22="",$I22=""),"",$H22-$I22)</f>
        <v/>
      </c>
      <c r="K22" s="23" t="str">
        <f aca="false">IF($B22="","",IF($H22="","Data Pending",IF($H22&gt;=$J$4,"Best Fund",IF($H22&gt;=$J$5,"Need to Improve","Not Performing"))))</f>
        <v/>
      </c>
      <c r="L22" s="24" t="str">
        <f aca="false">IF($K22="","",IF($K22="Data Pending","Enter the 3Y return",IF($K22="Best Fund","Hold / consider top-up",IF($K22="Need to Improve","Watch 2 quarters, then decide","Review with client - switch or exit"))))</f>
        <v/>
      </c>
      <c r="M22" s="18"/>
      <c r="P22" s="2" t="s">
        <v>53</v>
      </c>
    </row>
    <row r="23" customFormat="false" ht="15" hidden="false" customHeight="true" outlineLevel="0" collapsed="false">
      <c r="A23" s="18"/>
      <c r="B23" s="18"/>
      <c r="C23" s="18"/>
      <c r="D23" s="19"/>
      <c r="E23" s="19"/>
      <c r="F23" s="20" t="str">
        <f aca="false">IF($B23="","",$E23-$D23)</f>
        <v/>
      </c>
      <c r="G23" s="21" t="str">
        <f aca="false">IF(OR($B23="",N($D23)=0),"",$F23/$D23)</f>
        <v/>
      </c>
      <c r="H23" s="22"/>
      <c r="I23" s="22"/>
      <c r="J23" s="21" t="str">
        <f aca="false">IF(OR($H23="",$I23=""),"",$H23-$I23)</f>
        <v/>
      </c>
      <c r="K23" s="23" t="str">
        <f aca="false">IF($B23="","",IF($H23="","Data Pending",IF($H23&gt;=$J$4,"Best Fund",IF($H23&gt;=$J$5,"Need to Improve","Not Performing"))))</f>
        <v/>
      </c>
      <c r="L23" s="24" t="str">
        <f aca="false">IF($K23="","",IF($K23="Data Pending","Enter the 3Y return",IF($K23="Best Fund","Hold / consider top-up",IF($K23="Need to Improve","Watch 2 quarters, then decide","Review with client - switch or exit"))))</f>
        <v/>
      </c>
      <c r="M23" s="18"/>
      <c r="P23" s="2" t="s">
        <v>54</v>
      </c>
    </row>
    <row r="24" customFormat="false" ht="15" hidden="false" customHeight="true" outlineLevel="0" collapsed="false">
      <c r="A24" s="18"/>
      <c r="B24" s="18"/>
      <c r="C24" s="18"/>
      <c r="D24" s="19"/>
      <c r="E24" s="19"/>
      <c r="F24" s="20" t="str">
        <f aca="false">IF($B24="","",$E24-$D24)</f>
        <v/>
      </c>
      <c r="G24" s="21" t="str">
        <f aca="false">IF(OR($B24="",N($D24)=0),"",$F24/$D24)</f>
        <v/>
      </c>
      <c r="H24" s="22"/>
      <c r="I24" s="22"/>
      <c r="J24" s="21" t="str">
        <f aca="false">IF(OR($H24="",$I24=""),"",$H24-$I24)</f>
        <v/>
      </c>
      <c r="K24" s="23" t="str">
        <f aca="false">IF($B24="","",IF($H24="","Data Pending",IF($H24&gt;=$J$4,"Best Fund",IF($H24&gt;=$J$5,"Need to Improve","Not Performing"))))</f>
        <v/>
      </c>
      <c r="L24" s="24" t="str">
        <f aca="false">IF($K24="","",IF($K24="Data Pending","Enter the 3Y return",IF($K24="Best Fund","Hold / consider top-up",IF($K24="Need to Improve","Watch 2 quarters, then decide","Review with client - switch or exit"))))</f>
        <v/>
      </c>
      <c r="M24" s="18"/>
      <c r="P24" s="2" t="s">
        <v>55</v>
      </c>
    </row>
    <row r="25" customFormat="false" ht="15" hidden="false" customHeight="true" outlineLevel="0" collapsed="false">
      <c r="A25" s="18"/>
      <c r="B25" s="18"/>
      <c r="C25" s="18"/>
      <c r="D25" s="19"/>
      <c r="E25" s="19"/>
      <c r="F25" s="20" t="str">
        <f aca="false">IF($B25="","",$E25-$D25)</f>
        <v/>
      </c>
      <c r="G25" s="21" t="str">
        <f aca="false">IF(OR($B25="",N($D25)=0),"",$F25/$D25)</f>
        <v/>
      </c>
      <c r="H25" s="22"/>
      <c r="I25" s="22"/>
      <c r="J25" s="21" t="str">
        <f aca="false">IF(OR($H25="",$I25=""),"",$H25-$I25)</f>
        <v/>
      </c>
      <c r="K25" s="23" t="str">
        <f aca="false">IF($B25="","",IF($H25="","Data Pending",IF($H25&gt;=$J$4,"Best Fund",IF($H25&gt;=$J$5,"Need to Improve","Not Performing"))))</f>
        <v/>
      </c>
      <c r="L25" s="24" t="str">
        <f aca="false">IF($K25="","",IF($K25="Data Pending","Enter the 3Y return",IF($K25="Best Fund","Hold / consider top-up",IF($K25="Need to Improve","Watch 2 quarters, then decide","Review with client - switch or exit"))))</f>
        <v/>
      </c>
      <c r="M25" s="18"/>
      <c r="P25" s="2" t="s">
        <v>56</v>
      </c>
    </row>
    <row r="26" customFormat="false" ht="15" hidden="false" customHeight="true" outlineLevel="0" collapsed="false">
      <c r="A26" s="18"/>
      <c r="B26" s="18"/>
      <c r="C26" s="18"/>
      <c r="D26" s="19"/>
      <c r="E26" s="19"/>
      <c r="F26" s="20" t="str">
        <f aca="false">IF($B26="","",$E26-$D26)</f>
        <v/>
      </c>
      <c r="G26" s="21" t="str">
        <f aca="false">IF(OR($B26="",N($D26)=0),"",$F26/$D26)</f>
        <v/>
      </c>
      <c r="H26" s="22"/>
      <c r="I26" s="22"/>
      <c r="J26" s="21" t="str">
        <f aca="false">IF(OR($H26="",$I26=""),"",$H26-$I26)</f>
        <v/>
      </c>
      <c r="K26" s="23" t="str">
        <f aca="false">IF($B26="","",IF($H26="","Data Pending",IF($H26&gt;=$J$4,"Best Fund",IF($H26&gt;=$J$5,"Need to Improve","Not Performing"))))</f>
        <v/>
      </c>
      <c r="L26" s="24" t="str">
        <f aca="false">IF($K26="","",IF($K26="Data Pending","Enter the 3Y return",IF($K26="Best Fund","Hold / consider top-up",IF($K26="Need to Improve","Watch 2 quarters, then decide","Review with client - switch or exit"))))</f>
        <v/>
      </c>
      <c r="M26" s="18"/>
      <c r="P26" s="2" t="s">
        <v>57</v>
      </c>
    </row>
    <row r="27" customFormat="false" ht="15" hidden="false" customHeight="true" outlineLevel="0" collapsed="false">
      <c r="A27" s="18"/>
      <c r="B27" s="18"/>
      <c r="C27" s="18"/>
      <c r="D27" s="19"/>
      <c r="E27" s="19"/>
      <c r="F27" s="20" t="str">
        <f aca="false">IF($B27="","",$E27-$D27)</f>
        <v/>
      </c>
      <c r="G27" s="21" t="str">
        <f aca="false">IF(OR($B27="",N($D27)=0),"",$F27/$D27)</f>
        <v/>
      </c>
      <c r="H27" s="22"/>
      <c r="I27" s="22"/>
      <c r="J27" s="21" t="str">
        <f aca="false">IF(OR($H27="",$I27=""),"",$H27-$I27)</f>
        <v/>
      </c>
      <c r="K27" s="23" t="str">
        <f aca="false">IF($B27="","",IF($H27="","Data Pending",IF($H27&gt;=$J$4,"Best Fund",IF($H27&gt;=$J$5,"Need to Improve","Not Performing"))))</f>
        <v/>
      </c>
      <c r="L27" s="24" t="str">
        <f aca="false">IF($K27="","",IF($K27="Data Pending","Enter the 3Y return",IF($K27="Best Fund","Hold / consider top-up",IF($K27="Need to Improve","Watch 2 quarters, then decide","Review with client - switch or exit"))))</f>
        <v/>
      </c>
      <c r="M27" s="18"/>
      <c r="P27" s="2" t="s">
        <v>58</v>
      </c>
    </row>
    <row r="28" customFormat="false" ht="15" hidden="false" customHeight="true" outlineLevel="0" collapsed="false">
      <c r="A28" s="18"/>
      <c r="B28" s="18"/>
      <c r="C28" s="18"/>
      <c r="D28" s="19"/>
      <c r="E28" s="19"/>
      <c r="F28" s="20" t="str">
        <f aca="false">IF($B28="","",$E28-$D28)</f>
        <v/>
      </c>
      <c r="G28" s="21" t="str">
        <f aca="false">IF(OR($B28="",N($D28)=0),"",$F28/$D28)</f>
        <v/>
      </c>
      <c r="H28" s="22"/>
      <c r="I28" s="22"/>
      <c r="J28" s="21" t="str">
        <f aca="false">IF(OR($H28="",$I28=""),"",$H28-$I28)</f>
        <v/>
      </c>
      <c r="K28" s="23" t="str">
        <f aca="false">IF($B28="","",IF($H28="","Data Pending",IF($H28&gt;=$J$4,"Best Fund",IF($H28&gt;=$J$5,"Need to Improve","Not Performing"))))</f>
        <v/>
      </c>
      <c r="L28" s="24" t="str">
        <f aca="false">IF($K28="","",IF($K28="Data Pending","Enter the 3Y return",IF($K28="Best Fund","Hold / consider top-up",IF($K28="Need to Improve","Watch 2 quarters, then decide","Review with client - switch or exit"))))</f>
        <v/>
      </c>
      <c r="M28" s="18"/>
      <c r="P28" s="2" t="s">
        <v>59</v>
      </c>
    </row>
    <row r="29" customFormat="false" ht="15" hidden="false" customHeight="true" outlineLevel="0" collapsed="false">
      <c r="A29" s="18"/>
      <c r="B29" s="18"/>
      <c r="C29" s="18"/>
      <c r="D29" s="19"/>
      <c r="E29" s="19"/>
      <c r="F29" s="20" t="str">
        <f aca="false">IF($B29="","",$E29-$D29)</f>
        <v/>
      </c>
      <c r="G29" s="21" t="str">
        <f aca="false">IF(OR($B29="",N($D29)=0),"",$F29/$D29)</f>
        <v/>
      </c>
      <c r="H29" s="22"/>
      <c r="I29" s="22"/>
      <c r="J29" s="21" t="str">
        <f aca="false">IF(OR($H29="",$I29=""),"",$H29-$I29)</f>
        <v/>
      </c>
      <c r="K29" s="23" t="str">
        <f aca="false">IF($B29="","",IF($H29="","Data Pending",IF($H29&gt;=$J$4,"Best Fund",IF($H29&gt;=$J$5,"Need to Improve","Not Performing"))))</f>
        <v/>
      </c>
      <c r="L29" s="24" t="str">
        <f aca="false">IF($K29="","",IF($K29="Data Pending","Enter the 3Y return",IF($K29="Best Fund","Hold / consider top-up",IF($K29="Need to Improve","Watch 2 quarters, then decide","Review with client - switch or exit"))))</f>
        <v/>
      </c>
      <c r="M29" s="18"/>
      <c r="P29" s="2" t="s">
        <v>60</v>
      </c>
    </row>
    <row r="30" customFormat="false" ht="15" hidden="false" customHeight="true" outlineLevel="0" collapsed="false">
      <c r="A30" s="18"/>
      <c r="B30" s="18"/>
      <c r="C30" s="18"/>
      <c r="D30" s="19"/>
      <c r="E30" s="19"/>
      <c r="F30" s="20" t="str">
        <f aca="false">IF($B30="","",$E30-$D30)</f>
        <v/>
      </c>
      <c r="G30" s="21" t="str">
        <f aca="false">IF(OR($B30="",N($D30)=0),"",$F30/$D30)</f>
        <v/>
      </c>
      <c r="H30" s="22"/>
      <c r="I30" s="22"/>
      <c r="J30" s="21" t="str">
        <f aca="false">IF(OR($H30="",$I30=""),"",$H30-$I30)</f>
        <v/>
      </c>
      <c r="K30" s="23" t="str">
        <f aca="false">IF($B30="","",IF($H30="","Data Pending",IF($H30&gt;=$J$4,"Best Fund",IF($H30&gt;=$J$5,"Need to Improve","Not Performing"))))</f>
        <v/>
      </c>
      <c r="L30" s="24" t="str">
        <f aca="false">IF($K30="","",IF($K30="Data Pending","Enter the 3Y return",IF($K30="Best Fund","Hold / consider top-up",IF($K30="Need to Improve","Watch 2 quarters, then decide","Review with client - switch or exit"))))</f>
        <v/>
      </c>
      <c r="M30" s="18"/>
      <c r="P30" s="2" t="s">
        <v>61</v>
      </c>
    </row>
    <row r="31" customFormat="false" ht="15" hidden="false" customHeight="true" outlineLevel="0" collapsed="false">
      <c r="A31" s="18"/>
      <c r="B31" s="18"/>
      <c r="C31" s="18"/>
      <c r="D31" s="19"/>
      <c r="E31" s="19"/>
      <c r="F31" s="20" t="str">
        <f aca="false">IF($B31="","",$E31-$D31)</f>
        <v/>
      </c>
      <c r="G31" s="21" t="str">
        <f aca="false">IF(OR($B31="",N($D31)=0),"",$F31/$D31)</f>
        <v/>
      </c>
      <c r="H31" s="22"/>
      <c r="I31" s="22"/>
      <c r="J31" s="21" t="str">
        <f aca="false">IF(OR($H31="",$I31=""),"",$H31-$I31)</f>
        <v/>
      </c>
      <c r="K31" s="23" t="str">
        <f aca="false">IF($B31="","",IF($H31="","Data Pending",IF($H31&gt;=$J$4,"Best Fund",IF($H31&gt;=$J$5,"Need to Improve","Not Performing"))))</f>
        <v/>
      </c>
      <c r="L31" s="24" t="str">
        <f aca="false">IF($K31="","",IF($K31="Data Pending","Enter the 3Y return",IF($K31="Best Fund","Hold / consider top-up",IF($K31="Need to Improve","Watch 2 quarters, then decide","Review with client - switch or exit"))))</f>
        <v/>
      </c>
      <c r="M31" s="18"/>
      <c r="P31" s="2" t="s">
        <v>62</v>
      </c>
    </row>
    <row r="32" customFormat="false" ht="15" hidden="false" customHeight="true" outlineLevel="0" collapsed="false">
      <c r="A32" s="18"/>
      <c r="B32" s="18"/>
      <c r="C32" s="18"/>
      <c r="D32" s="19"/>
      <c r="E32" s="19"/>
      <c r="F32" s="20" t="str">
        <f aca="false">IF($B32="","",$E32-$D32)</f>
        <v/>
      </c>
      <c r="G32" s="21" t="str">
        <f aca="false">IF(OR($B32="",N($D32)=0),"",$F32/$D32)</f>
        <v/>
      </c>
      <c r="H32" s="22"/>
      <c r="I32" s="22"/>
      <c r="J32" s="21" t="str">
        <f aca="false">IF(OR($H32="",$I32=""),"",$H32-$I32)</f>
        <v/>
      </c>
      <c r="K32" s="23" t="str">
        <f aca="false">IF($B32="","",IF($H32="","Data Pending",IF($H32&gt;=$J$4,"Best Fund",IF($H32&gt;=$J$5,"Need to Improve","Not Performing"))))</f>
        <v/>
      </c>
      <c r="L32" s="24" t="str">
        <f aca="false">IF($K32="","",IF($K32="Data Pending","Enter the 3Y return",IF($K32="Best Fund","Hold / consider top-up",IF($K32="Need to Improve","Watch 2 quarters, then decide","Review with client - switch or exit"))))</f>
        <v/>
      </c>
      <c r="M32" s="18"/>
      <c r="P32" s="2" t="s">
        <v>63</v>
      </c>
    </row>
    <row r="33" customFormat="false" ht="15" hidden="false" customHeight="true" outlineLevel="0" collapsed="false">
      <c r="A33" s="18"/>
      <c r="B33" s="18"/>
      <c r="C33" s="18"/>
      <c r="D33" s="19"/>
      <c r="E33" s="19"/>
      <c r="F33" s="20" t="str">
        <f aca="false">IF($B33="","",$E33-$D33)</f>
        <v/>
      </c>
      <c r="G33" s="21" t="str">
        <f aca="false">IF(OR($B33="",N($D33)=0),"",$F33/$D33)</f>
        <v/>
      </c>
      <c r="H33" s="22"/>
      <c r="I33" s="22"/>
      <c r="J33" s="21" t="str">
        <f aca="false">IF(OR($H33="",$I33=""),"",$H33-$I33)</f>
        <v/>
      </c>
      <c r="K33" s="23" t="str">
        <f aca="false">IF($B33="","",IF($H33="","Data Pending",IF($H33&gt;=$J$4,"Best Fund",IF($H33&gt;=$J$5,"Need to Improve","Not Performing"))))</f>
        <v/>
      </c>
      <c r="L33" s="24" t="str">
        <f aca="false">IF($K33="","",IF($K33="Data Pending","Enter the 3Y return",IF($K33="Best Fund","Hold / consider top-up",IF($K33="Need to Improve","Watch 2 quarters, then decide","Review with client - switch or exit"))))</f>
        <v/>
      </c>
      <c r="M33" s="18"/>
      <c r="P33" s="2" t="s">
        <v>64</v>
      </c>
    </row>
    <row r="34" customFormat="false" ht="15" hidden="false" customHeight="true" outlineLevel="0" collapsed="false">
      <c r="A34" s="18"/>
      <c r="B34" s="18"/>
      <c r="C34" s="18"/>
      <c r="D34" s="19"/>
      <c r="E34" s="19"/>
      <c r="F34" s="20" t="str">
        <f aca="false">IF($B34="","",$E34-$D34)</f>
        <v/>
      </c>
      <c r="G34" s="21" t="str">
        <f aca="false">IF(OR($B34="",N($D34)=0),"",$F34/$D34)</f>
        <v/>
      </c>
      <c r="H34" s="22"/>
      <c r="I34" s="22"/>
      <c r="J34" s="21" t="str">
        <f aca="false">IF(OR($H34="",$I34=""),"",$H34-$I34)</f>
        <v/>
      </c>
      <c r="K34" s="23" t="str">
        <f aca="false">IF($B34="","",IF($H34="","Data Pending",IF($H34&gt;=$J$4,"Best Fund",IF($H34&gt;=$J$5,"Need to Improve","Not Performing"))))</f>
        <v/>
      </c>
      <c r="L34" s="24" t="str">
        <f aca="false">IF($K34="","",IF($K34="Data Pending","Enter the 3Y return",IF($K34="Best Fund","Hold / consider top-up",IF($K34="Need to Improve","Watch 2 quarters, then decide","Review with client - switch or exit"))))</f>
        <v/>
      </c>
      <c r="M34" s="18"/>
      <c r="P34" s="2" t="s">
        <v>65</v>
      </c>
    </row>
    <row r="35" customFormat="false" ht="15" hidden="false" customHeight="true" outlineLevel="0" collapsed="false">
      <c r="A35" s="18"/>
      <c r="B35" s="18"/>
      <c r="C35" s="18"/>
      <c r="D35" s="19"/>
      <c r="E35" s="19"/>
      <c r="F35" s="20" t="str">
        <f aca="false">IF($B35="","",$E35-$D35)</f>
        <v/>
      </c>
      <c r="G35" s="21" t="str">
        <f aca="false">IF(OR($B35="",N($D35)=0),"",$F35/$D35)</f>
        <v/>
      </c>
      <c r="H35" s="22"/>
      <c r="I35" s="22"/>
      <c r="J35" s="21" t="str">
        <f aca="false">IF(OR($H35="",$I35=""),"",$H35-$I35)</f>
        <v/>
      </c>
      <c r="K35" s="23" t="str">
        <f aca="false">IF($B35="","",IF($H35="","Data Pending",IF($H35&gt;=$J$4,"Best Fund",IF($H35&gt;=$J$5,"Need to Improve","Not Performing"))))</f>
        <v/>
      </c>
      <c r="L35" s="24" t="str">
        <f aca="false">IF($K35="","",IF($K35="Data Pending","Enter the 3Y return",IF($K35="Best Fund","Hold / consider top-up",IF($K35="Need to Improve","Watch 2 quarters, then decide","Review with client - switch or exit"))))</f>
        <v/>
      </c>
      <c r="M35" s="18"/>
      <c r="P35" s="2" t="s">
        <v>66</v>
      </c>
    </row>
    <row r="36" customFormat="false" ht="15" hidden="false" customHeight="true" outlineLevel="0" collapsed="false">
      <c r="A36" s="18"/>
      <c r="B36" s="18"/>
      <c r="C36" s="18"/>
      <c r="D36" s="19"/>
      <c r="E36" s="19"/>
      <c r="F36" s="20" t="str">
        <f aca="false">IF($B36="","",$E36-$D36)</f>
        <v/>
      </c>
      <c r="G36" s="21" t="str">
        <f aca="false">IF(OR($B36="",N($D36)=0),"",$F36/$D36)</f>
        <v/>
      </c>
      <c r="H36" s="22"/>
      <c r="I36" s="22"/>
      <c r="J36" s="21" t="str">
        <f aca="false">IF(OR($H36="",$I36=""),"",$H36-$I36)</f>
        <v/>
      </c>
      <c r="K36" s="23" t="str">
        <f aca="false">IF($B36="","",IF($H36="","Data Pending",IF($H36&gt;=$J$4,"Best Fund",IF($H36&gt;=$J$5,"Need to Improve","Not Performing"))))</f>
        <v/>
      </c>
      <c r="L36" s="24" t="str">
        <f aca="false">IF($K36="","",IF($K36="Data Pending","Enter the 3Y return",IF($K36="Best Fund","Hold / consider top-up",IF($K36="Need to Improve","Watch 2 quarters, then decide","Review with client - switch or exit"))))</f>
        <v/>
      </c>
      <c r="M36" s="18"/>
    </row>
    <row r="37" customFormat="false" ht="15" hidden="false" customHeight="true" outlineLevel="0" collapsed="false">
      <c r="A37" s="18"/>
      <c r="B37" s="18"/>
      <c r="C37" s="18"/>
      <c r="D37" s="19"/>
      <c r="E37" s="19"/>
      <c r="F37" s="20" t="str">
        <f aca="false">IF($B37="","",$E37-$D37)</f>
        <v/>
      </c>
      <c r="G37" s="21" t="str">
        <f aca="false">IF(OR($B37="",N($D37)=0),"",$F37/$D37)</f>
        <v/>
      </c>
      <c r="H37" s="22"/>
      <c r="I37" s="22"/>
      <c r="J37" s="21" t="str">
        <f aca="false">IF(OR($H37="",$I37=""),"",$H37-$I37)</f>
        <v/>
      </c>
      <c r="K37" s="23" t="str">
        <f aca="false">IF($B37="","",IF($H37="","Data Pending",IF($H37&gt;=$J$4,"Best Fund",IF($H37&gt;=$J$5,"Need to Improve","Not Performing"))))</f>
        <v/>
      </c>
      <c r="L37" s="24" t="str">
        <f aca="false">IF($K37="","",IF($K37="Data Pending","Enter the 3Y return",IF($K37="Best Fund","Hold / consider top-up",IF($K37="Need to Improve","Watch 2 quarters, then decide","Review with client - switch or exit"))))</f>
        <v/>
      </c>
      <c r="M37" s="18"/>
    </row>
    <row r="38" customFormat="false" ht="15" hidden="false" customHeight="true" outlineLevel="0" collapsed="false">
      <c r="A38" s="18"/>
      <c r="B38" s="18"/>
      <c r="C38" s="18"/>
      <c r="D38" s="19"/>
      <c r="E38" s="19"/>
      <c r="F38" s="20" t="str">
        <f aca="false">IF($B38="","",$E38-$D38)</f>
        <v/>
      </c>
      <c r="G38" s="21" t="str">
        <f aca="false">IF(OR($B38="",N($D38)=0),"",$F38/$D38)</f>
        <v/>
      </c>
      <c r="H38" s="22"/>
      <c r="I38" s="22"/>
      <c r="J38" s="21" t="str">
        <f aca="false">IF(OR($H38="",$I38=""),"",$H38-$I38)</f>
        <v/>
      </c>
      <c r="K38" s="23" t="str">
        <f aca="false">IF($B38="","",IF($H38="","Data Pending",IF($H38&gt;=$J$4,"Best Fund",IF($H38&gt;=$J$5,"Need to Improve","Not Performing"))))</f>
        <v/>
      </c>
      <c r="L38" s="24" t="str">
        <f aca="false">IF($K38="","",IF($K38="Data Pending","Enter the 3Y return",IF($K38="Best Fund","Hold / consider top-up",IF($K38="Need to Improve","Watch 2 quarters, then decide","Review with client - switch or exit"))))</f>
        <v/>
      </c>
      <c r="M38" s="18"/>
    </row>
    <row r="39" customFormat="false" ht="15" hidden="false" customHeight="true" outlineLevel="0" collapsed="false">
      <c r="A39" s="18"/>
      <c r="B39" s="18"/>
      <c r="C39" s="18"/>
      <c r="D39" s="19"/>
      <c r="E39" s="19"/>
      <c r="F39" s="20" t="str">
        <f aca="false">IF($B39="","",$E39-$D39)</f>
        <v/>
      </c>
      <c r="G39" s="21" t="str">
        <f aca="false">IF(OR($B39="",N($D39)=0),"",$F39/$D39)</f>
        <v/>
      </c>
      <c r="H39" s="22"/>
      <c r="I39" s="22"/>
      <c r="J39" s="21" t="str">
        <f aca="false">IF(OR($H39="",$I39=""),"",$H39-$I39)</f>
        <v/>
      </c>
      <c r="K39" s="23" t="str">
        <f aca="false">IF($B39="","",IF($H39="","Data Pending",IF($H39&gt;=$J$4,"Best Fund",IF($H39&gt;=$J$5,"Need to Improve","Not Performing"))))</f>
        <v/>
      </c>
      <c r="L39" s="24" t="str">
        <f aca="false">IF($K39="","",IF($K39="Data Pending","Enter the 3Y return",IF($K39="Best Fund","Hold / consider top-up",IF($K39="Need to Improve","Watch 2 quarters, then decide","Review with client - switch or exit"))))</f>
        <v/>
      </c>
      <c r="M39" s="18"/>
    </row>
    <row r="40" customFormat="false" ht="15" hidden="false" customHeight="true" outlineLevel="0" collapsed="false">
      <c r="A40" s="18"/>
      <c r="B40" s="18"/>
      <c r="C40" s="18"/>
      <c r="D40" s="19"/>
      <c r="E40" s="19"/>
      <c r="F40" s="20" t="str">
        <f aca="false">IF($B40="","",$E40-$D40)</f>
        <v/>
      </c>
      <c r="G40" s="21" t="str">
        <f aca="false">IF(OR($B40="",N($D40)=0),"",$F40/$D40)</f>
        <v/>
      </c>
      <c r="H40" s="22"/>
      <c r="I40" s="22"/>
      <c r="J40" s="21" t="str">
        <f aca="false">IF(OR($H40="",$I40=""),"",$H40-$I40)</f>
        <v/>
      </c>
      <c r="K40" s="23" t="str">
        <f aca="false">IF($B40="","",IF($H40="","Data Pending",IF($H40&gt;=$J$4,"Best Fund",IF($H40&gt;=$J$5,"Need to Improve","Not Performing"))))</f>
        <v/>
      </c>
      <c r="L40" s="24" t="str">
        <f aca="false">IF($K40="","",IF($K40="Data Pending","Enter the 3Y return",IF($K40="Best Fund","Hold / consider top-up",IF($K40="Need to Improve","Watch 2 quarters, then decide","Review with client - switch or exit"))))</f>
        <v/>
      </c>
      <c r="M40" s="18"/>
    </row>
    <row r="41" customFormat="false" ht="15" hidden="false" customHeight="true" outlineLevel="0" collapsed="false">
      <c r="A41" s="18"/>
      <c r="B41" s="18"/>
      <c r="C41" s="18"/>
      <c r="D41" s="19"/>
      <c r="E41" s="19"/>
      <c r="F41" s="20" t="str">
        <f aca="false">IF($B41="","",$E41-$D41)</f>
        <v/>
      </c>
      <c r="G41" s="21" t="str">
        <f aca="false">IF(OR($B41="",N($D41)=0),"",$F41/$D41)</f>
        <v/>
      </c>
      <c r="H41" s="22"/>
      <c r="I41" s="22"/>
      <c r="J41" s="21" t="str">
        <f aca="false">IF(OR($H41="",$I41=""),"",$H41-$I41)</f>
        <v/>
      </c>
      <c r="K41" s="23" t="str">
        <f aca="false">IF($B41="","",IF($H41="","Data Pending",IF($H41&gt;=$J$4,"Best Fund",IF($H41&gt;=$J$5,"Need to Improve","Not Performing"))))</f>
        <v/>
      </c>
      <c r="L41" s="24" t="str">
        <f aca="false">IF($K41="","",IF($K41="Data Pending","Enter the 3Y return",IF($K41="Best Fund","Hold / consider top-up",IF($K41="Need to Improve","Watch 2 quarters, then decide","Review with client - switch or exit"))))</f>
        <v/>
      </c>
      <c r="M41" s="18"/>
    </row>
    <row r="42" customFormat="false" ht="15" hidden="false" customHeight="true" outlineLevel="0" collapsed="false">
      <c r="A42" s="18"/>
      <c r="B42" s="18"/>
      <c r="C42" s="18"/>
      <c r="D42" s="19"/>
      <c r="E42" s="19"/>
      <c r="F42" s="20" t="str">
        <f aca="false">IF($B42="","",$E42-$D42)</f>
        <v/>
      </c>
      <c r="G42" s="21" t="str">
        <f aca="false">IF(OR($B42="",N($D42)=0),"",$F42/$D42)</f>
        <v/>
      </c>
      <c r="H42" s="22"/>
      <c r="I42" s="22"/>
      <c r="J42" s="21" t="str">
        <f aca="false">IF(OR($H42="",$I42=""),"",$H42-$I42)</f>
        <v/>
      </c>
      <c r="K42" s="23" t="str">
        <f aca="false">IF($B42="","",IF($H42="","Data Pending",IF($H42&gt;=$J$4,"Best Fund",IF($H42&gt;=$J$5,"Need to Improve","Not Performing"))))</f>
        <v/>
      </c>
      <c r="L42" s="24" t="str">
        <f aca="false">IF($K42="","",IF($K42="Data Pending","Enter the 3Y return",IF($K42="Best Fund","Hold / consider top-up",IF($K42="Need to Improve","Watch 2 quarters, then decide","Review with client - switch or exit"))))</f>
        <v/>
      </c>
      <c r="M42" s="18"/>
    </row>
    <row r="43" customFormat="false" ht="15" hidden="false" customHeight="true" outlineLevel="0" collapsed="false">
      <c r="A43" s="18"/>
      <c r="B43" s="18"/>
      <c r="C43" s="18"/>
      <c r="D43" s="19"/>
      <c r="E43" s="19"/>
      <c r="F43" s="20" t="str">
        <f aca="false">IF($B43="","",$E43-$D43)</f>
        <v/>
      </c>
      <c r="G43" s="21" t="str">
        <f aca="false">IF(OR($B43="",N($D43)=0),"",$F43/$D43)</f>
        <v/>
      </c>
      <c r="H43" s="22"/>
      <c r="I43" s="22"/>
      <c r="J43" s="21" t="str">
        <f aca="false">IF(OR($H43="",$I43=""),"",$H43-$I43)</f>
        <v/>
      </c>
      <c r="K43" s="23" t="str">
        <f aca="false">IF($B43="","",IF($H43="","Data Pending",IF($H43&gt;=$J$4,"Best Fund",IF($H43&gt;=$J$5,"Need to Improve","Not Performing"))))</f>
        <v/>
      </c>
      <c r="L43" s="24" t="str">
        <f aca="false">IF($K43="","",IF($K43="Data Pending","Enter the 3Y return",IF($K43="Best Fund","Hold / consider top-up",IF($K43="Need to Improve","Watch 2 quarters, then decide","Review with client - switch or exit"))))</f>
        <v/>
      </c>
      <c r="M43" s="18"/>
    </row>
    <row r="44" customFormat="false" ht="15" hidden="false" customHeight="true" outlineLevel="0" collapsed="false">
      <c r="A44" s="18"/>
      <c r="B44" s="18"/>
      <c r="C44" s="18"/>
      <c r="D44" s="19"/>
      <c r="E44" s="19"/>
      <c r="F44" s="20" t="str">
        <f aca="false">IF($B44="","",$E44-$D44)</f>
        <v/>
      </c>
      <c r="G44" s="21" t="str">
        <f aca="false">IF(OR($B44="",N($D44)=0),"",$F44/$D44)</f>
        <v/>
      </c>
      <c r="H44" s="22"/>
      <c r="I44" s="22"/>
      <c r="J44" s="21" t="str">
        <f aca="false">IF(OR($H44="",$I44=""),"",$H44-$I44)</f>
        <v/>
      </c>
      <c r="K44" s="23" t="str">
        <f aca="false">IF($B44="","",IF($H44="","Data Pending",IF($H44&gt;=$J$4,"Best Fund",IF($H44&gt;=$J$5,"Need to Improve","Not Performing"))))</f>
        <v/>
      </c>
      <c r="L44" s="24" t="str">
        <f aca="false">IF($K44="","",IF($K44="Data Pending","Enter the 3Y return",IF($K44="Best Fund","Hold / consider top-up",IF($K44="Need to Improve","Watch 2 quarters, then decide","Review with client - switch or exit"))))</f>
        <v/>
      </c>
      <c r="M44" s="18"/>
    </row>
    <row r="45" customFormat="false" ht="15" hidden="false" customHeight="true" outlineLevel="0" collapsed="false">
      <c r="A45" s="18"/>
      <c r="B45" s="18"/>
      <c r="C45" s="18"/>
      <c r="D45" s="19"/>
      <c r="E45" s="19"/>
      <c r="F45" s="20" t="str">
        <f aca="false">IF($B45="","",$E45-$D45)</f>
        <v/>
      </c>
      <c r="G45" s="21" t="str">
        <f aca="false">IF(OR($B45="",N($D45)=0),"",$F45/$D45)</f>
        <v/>
      </c>
      <c r="H45" s="22"/>
      <c r="I45" s="22"/>
      <c r="J45" s="21" t="str">
        <f aca="false">IF(OR($H45="",$I45=""),"",$H45-$I45)</f>
        <v/>
      </c>
      <c r="K45" s="23" t="str">
        <f aca="false">IF($B45="","",IF($H45="","Data Pending",IF($H45&gt;=$J$4,"Best Fund",IF($H45&gt;=$J$5,"Need to Improve","Not Performing"))))</f>
        <v/>
      </c>
      <c r="L45" s="24" t="str">
        <f aca="false">IF($K45="","",IF($K45="Data Pending","Enter the 3Y return",IF($K45="Best Fund","Hold / consider top-up",IF($K45="Need to Improve","Watch 2 quarters, then decide","Review with client - switch or exit"))))</f>
        <v/>
      </c>
      <c r="M45" s="18"/>
    </row>
    <row r="46" customFormat="false" ht="15" hidden="false" customHeight="true" outlineLevel="0" collapsed="false">
      <c r="A46" s="18"/>
      <c r="B46" s="18"/>
      <c r="C46" s="18"/>
      <c r="D46" s="19"/>
      <c r="E46" s="19"/>
      <c r="F46" s="20" t="str">
        <f aca="false">IF($B46="","",$E46-$D46)</f>
        <v/>
      </c>
      <c r="G46" s="21" t="str">
        <f aca="false">IF(OR($B46="",N($D46)=0),"",$F46/$D46)</f>
        <v/>
      </c>
      <c r="H46" s="22"/>
      <c r="I46" s="22"/>
      <c r="J46" s="21" t="str">
        <f aca="false">IF(OR($H46="",$I46=""),"",$H46-$I46)</f>
        <v/>
      </c>
      <c r="K46" s="23" t="str">
        <f aca="false">IF($B46="","",IF($H46="","Data Pending",IF($H46&gt;=$J$4,"Best Fund",IF($H46&gt;=$J$5,"Need to Improve","Not Performing"))))</f>
        <v/>
      </c>
      <c r="L46" s="24" t="str">
        <f aca="false">IF($K46="","",IF($K46="Data Pending","Enter the 3Y return",IF($K46="Best Fund","Hold / consider top-up",IF($K46="Need to Improve","Watch 2 quarters, then decide","Review with client - switch or exit"))))</f>
        <v/>
      </c>
      <c r="M46" s="18"/>
    </row>
    <row r="47" customFormat="false" ht="15" hidden="false" customHeight="true" outlineLevel="0" collapsed="false">
      <c r="A47" s="18"/>
      <c r="B47" s="18"/>
      <c r="C47" s="18"/>
      <c r="D47" s="19"/>
      <c r="E47" s="19"/>
      <c r="F47" s="20" t="str">
        <f aca="false">IF($B47="","",$E47-$D47)</f>
        <v/>
      </c>
      <c r="G47" s="21" t="str">
        <f aca="false">IF(OR($B47="",N($D47)=0),"",$F47/$D47)</f>
        <v/>
      </c>
      <c r="H47" s="22"/>
      <c r="I47" s="22"/>
      <c r="J47" s="21" t="str">
        <f aca="false">IF(OR($H47="",$I47=""),"",$H47-$I47)</f>
        <v/>
      </c>
      <c r="K47" s="23" t="str">
        <f aca="false">IF($B47="","",IF($H47="","Data Pending",IF($H47&gt;=$J$4,"Best Fund",IF($H47&gt;=$J$5,"Need to Improve","Not Performing"))))</f>
        <v/>
      </c>
      <c r="L47" s="24" t="str">
        <f aca="false">IF($K47="","",IF($K47="Data Pending","Enter the 3Y return",IF($K47="Best Fund","Hold / consider top-up",IF($K47="Need to Improve","Watch 2 quarters, then decide","Review with client - switch or exit"))))</f>
        <v/>
      </c>
      <c r="M47" s="18"/>
    </row>
    <row r="48" customFormat="false" ht="15" hidden="false" customHeight="true" outlineLevel="0" collapsed="false">
      <c r="A48" s="18"/>
      <c r="B48" s="18"/>
      <c r="C48" s="18"/>
      <c r="D48" s="19"/>
      <c r="E48" s="19"/>
      <c r="F48" s="20" t="str">
        <f aca="false">IF($B48="","",$E48-$D48)</f>
        <v/>
      </c>
      <c r="G48" s="21" t="str">
        <f aca="false">IF(OR($B48="",N($D48)=0),"",$F48/$D48)</f>
        <v/>
      </c>
      <c r="H48" s="22"/>
      <c r="I48" s="22"/>
      <c r="J48" s="21" t="str">
        <f aca="false">IF(OR($H48="",$I48=""),"",$H48-$I48)</f>
        <v/>
      </c>
      <c r="K48" s="23" t="str">
        <f aca="false">IF($B48="","",IF($H48="","Data Pending",IF($H48&gt;=$J$4,"Best Fund",IF($H48&gt;=$J$5,"Need to Improve","Not Performing"))))</f>
        <v/>
      </c>
      <c r="L48" s="24" t="str">
        <f aca="false">IF($K48="","",IF($K48="Data Pending","Enter the 3Y return",IF($K48="Best Fund","Hold / consider top-up",IF($K48="Need to Improve","Watch 2 quarters, then decide","Review with client - switch or exit"))))</f>
        <v/>
      </c>
      <c r="M48" s="18"/>
    </row>
    <row r="49" customFormat="false" ht="15" hidden="false" customHeight="true" outlineLevel="0" collapsed="false">
      <c r="A49" s="18"/>
      <c r="B49" s="18"/>
      <c r="C49" s="18"/>
      <c r="D49" s="19"/>
      <c r="E49" s="19"/>
      <c r="F49" s="20" t="str">
        <f aca="false">IF($B49="","",$E49-$D49)</f>
        <v/>
      </c>
      <c r="G49" s="21" t="str">
        <f aca="false">IF(OR($B49="",N($D49)=0),"",$F49/$D49)</f>
        <v/>
      </c>
      <c r="H49" s="22"/>
      <c r="I49" s="22"/>
      <c r="J49" s="21" t="str">
        <f aca="false">IF(OR($H49="",$I49=""),"",$H49-$I49)</f>
        <v/>
      </c>
      <c r="K49" s="23" t="str">
        <f aca="false">IF($B49="","",IF($H49="","Data Pending",IF($H49&gt;=$J$4,"Best Fund",IF($H49&gt;=$J$5,"Need to Improve","Not Performing"))))</f>
        <v/>
      </c>
      <c r="L49" s="24" t="str">
        <f aca="false">IF($K49="","",IF($K49="Data Pending","Enter the 3Y return",IF($K49="Best Fund","Hold / consider top-up",IF($K49="Need to Improve","Watch 2 quarters, then decide","Review with client - switch or exit"))))</f>
        <v/>
      </c>
      <c r="M49" s="18"/>
    </row>
    <row r="50" customFormat="false" ht="15" hidden="false" customHeight="true" outlineLevel="0" collapsed="false">
      <c r="A50" s="18"/>
      <c r="B50" s="18"/>
      <c r="C50" s="18"/>
      <c r="D50" s="19"/>
      <c r="E50" s="19"/>
      <c r="F50" s="20" t="str">
        <f aca="false">IF($B50="","",$E50-$D50)</f>
        <v/>
      </c>
      <c r="G50" s="21" t="str">
        <f aca="false">IF(OR($B50="",N($D50)=0),"",$F50/$D50)</f>
        <v/>
      </c>
      <c r="H50" s="22"/>
      <c r="I50" s="22"/>
      <c r="J50" s="21" t="str">
        <f aca="false">IF(OR($H50="",$I50=""),"",$H50-$I50)</f>
        <v/>
      </c>
      <c r="K50" s="23" t="str">
        <f aca="false">IF($B50="","",IF($H50="","Data Pending",IF($H50&gt;=$J$4,"Best Fund",IF($H50&gt;=$J$5,"Need to Improve","Not Performing"))))</f>
        <v/>
      </c>
      <c r="L50" s="24" t="str">
        <f aca="false">IF($K50="","",IF($K50="Data Pending","Enter the 3Y return",IF($K50="Best Fund","Hold / consider top-up",IF($K50="Need to Improve","Watch 2 quarters, then decide","Review with client - switch or exit"))))</f>
        <v/>
      </c>
      <c r="M50" s="18"/>
    </row>
    <row r="51" customFormat="false" ht="15" hidden="false" customHeight="true" outlineLevel="0" collapsed="false">
      <c r="A51" s="18"/>
      <c r="B51" s="18"/>
      <c r="C51" s="18"/>
      <c r="D51" s="19"/>
      <c r="E51" s="19"/>
      <c r="F51" s="20" t="str">
        <f aca="false">IF($B51="","",$E51-$D51)</f>
        <v/>
      </c>
      <c r="G51" s="21" t="str">
        <f aca="false">IF(OR($B51="",N($D51)=0),"",$F51/$D51)</f>
        <v/>
      </c>
      <c r="H51" s="22"/>
      <c r="I51" s="22"/>
      <c r="J51" s="21" t="str">
        <f aca="false">IF(OR($H51="",$I51=""),"",$H51-$I51)</f>
        <v/>
      </c>
      <c r="K51" s="23" t="str">
        <f aca="false">IF($B51="","",IF($H51="","Data Pending",IF($H51&gt;=$J$4,"Best Fund",IF($H51&gt;=$J$5,"Need to Improve","Not Performing"))))</f>
        <v/>
      </c>
      <c r="L51" s="24" t="str">
        <f aca="false">IF($K51="","",IF($K51="Data Pending","Enter the 3Y return",IF($K51="Best Fund","Hold / consider top-up",IF($K51="Need to Improve","Watch 2 quarters, then decide","Review with client - switch or exit"))))</f>
        <v/>
      </c>
      <c r="M51" s="18"/>
    </row>
    <row r="52" customFormat="false" ht="15" hidden="false" customHeight="true" outlineLevel="0" collapsed="false">
      <c r="A52" s="18"/>
      <c r="B52" s="18"/>
      <c r="C52" s="18"/>
      <c r="D52" s="19"/>
      <c r="E52" s="19"/>
      <c r="F52" s="20" t="str">
        <f aca="false">IF($B52="","",$E52-$D52)</f>
        <v/>
      </c>
      <c r="G52" s="21" t="str">
        <f aca="false">IF(OR($B52="",N($D52)=0),"",$F52/$D52)</f>
        <v/>
      </c>
      <c r="H52" s="22"/>
      <c r="I52" s="22"/>
      <c r="J52" s="21" t="str">
        <f aca="false">IF(OR($H52="",$I52=""),"",$H52-$I52)</f>
        <v/>
      </c>
      <c r="K52" s="23" t="str">
        <f aca="false">IF($B52="","",IF($H52="","Data Pending",IF($H52&gt;=$J$4,"Best Fund",IF($H52&gt;=$J$5,"Need to Improve","Not Performing"))))</f>
        <v/>
      </c>
      <c r="L52" s="24" t="str">
        <f aca="false">IF($K52="","",IF($K52="Data Pending","Enter the 3Y return",IF($K52="Best Fund","Hold / consider top-up",IF($K52="Need to Improve","Watch 2 quarters, then decide","Review with client - switch or exit"))))</f>
        <v/>
      </c>
      <c r="M52" s="18"/>
    </row>
    <row r="53" customFormat="false" ht="15" hidden="false" customHeight="true" outlineLevel="0" collapsed="false">
      <c r="A53" s="18"/>
      <c r="B53" s="18"/>
      <c r="C53" s="18"/>
      <c r="D53" s="19"/>
      <c r="E53" s="19"/>
      <c r="F53" s="20" t="str">
        <f aca="false">IF($B53="","",$E53-$D53)</f>
        <v/>
      </c>
      <c r="G53" s="21" t="str">
        <f aca="false">IF(OR($B53="",N($D53)=0),"",$F53/$D53)</f>
        <v/>
      </c>
      <c r="H53" s="22"/>
      <c r="I53" s="22"/>
      <c r="J53" s="21" t="str">
        <f aca="false">IF(OR($H53="",$I53=""),"",$H53-$I53)</f>
        <v/>
      </c>
      <c r="K53" s="23" t="str">
        <f aca="false">IF($B53="","",IF($H53="","Data Pending",IF($H53&gt;=$J$4,"Best Fund",IF($H53&gt;=$J$5,"Need to Improve","Not Performing"))))</f>
        <v/>
      </c>
      <c r="L53" s="24" t="str">
        <f aca="false">IF($K53="","",IF($K53="Data Pending","Enter the 3Y return",IF($K53="Best Fund","Hold / consider top-up",IF($K53="Need to Improve","Watch 2 quarters, then decide","Review with client - switch or exit"))))</f>
        <v/>
      </c>
      <c r="M53" s="18"/>
    </row>
    <row r="54" customFormat="false" ht="15" hidden="false" customHeight="true" outlineLevel="0" collapsed="false">
      <c r="A54" s="18"/>
      <c r="B54" s="18"/>
      <c r="C54" s="18"/>
      <c r="D54" s="19"/>
      <c r="E54" s="19"/>
      <c r="F54" s="20" t="str">
        <f aca="false">IF($B54="","",$E54-$D54)</f>
        <v/>
      </c>
      <c r="G54" s="21" t="str">
        <f aca="false">IF(OR($B54="",N($D54)=0),"",$F54/$D54)</f>
        <v/>
      </c>
      <c r="H54" s="22"/>
      <c r="I54" s="22"/>
      <c r="J54" s="21" t="str">
        <f aca="false">IF(OR($H54="",$I54=""),"",$H54-$I54)</f>
        <v/>
      </c>
      <c r="K54" s="23" t="str">
        <f aca="false">IF($B54="","",IF($H54="","Data Pending",IF($H54&gt;=$J$4,"Best Fund",IF($H54&gt;=$J$5,"Need to Improve","Not Performing"))))</f>
        <v/>
      </c>
      <c r="L54" s="24" t="str">
        <f aca="false">IF($K54="","",IF($K54="Data Pending","Enter the 3Y return",IF($K54="Best Fund","Hold / consider top-up",IF($K54="Need to Improve","Watch 2 quarters, then decide","Review with client - switch or exit"))))</f>
        <v/>
      </c>
      <c r="M54" s="18"/>
    </row>
    <row r="55" customFormat="false" ht="15" hidden="false" customHeight="true" outlineLevel="0" collapsed="false">
      <c r="A55" s="18"/>
      <c r="B55" s="18"/>
      <c r="C55" s="18"/>
      <c r="D55" s="19"/>
      <c r="E55" s="19"/>
      <c r="F55" s="20" t="str">
        <f aca="false">IF($B55="","",$E55-$D55)</f>
        <v/>
      </c>
      <c r="G55" s="21" t="str">
        <f aca="false">IF(OR($B55="",N($D55)=0),"",$F55/$D55)</f>
        <v/>
      </c>
      <c r="H55" s="22"/>
      <c r="I55" s="22"/>
      <c r="J55" s="21" t="str">
        <f aca="false">IF(OR($H55="",$I55=""),"",$H55-$I55)</f>
        <v/>
      </c>
      <c r="K55" s="23" t="str">
        <f aca="false">IF($B55="","",IF($H55="","Data Pending",IF($H55&gt;=$J$4,"Best Fund",IF($H55&gt;=$J$5,"Need to Improve","Not Performing"))))</f>
        <v/>
      </c>
      <c r="L55" s="24" t="str">
        <f aca="false">IF($K55="","",IF($K55="Data Pending","Enter the 3Y return",IF($K55="Best Fund","Hold / consider top-up",IF($K55="Need to Improve","Watch 2 quarters, then decide","Review with client - switch or exit"))))</f>
        <v/>
      </c>
      <c r="M55" s="18"/>
    </row>
    <row r="56" customFormat="false" ht="15" hidden="false" customHeight="true" outlineLevel="0" collapsed="false">
      <c r="A56" s="18"/>
      <c r="B56" s="18"/>
      <c r="C56" s="18"/>
      <c r="D56" s="19"/>
      <c r="E56" s="19"/>
      <c r="F56" s="20" t="str">
        <f aca="false">IF($B56="","",$E56-$D56)</f>
        <v/>
      </c>
      <c r="G56" s="21" t="str">
        <f aca="false">IF(OR($B56="",N($D56)=0),"",$F56/$D56)</f>
        <v/>
      </c>
      <c r="H56" s="22"/>
      <c r="I56" s="22"/>
      <c r="J56" s="21" t="str">
        <f aca="false">IF(OR($H56="",$I56=""),"",$H56-$I56)</f>
        <v/>
      </c>
      <c r="K56" s="23" t="str">
        <f aca="false">IF($B56="","",IF($H56="","Data Pending",IF($H56&gt;=$J$4,"Best Fund",IF($H56&gt;=$J$5,"Need to Improve","Not Performing"))))</f>
        <v/>
      </c>
      <c r="L56" s="24" t="str">
        <f aca="false">IF($K56="","",IF($K56="Data Pending","Enter the 3Y return",IF($K56="Best Fund","Hold / consider top-up",IF($K56="Need to Improve","Watch 2 quarters, then decide","Review with client - switch or exit"))))</f>
        <v/>
      </c>
      <c r="M56" s="18"/>
    </row>
    <row r="57" customFormat="false" ht="15" hidden="false" customHeight="true" outlineLevel="0" collapsed="false">
      <c r="A57" s="18"/>
      <c r="B57" s="18"/>
      <c r="C57" s="18"/>
      <c r="D57" s="19"/>
      <c r="E57" s="19"/>
      <c r="F57" s="20" t="str">
        <f aca="false">IF($B57="","",$E57-$D57)</f>
        <v/>
      </c>
      <c r="G57" s="21" t="str">
        <f aca="false">IF(OR($B57="",N($D57)=0),"",$F57/$D57)</f>
        <v/>
      </c>
      <c r="H57" s="22"/>
      <c r="I57" s="22"/>
      <c r="J57" s="21" t="str">
        <f aca="false">IF(OR($H57="",$I57=""),"",$H57-$I57)</f>
        <v/>
      </c>
      <c r="K57" s="23" t="str">
        <f aca="false">IF($B57="","",IF($H57="","Data Pending",IF($H57&gt;=$J$4,"Best Fund",IF($H57&gt;=$J$5,"Need to Improve","Not Performing"))))</f>
        <v/>
      </c>
      <c r="L57" s="24" t="str">
        <f aca="false">IF($K57="","",IF($K57="Data Pending","Enter the 3Y return",IF($K57="Best Fund","Hold / consider top-up",IF($K57="Need to Improve","Watch 2 quarters, then decide","Review with client - switch or exit"))))</f>
        <v/>
      </c>
      <c r="M57" s="18"/>
    </row>
    <row r="58" customFormat="false" ht="15" hidden="false" customHeight="true" outlineLevel="0" collapsed="false">
      <c r="A58" s="18"/>
      <c r="B58" s="18"/>
      <c r="C58" s="18"/>
      <c r="D58" s="19"/>
      <c r="E58" s="19"/>
      <c r="F58" s="20" t="str">
        <f aca="false">IF($B58="","",$E58-$D58)</f>
        <v/>
      </c>
      <c r="G58" s="21" t="str">
        <f aca="false">IF(OR($B58="",N($D58)=0),"",$F58/$D58)</f>
        <v/>
      </c>
      <c r="H58" s="22"/>
      <c r="I58" s="22"/>
      <c r="J58" s="21" t="str">
        <f aca="false">IF(OR($H58="",$I58=""),"",$H58-$I58)</f>
        <v/>
      </c>
      <c r="K58" s="23" t="str">
        <f aca="false">IF($B58="","",IF($H58="","Data Pending",IF($H58&gt;=$J$4,"Best Fund",IF($H58&gt;=$J$5,"Need to Improve","Not Performing"))))</f>
        <v/>
      </c>
      <c r="L58" s="24" t="str">
        <f aca="false">IF($K58="","",IF($K58="Data Pending","Enter the 3Y return",IF($K58="Best Fund","Hold / consider top-up",IF($K58="Need to Improve","Watch 2 quarters, then decide","Review with client - switch or exit"))))</f>
        <v/>
      </c>
      <c r="M58" s="18"/>
    </row>
    <row r="59" customFormat="false" ht="15" hidden="false" customHeight="true" outlineLevel="0" collapsed="false">
      <c r="A59" s="18"/>
      <c r="B59" s="18"/>
      <c r="C59" s="18"/>
      <c r="D59" s="19"/>
      <c r="E59" s="19"/>
      <c r="F59" s="20" t="str">
        <f aca="false">IF($B59="","",$E59-$D59)</f>
        <v/>
      </c>
      <c r="G59" s="21" t="str">
        <f aca="false">IF(OR($B59="",N($D59)=0),"",$F59/$D59)</f>
        <v/>
      </c>
      <c r="H59" s="22"/>
      <c r="I59" s="22"/>
      <c r="J59" s="21" t="str">
        <f aca="false">IF(OR($H59="",$I59=""),"",$H59-$I59)</f>
        <v/>
      </c>
      <c r="K59" s="23" t="str">
        <f aca="false">IF($B59="","",IF($H59="","Data Pending",IF($H59&gt;=$J$4,"Best Fund",IF($H59&gt;=$J$5,"Need to Improve","Not Performing"))))</f>
        <v/>
      </c>
      <c r="L59" s="24" t="str">
        <f aca="false">IF($K59="","",IF($K59="Data Pending","Enter the 3Y return",IF($K59="Best Fund","Hold / consider top-up",IF($K59="Need to Improve","Watch 2 quarters, then decide","Review with client - switch or exit"))))</f>
        <v/>
      </c>
      <c r="M59" s="18"/>
    </row>
    <row r="60" customFormat="false" ht="15" hidden="false" customHeight="true" outlineLevel="0" collapsed="false">
      <c r="A60" s="18"/>
      <c r="B60" s="18"/>
      <c r="C60" s="18"/>
      <c r="D60" s="19"/>
      <c r="E60" s="19"/>
      <c r="F60" s="20" t="str">
        <f aca="false">IF($B60="","",$E60-$D60)</f>
        <v/>
      </c>
      <c r="G60" s="21" t="str">
        <f aca="false">IF(OR($B60="",N($D60)=0),"",$F60/$D60)</f>
        <v/>
      </c>
      <c r="H60" s="22"/>
      <c r="I60" s="22"/>
      <c r="J60" s="21" t="str">
        <f aca="false">IF(OR($H60="",$I60=""),"",$H60-$I60)</f>
        <v/>
      </c>
      <c r="K60" s="23" t="str">
        <f aca="false">IF($B60="","",IF($H60="","Data Pending",IF($H60&gt;=$J$4,"Best Fund",IF($H60&gt;=$J$5,"Need to Improve","Not Performing"))))</f>
        <v/>
      </c>
      <c r="L60" s="24" t="str">
        <f aca="false">IF($K60="","",IF($K60="Data Pending","Enter the 3Y return",IF($K60="Best Fund","Hold / consider top-up",IF($K60="Need to Improve","Watch 2 quarters, then decide","Review with client - switch or exit"))))</f>
        <v/>
      </c>
      <c r="M60" s="18"/>
    </row>
    <row r="61" customFormat="false" ht="15" hidden="false" customHeight="true" outlineLevel="0" collapsed="false">
      <c r="A61" s="18"/>
      <c r="B61" s="18"/>
      <c r="C61" s="18"/>
      <c r="D61" s="19"/>
      <c r="E61" s="19"/>
      <c r="F61" s="20" t="str">
        <f aca="false">IF($B61="","",$E61-$D61)</f>
        <v/>
      </c>
      <c r="G61" s="21" t="str">
        <f aca="false">IF(OR($B61="",N($D61)=0),"",$F61/$D61)</f>
        <v/>
      </c>
      <c r="H61" s="22"/>
      <c r="I61" s="22"/>
      <c r="J61" s="21" t="str">
        <f aca="false">IF(OR($H61="",$I61=""),"",$H61-$I61)</f>
        <v/>
      </c>
      <c r="K61" s="23" t="str">
        <f aca="false">IF($B61="","",IF($H61="","Data Pending",IF($H61&gt;=$J$4,"Best Fund",IF($H61&gt;=$J$5,"Need to Improve","Not Performing"))))</f>
        <v/>
      </c>
      <c r="L61" s="24" t="str">
        <f aca="false">IF($K61="","",IF($K61="Data Pending","Enter the 3Y return",IF($K61="Best Fund","Hold / consider top-up",IF($K61="Need to Improve","Watch 2 quarters, then decide","Review with client - switch or exit"))))</f>
        <v/>
      </c>
      <c r="M61" s="18"/>
    </row>
    <row r="62" customFormat="false" ht="15" hidden="false" customHeight="true" outlineLevel="0" collapsed="false">
      <c r="A62" s="18"/>
      <c r="B62" s="18"/>
      <c r="C62" s="18"/>
      <c r="D62" s="19"/>
      <c r="E62" s="19"/>
      <c r="F62" s="20" t="str">
        <f aca="false">IF($B62="","",$E62-$D62)</f>
        <v/>
      </c>
      <c r="G62" s="21" t="str">
        <f aca="false">IF(OR($B62="",N($D62)=0),"",$F62/$D62)</f>
        <v/>
      </c>
      <c r="H62" s="22"/>
      <c r="I62" s="22"/>
      <c r="J62" s="21" t="str">
        <f aca="false">IF(OR($H62="",$I62=""),"",$H62-$I62)</f>
        <v/>
      </c>
      <c r="K62" s="23" t="str">
        <f aca="false">IF($B62="","",IF($H62="","Data Pending",IF($H62&gt;=$J$4,"Best Fund",IF($H62&gt;=$J$5,"Need to Improve","Not Performing"))))</f>
        <v/>
      </c>
      <c r="L62" s="24" t="str">
        <f aca="false">IF($K62="","",IF($K62="Data Pending","Enter the 3Y return",IF($K62="Best Fund","Hold / consider top-up",IF($K62="Need to Improve","Watch 2 quarters, then decide","Review with client - switch or exit"))))</f>
        <v/>
      </c>
      <c r="M62" s="18"/>
    </row>
    <row r="63" customFormat="false" ht="15" hidden="false" customHeight="true" outlineLevel="0" collapsed="false">
      <c r="A63" s="18"/>
      <c r="B63" s="18"/>
      <c r="C63" s="18"/>
      <c r="D63" s="19"/>
      <c r="E63" s="19"/>
      <c r="F63" s="20" t="str">
        <f aca="false">IF($B63="","",$E63-$D63)</f>
        <v/>
      </c>
      <c r="G63" s="21" t="str">
        <f aca="false">IF(OR($B63="",N($D63)=0),"",$F63/$D63)</f>
        <v/>
      </c>
      <c r="H63" s="22"/>
      <c r="I63" s="22"/>
      <c r="J63" s="21" t="str">
        <f aca="false">IF(OR($H63="",$I63=""),"",$H63-$I63)</f>
        <v/>
      </c>
      <c r="K63" s="23" t="str">
        <f aca="false">IF($B63="","",IF($H63="","Data Pending",IF($H63&gt;=$J$4,"Best Fund",IF($H63&gt;=$J$5,"Need to Improve","Not Performing"))))</f>
        <v/>
      </c>
      <c r="L63" s="24" t="str">
        <f aca="false">IF($K63="","",IF($K63="Data Pending","Enter the 3Y return",IF($K63="Best Fund","Hold / consider top-up",IF($K63="Need to Improve","Watch 2 quarters, then decide","Review with client - switch or exit"))))</f>
        <v/>
      </c>
      <c r="M63" s="18"/>
    </row>
    <row r="64" customFormat="false" ht="15" hidden="false" customHeight="true" outlineLevel="0" collapsed="false">
      <c r="A64" s="18"/>
      <c r="B64" s="18"/>
      <c r="C64" s="18"/>
      <c r="D64" s="19"/>
      <c r="E64" s="19"/>
      <c r="F64" s="20" t="str">
        <f aca="false">IF($B64="","",$E64-$D64)</f>
        <v/>
      </c>
      <c r="G64" s="21" t="str">
        <f aca="false">IF(OR($B64="",N($D64)=0),"",$F64/$D64)</f>
        <v/>
      </c>
      <c r="H64" s="22"/>
      <c r="I64" s="22"/>
      <c r="J64" s="21" t="str">
        <f aca="false">IF(OR($H64="",$I64=""),"",$H64-$I64)</f>
        <v/>
      </c>
      <c r="K64" s="23" t="str">
        <f aca="false">IF($B64="","",IF($H64="","Data Pending",IF($H64&gt;=$J$4,"Best Fund",IF($H64&gt;=$J$5,"Need to Improve","Not Performing"))))</f>
        <v/>
      </c>
      <c r="L64" s="24" t="str">
        <f aca="false">IF($K64="","",IF($K64="Data Pending","Enter the 3Y return",IF($K64="Best Fund","Hold / consider top-up",IF($K64="Need to Improve","Watch 2 quarters, then decide","Review with client - switch or exit"))))</f>
        <v/>
      </c>
      <c r="M64" s="18"/>
    </row>
    <row r="65" customFormat="false" ht="15" hidden="false" customHeight="true" outlineLevel="0" collapsed="false">
      <c r="A65" s="18"/>
      <c r="B65" s="18"/>
      <c r="C65" s="18"/>
      <c r="D65" s="19"/>
      <c r="E65" s="19"/>
      <c r="F65" s="20" t="str">
        <f aca="false">IF($B65="","",$E65-$D65)</f>
        <v/>
      </c>
      <c r="G65" s="21" t="str">
        <f aca="false">IF(OR($B65="",N($D65)=0),"",$F65/$D65)</f>
        <v/>
      </c>
      <c r="H65" s="22"/>
      <c r="I65" s="22"/>
      <c r="J65" s="21" t="str">
        <f aca="false">IF(OR($H65="",$I65=""),"",$H65-$I65)</f>
        <v/>
      </c>
      <c r="K65" s="23" t="str">
        <f aca="false">IF($B65="","",IF($H65="","Data Pending",IF($H65&gt;=$J$4,"Best Fund",IF($H65&gt;=$J$5,"Need to Improve","Not Performing"))))</f>
        <v/>
      </c>
      <c r="L65" s="24" t="str">
        <f aca="false">IF($K65="","",IF($K65="Data Pending","Enter the 3Y return",IF($K65="Best Fund","Hold / consider top-up",IF($K65="Need to Improve","Watch 2 quarters, then decide","Review with client - switch or exit"))))</f>
        <v/>
      </c>
      <c r="M65" s="18"/>
    </row>
    <row r="66" customFormat="false" ht="15" hidden="false" customHeight="true" outlineLevel="0" collapsed="false">
      <c r="A66" s="18"/>
      <c r="B66" s="18"/>
      <c r="C66" s="18"/>
      <c r="D66" s="19"/>
      <c r="E66" s="19"/>
      <c r="F66" s="20" t="str">
        <f aca="false">IF($B66="","",$E66-$D66)</f>
        <v/>
      </c>
      <c r="G66" s="21" t="str">
        <f aca="false">IF(OR($B66="",N($D66)=0),"",$F66/$D66)</f>
        <v/>
      </c>
      <c r="H66" s="22"/>
      <c r="I66" s="22"/>
      <c r="J66" s="21" t="str">
        <f aca="false">IF(OR($H66="",$I66=""),"",$H66-$I66)</f>
        <v/>
      </c>
      <c r="K66" s="23" t="str">
        <f aca="false">IF($B66="","",IF($H66="","Data Pending",IF($H66&gt;=$J$4,"Best Fund",IF($H66&gt;=$J$5,"Need to Improve","Not Performing"))))</f>
        <v/>
      </c>
      <c r="L66" s="24" t="str">
        <f aca="false">IF($K66="","",IF($K66="Data Pending","Enter the 3Y return",IF($K66="Best Fund","Hold / consider top-up",IF($K66="Need to Improve","Watch 2 quarters, then decide","Review with client - switch or exit"))))</f>
        <v/>
      </c>
      <c r="M66" s="18"/>
    </row>
    <row r="67" customFormat="false" ht="15" hidden="false" customHeight="true" outlineLevel="0" collapsed="false">
      <c r="A67" s="18"/>
      <c r="B67" s="18"/>
      <c r="C67" s="18"/>
      <c r="D67" s="19"/>
      <c r="E67" s="19"/>
      <c r="F67" s="20" t="str">
        <f aca="false">IF($B67="","",$E67-$D67)</f>
        <v/>
      </c>
      <c r="G67" s="21" t="str">
        <f aca="false">IF(OR($B67="",N($D67)=0),"",$F67/$D67)</f>
        <v/>
      </c>
      <c r="H67" s="22"/>
      <c r="I67" s="22"/>
      <c r="J67" s="21" t="str">
        <f aca="false">IF(OR($H67="",$I67=""),"",$H67-$I67)</f>
        <v/>
      </c>
      <c r="K67" s="23" t="str">
        <f aca="false">IF($B67="","",IF($H67="","Data Pending",IF($H67&gt;=$J$4,"Best Fund",IF($H67&gt;=$J$5,"Need to Improve","Not Performing"))))</f>
        <v/>
      </c>
      <c r="L67" s="24" t="str">
        <f aca="false">IF($K67="","",IF($K67="Data Pending","Enter the 3Y return",IF($K67="Best Fund","Hold / consider top-up",IF($K67="Need to Improve","Watch 2 quarters, then decide","Review with client - switch or exit"))))</f>
        <v/>
      </c>
      <c r="M67" s="18"/>
    </row>
    <row r="68" customFormat="false" ht="15" hidden="false" customHeight="true" outlineLevel="0" collapsed="false">
      <c r="A68" s="18"/>
      <c r="B68" s="18"/>
      <c r="C68" s="18"/>
      <c r="D68" s="19"/>
      <c r="E68" s="19"/>
      <c r="F68" s="20" t="str">
        <f aca="false">IF($B68="","",$E68-$D68)</f>
        <v/>
      </c>
      <c r="G68" s="21" t="str">
        <f aca="false">IF(OR($B68="",N($D68)=0),"",$F68/$D68)</f>
        <v/>
      </c>
      <c r="H68" s="22"/>
      <c r="I68" s="22"/>
      <c r="J68" s="21" t="str">
        <f aca="false">IF(OR($H68="",$I68=""),"",$H68-$I68)</f>
        <v/>
      </c>
      <c r="K68" s="23" t="str">
        <f aca="false">IF($B68="","",IF($H68="","Data Pending",IF($H68&gt;=$J$4,"Best Fund",IF($H68&gt;=$J$5,"Need to Improve","Not Performing"))))</f>
        <v/>
      </c>
      <c r="L68" s="24" t="str">
        <f aca="false">IF($K68="","",IF($K68="Data Pending","Enter the 3Y return",IF($K68="Best Fund","Hold / consider top-up",IF($K68="Need to Improve","Watch 2 quarters, then decide","Review with client - switch or exit"))))</f>
        <v/>
      </c>
      <c r="M68" s="18"/>
    </row>
    <row r="69" customFormat="false" ht="15" hidden="false" customHeight="true" outlineLevel="0" collapsed="false">
      <c r="A69" s="18"/>
      <c r="B69" s="18"/>
      <c r="C69" s="18"/>
      <c r="D69" s="19"/>
      <c r="E69" s="19"/>
      <c r="F69" s="20" t="str">
        <f aca="false">IF($B69="","",$E69-$D69)</f>
        <v/>
      </c>
      <c r="G69" s="21" t="str">
        <f aca="false">IF(OR($B69="",N($D69)=0),"",$F69/$D69)</f>
        <v/>
      </c>
      <c r="H69" s="22"/>
      <c r="I69" s="22"/>
      <c r="J69" s="21" t="str">
        <f aca="false">IF(OR($H69="",$I69=""),"",$H69-$I69)</f>
        <v/>
      </c>
      <c r="K69" s="23" t="str">
        <f aca="false">IF($B69="","",IF($H69="","Data Pending",IF($H69&gt;=$J$4,"Best Fund",IF($H69&gt;=$J$5,"Need to Improve","Not Performing"))))</f>
        <v/>
      </c>
      <c r="L69" s="24" t="str">
        <f aca="false">IF($K69="","",IF($K69="Data Pending","Enter the 3Y return",IF($K69="Best Fund","Hold / consider top-up",IF($K69="Need to Improve","Watch 2 quarters, then decide","Review with client - switch or exit"))))</f>
        <v/>
      </c>
      <c r="M69" s="18"/>
    </row>
    <row r="70" customFormat="false" ht="15" hidden="false" customHeight="true" outlineLevel="0" collapsed="false">
      <c r="A70" s="18"/>
      <c r="B70" s="18"/>
      <c r="C70" s="18"/>
      <c r="D70" s="19"/>
      <c r="E70" s="19"/>
      <c r="F70" s="20" t="str">
        <f aca="false">IF($B70="","",$E70-$D70)</f>
        <v/>
      </c>
      <c r="G70" s="21" t="str">
        <f aca="false">IF(OR($B70="",N($D70)=0),"",$F70/$D70)</f>
        <v/>
      </c>
      <c r="H70" s="22"/>
      <c r="I70" s="22"/>
      <c r="J70" s="21" t="str">
        <f aca="false">IF(OR($H70="",$I70=""),"",$H70-$I70)</f>
        <v/>
      </c>
      <c r="K70" s="23" t="str">
        <f aca="false">IF($B70="","",IF($H70="","Data Pending",IF($H70&gt;=$J$4,"Best Fund",IF($H70&gt;=$J$5,"Need to Improve","Not Performing"))))</f>
        <v/>
      </c>
      <c r="L70" s="24" t="str">
        <f aca="false">IF($K70="","",IF($K70="Data Pending","Enter the 3Y return",IF($K70="Best Fund","Hold / consider top-up",IF($K70="Need to Improve","Watch 2 quarters, then decide","Review with client - switch or exit"))))</f>
        <v/>
      </c>
      <c r="M70" s="18"/>
    </row>
    <row r="71" customFormat="false" ht="15" hidden="false" customHeight="true" outlineLevel="0" collapsed="false">
      <c r="A71" s="18"/>
      <c r="B71" s="18"/>
      <c r="C71" s="18"/>
      <c r="D71" s="19"/>
      <c r="E71" s="19"/>
      <c r="F71" s="20" t="str">
        <f aca="false">IF($B71="","",$E71-$D71)</f>
        <v/>
      </c>
      <c r="G71" s="21" t="str">
        <f aca="false">IF(OR($B71="",N($D71)=0),"",$F71/$D71)</f>
        <v/>
      </c>
      <c r="H71" s="22"/>
      <c r="I71" s="22"/>
      <c r="J71" s="21" t="str">
        <f aca="false">IF(OR($H71="",$I71=""),"",$H71-$I71)</f>
        <v/>
      </c>
      <c r="K71" s="23" t="str">
        <f aca="false">IF($B71="","",IF($H71="","Data Pending",IF($H71&gt;=$J$4,"Best Fund",IF($H71&gt;=$J$5,"Need to Improve","Not Performing"))))</f>
        <v/>
      </c>
      <c r="L71" s="24" t="str">
        <f aca="false">IF($K71="","",IF($K71="Data Pending","Enter the 3Y return",IF($K71="Best Fund","Hold / consider top-up",IF($K71="Need to Improve","Watch 2 quarters, then decide","Review with client - switch or exit"))))</f>
        <v/>
      </c>
      <c r="M71" s="18"/>
    </row>
    <row r="72" customFormat="false" ht="15" hidden="false" customHeight="true" outlineLevel="0" collapsed="false">
      <c r="A72" s="18"/>
      <c r="B72" s="18"/>
      <c r="C72" s="18"/>
      <c r="D72" s="19"/>
      <c r="E72" s="19"/>
      <c r="F72" s="20" t="str">
        <f aca="false">IF($B72="","",$E72-$D72)</f>
        <v/>
      </c>
      <c r="G72" s="21" t="str">
        <f aca="false">IF(OR($B72="",N($D72)=0),"",$F72/$D72)</f>
        <v/>
      </c>
      <c r="H72" s="22"/>
      <c r="I72" s="22"/>
      <c r="J72" s="21" t="str">
        <f aca="false">IF(OR($H72="",$I72=""),"",$H72-$I72)</f>
        <v/>
      </c>
      <c r="K72" s="23" t="str">
        <f aca="false">IF($B72="","",IF($H72="","Data Pending",IF($H72&gt;=$J$4,"Best Fund",IF($H72&gt;=$J$5,"Need to Improve","Not Performing"))))</f>
        <v/>
      </c>
      <c r="L72" s="24" t="str">
        <f aca="false">IF($K72="","",IF($K72="Data Pending","Enter the 3Y return",IF($K72="Best Fund","Hold / consider top-up",IF($K72="Need to Improve","Watch 2 quarters, then decide","Review with client - switch or exit"))))</f>
        <v/>
      </c>
      <c r="M72" s="18"/>
    </row>
    <row r="73" customFormat="false" ht="15" hidden="false" customHeight="true" outlineLevel="0" collapsed="false">
      <c r="A73" s="18"/>
      <c r="B73" s="18"/>
      <c r="C73" s="18"/>
      <c r="D73" s="19"/>
      <c r="E73" s="19"/>
      <c r="F73" s="20" t="str">
        <f aca="false">IF($B73="","",$E73-$D73)</f>
        <v/>
      </c>
      <c r="G73" s="21" t="str">
        <f aca="false">IF(OR($B73="",N($D73)=0),"",$F73/$D73)</f>
        <v/>
      </c>
      <c r="H73" s="22"/>
      <c r="I73" s="22"/>
      <c r="J73" s="21" t="str">
        <f aca="false">IF(OR($H73="",$I73=""),"",$H73-$I73)</f>
        <v/>
      </c>
      <c r="K73" s="23" t="str">
        <f aca="false">IF($B73="","",IF($H73="","Data Pending",IF($H73&gt;=$J$4,"Best Fund",IF($H73&gt;=$J$5,"Need to Improve","Not Performing"))))</f>
        <v/>
      </c>
      <c r="L73" s="24" t="str">
        <f aca="false">IF($K73="","",IF($K73="Data Pending","Enter the 3Y return",IF($K73="Best Fund","Hold / consider top-up",IF($K73="Need to Improve","Watch 2 quarters, then decide","Review with client - switch or exit"))))</f>
        <v/>
      </c>
      <c r="M73" s="18"/>
    </row>
    <row r="74" customFormat="false" ht="15" hidden="false" customHeight="true" outlineLevel="0" collapsed="false">
      <c r="A74" s="18"/>
      <c r="B74" s="18"/>
      <c r="C74" s="18"/>
      <c r="D74" s="19"/>
      <c r="E74" s="19"/>
      <c r="F74" s="20" t="str">
        <f aca="false">IF($B74="","",$E74-$D74)</f>
        <v/>
      </c>
      <c r="G74" s="21" t="str">
        <f aca="false">IF(OR($B74="",N($D74)=0),"",$F74/$D74)</f>
        <v/>
      </c>
      <c r="H74" s="22"/>
      <c r="I74" s="22"/>
      <c r="J74" s="21" t="str">
        <f aca="false">IF(OR($H74="",$I74=""),"",$H74-$I74)</f>
        <v/>
      </c>
      <c r="K74" s="23" t="str">
        <f aca="false">IF($B74="","",IF($H74="","Data Pending",IF($H74&gt;=$J$4,"Best Fund",IF($H74&gt;=$J$5,"Need to Improve","Not Performing"))))</f>
        <v/>
      </c>
      <c r="L74" s="24" t="str">
        <f aca="false">IF($K74="","",IF($K74="Data Pending","Enter the 3Y return",IF($K74="Best Fund","Hold / consider top-up",IF($K74="Need to Improve","Watch 2 quarters, then decide","Review with client - switch or exit"))))</f>
        <v/>
      </c>
      <c r="M74" s="18"/>
    </row>
    <row r="75" customFormat="false" ht="15" hidden="false" customHeight="true" outlineLevel="0" collapsed="false">
      <c r="A75" s="18"/>
      <c r="B75" s="18"/>
      <c r="C75" s="18"/>
      <c r="D75" s="19"/>
      <c r="E75" s="19"/>
      <c r="F75" s="20" t="str">
        <f aca="false">IF($B75="","",$E75-$D75)</f>
        <v/>
      </c>
      <c r="G75" s="21" t="str">
        <f aca="false">IF(OR($B75="",N($D75)=0),"",$F75/$D75)</f>
        <v/>
      </c>
      <c r="H75" s="22"/>
      <c r="I75" s="22"/>
      <c r="J75" s="21" t="str">
        <f aca="false">IF(OR($H75="",$I75=""),"",$H75-$I75)</f>
        <v/>
      </c>
      <c r="K75" s="23" t="str">
        <f aca="false">IF($B75="","",IF($H75="","Data Pending",IF($H75&gt;=$J$4,"Best Fund",IF($H75&gt;=$J$5,"Need to Improve","Not Performing"))))</f>
        <v/>
      </c>
      <c r="L75" s="24" t="str">
        <f aca="false">IF($K75="","",IF($K75="Data Pending","Enter the 3Y return",IF($K75="Best Fund","Hold / consider top-up",IF($K75="Need to Improve","Watch 2 quarters, then decide","Review with client - switch or exit"))))</f>
        <v/>
      </c>
      <c r="M75" s="18"/>
    </row>
    <row r="76" customFormat="false" ht="15" hidden="false" customHeight="true" outlineLevel="0" collapsed="false">
      <c r="A76" s="18"/>
      <c r="B76" s="18"/>
      <c r="C76" s="18"/>
      <c r="D76" s="19"/>
      <c r="E76" s="19"/>
      <c r="F76" s="20" t="str">
        <f aca="false">IF($B76="","",$E76-$D76)</f>
        <v/>
      </c>
      <c r="G76" s="21" t="str">
        <f aca="false">IF(OR($B76="",N($D76)=0),"",$F76/$D76)</f>
        <v/>
      </c>
      <c r="H76" s="22"/>
      <c r="I76" s="22"/>
      <c r="J76" s="21" t="str">
        <f aca="false">IF(OR($H76="",$I76=""),"",$H76-$I76)</f>
        <v/>
      </c>
      <c r="K76" s="23" t="str">
        <f aca="false">IF($B76="","",IF($H76="","Data Pending",IF($H76&gt;=$J$4,"Best Fund",IF($H76&gt;=$J$5,"Need to Improve","Not Performing"))))</f>
        <v/>
      </c>
      <c r="L76" s="24" t="str">
        <f aca="false">IF($K76="","",IF($K76="Data Pending","Enter the 3Y return",IF($K76="Best Fund","Hold / consider top-up",IF($K76="Need to Improve","Watch 2 quarters, then decide","Review with client - switch or exit"))))</f>
        <v/>
      </c>
      <c r="M76" s="18"/>
    </row>
    <row r="77" customFormat="false" ht="15" hidden="false" customHeight="true" outlineLevel="0" collapsed="false">
      <c r="A77" s="18"/>
      <c r="B77" s="18"/>
      <c r="C77" s="18"/>
      <c r="D77" s="19"/>
      <c r="E77" s="19"/>
      <c r="F77" s="20" t="str">
        <f aca="false">IF($B77="","",$E77-$D77)</f>
        <v/>
      </c>
      <c r="G77" s="21" t="str">
        <f aca="false">IF(OR($B77="",N($D77)=0),"",$F77/$D77)</f>
        <v/>
      </c>
      <c r="H77" s="22"/>
      <c r="I77" s="22"/>
      <c r="J77" s="21" t="str">
        <f aca="false">IF(OR($H77="",$I77=""),"",$H77-$I77)</f>
        <v/>
      </c>
      <c r="K77" s="23" t="str">
        <f aca="false">IF($B77="","",IF($H77="","Data Pending",IF($H77&gt;=$J$4,"Best Fund",IF($H77&gt;=$J$5,"Need to Improve","Not Performing"))))</f>
        <v/>
      </c>
      <c r="L77" s="24" t="str">
        <f aca="false">IF($K77="","",IF($K77="Data Pending","Enter the 3Y return",IF($K77="Best Fund","Hold / consider top-up",IF($K77="Need to Improve","Watch 2 quarters, then decide","Review with client - switch or exit"))))</f>
        <v/>
      </c>
      <c r="M77" s="18"/>
    </row>
    <row r="78" customFormat="false" ht="15" hidden="false" customHeight="true" outlineLevel="0" collapsed="false">
      <c r="A78" s="18"/>
      <c r="B78" s="18"/>
      <c r="C78" s="18"/>
      <c r="D78" s="19"/>
      <c r="E78" s="19"/>
      <c r="F78" s="20" t="str">
        <f aca="false">IF($B78="","",$E78-$D78)</f>
        <v/>
      </c>
      <c r="G78" s="21" t="str">
        <f aca="false">IF(OR($B78="",N($D78)=0),"",$F78/$D78)</f>
        <v/>
      </c>
      <c r="H78" s="22"/>
      <c r="I78" s="22"/>
      <c r="J78" s="21" t="str">
        <f aca="false">IF(OR($H78="",$I78=""),"",$H78-$I78)</f>
        <v/>
      </c>
      <c r="K78" s="23" t="str">
        <f aca="false">IF($B78="","",IF($H78="","Data Pending",IF($H78&gt;=$J$4,"Best Fund",IF($H78&gt;=$J$5,"Need to Improve","Not Performing"))))</f>
        <v/>
      </c>
      <c r="L78" s="24" t="str">
        <f aca="false">IF($K78="","",IF($K78="Data Pending","Enter the 3Y return",IF($K78="Best Fund","Hold / consider top-up",IF($K78="Need to Improve","Watch 2 quarters, then decide","Review with client - switch or exit"))))</f>
        <v/>
      </c>
      <c r="M78" s="18"/>
    </row>
    <row r="79" customFormat="false" ht="15" hidden="false" customHeight="true" outlineLevel="0" collapsed="false">
      <c r="A79" s="18"/>
      <c r="B79" s="18"/>
      <c r="C79" s="18"/>
      <c r="D79" s="19"/>
      <c r="E79" s="19"/>
      <c r="F79" s="20" t="str">
        <f aca="false">IF($B79="","",$E79-$D79)</f>
        <v/>
      </c>
      <c r="G79" s="21" t="str">
        <f aca="false">IF(OR($B79="",N($D79)=0),"",$F79/$D79)</f>
        <v/>
      </c>
      <c r="H79" s="22"/>
      <c r="I79" s="22"/>
      <c r="J79" s="21" t="str">
        <f aca="false">IF(OR($H79="",$I79=""),"",$H79-$I79)</f>
        <v/>
      </c>
      <c r="K79" s="23" t="str">
        <f aca="false">IF($B79="","",IF($H79="","Data Pending",IF($H79&gt;=$J$4,"Best Fund",IF($H79&gt;=$J$5,"Need to Improve","Not Performing"))))</f>
        <v/>
      </c>
      <c r="L79" s="24" t="str">
        <f aca="false">IF($K79="","",IF($K79="Data Pending","Enter the 3Y return",IF($K79="Best Fund","Hold / consider top-up",IF($K79="Need to Improve","Watch 2 quarters, then decide","Review with client - switch or exit"))))</f>
        <v/>
      </c>
      <c r="M79" s="18"/>
    </row>
    <row r="80" customFormat="false" ht="15" hidden="false" customHeight="true" outlineLevel="0" collapsed="false">
      <c r="A80" s="18"/>
      <c r="B80" s="18"/>
      <c r="C80" s="18"/>
      <c r="D80" s="19"/>
      <c r="E80" s="19"/>
      <c r="F80" s="20" t="str">
        <f aca="false">IF($B80="","",$E80-$D80)</f>
        <v/>
      </c>
      <c r="G80" s="21" t="str">
        <f aca="false">IF(OR($B80="",N($D80)=0),"",$F80/$D80)</f>
        <v/>
      </c>
      <c r="H80" s="22"/>
      <c r="I80" s="22"/>
      <c r="J80" s="21" t="str">
        <f aca="false">IF(OR($H80="",$I80=""),"",$H80-$I80)</f>
        <v/>
      </c>
      <c r="K80" s="23" t="str">
        <f aca="false">IF($B80="","",IF($H80="","Data Pending",IF($H80&gt;=$J$4,"Best Fund",IF($H80&gt;=$J$5,"Need to Improve","Not Performing"))))</f>
        <v/>
      </c>
      <c r="L80" s="24" t="str">
        <f aca="false">IF($K80="","",IF($K80="Data Pending","Enter the 3Y return",IF($K80="Best Fund","Hold / consider top-up",IF($K80="Need to Improve","Watch 2 quarters, then decide","Review with client - switch or exit"))))</f>
        <v/>
      </c>
      <c r="M80" s="18"/>
    </row>
    <row r="81" customFormat="false" ht="15" hidden="false" customHeight="true" outlineLevel="0" collapsed="false">
      <c r="A81" s="18"/>
      <c r="B81" s="18"/>
      <c r="C81" s="18"/>
      <c r="D81" s="19"/>
      <c r="E81" s="19"/>
      <c r="F81" s="20" t="str">
        <f aca="false">IF($B81="","",$E81-$D81)</f>
        <v/>
      </c>
      <c r="G81" s="21" t="str">
        <f aca="false">IF(OR($B81="",N($D81)=0),"",$F81/$D81)</f>
        <v/>
      </c>
      <c r="H81" s="22"/>
      <c r="I81" s="22"/>
      <c r="J81" s="21" t="str">
        <f aca="false">IF(OR($H81="",$I81=""),"",$H81-$I81)</f>
        <v/>
      </c>
      <c r="K81" s="23" t="str">
        <f aca="false">IF($B81="","",IF($H81="","Data Pending",IF($H81&gt;=$J$4,"Best Fund",IF($H81&gt;=$J$5,"Need to Improve","Not Performing"))))</f>
        <v/>
      </c>
      <c r="L81" s="24" t="str">
        <f aca="false">IF($K81="","",IF($K81="Data Pending","Enter the 3Y return",IF($K81="Best Fund","Hold / consider top-up",IF($K81="Need to Improve","Watch 2 quarters, then decide","Review with client - switch or exit"))))</f>
        <v/>
      </c>
      <c r="M81" s="18"/>
    </row>
    <row r="82" customFormat="false" ht="15" hidden="false" customHeight="true" outlineLevel="0" collapsed="false">
      <c r="A82" s="18"/>
      <c r="B82" s="18"/>
      <c r="C82" s="18"/>
      <c r="D82" s="19"/>
      <c r="E82" s="19"/>
      <c r="F82" s="20" t="str">
        <f aca="false">IF($B82="","",$E82-$D82)</f>
        <v/>
      </c>
      <c r="G82" s="21" t="str">
        <f aca="false">IF(OR($B82="",N($D82)=0),"",$F82/$D82)</f>
        <v/>
      </c>
      <c r="H82" s="22"/>
      <c r="I82" s="22"/>
      <c r="J82" s="21" t="str">
        <f aca="false">IF(OR($H82="",$I82=""),"",$H82-$I82)</f>
        <v/>
      </c>
      <c r="K82" s="23" t="str">
        <f aca="false">IF($B82="","",IF($H82="","Data Pending",IF($H82&gt;=$J$4,"Best Fund",IF($H82&gt;=$J$5,"Need to Improve","Not Performing"))))</f>
        <v/>
      </c>
      <c r="L82" s="24" t="str">
        <f aca="false">IF($K82="","",IF($K82="Data Pending","Enter the 3Y return",IF($K82="Best Fund","Hold / consider top-up",IF($K82="Need to Improve","Watch 2 quarters, then decide","Review with client - switch or exit"))))</f>
        <v/>
      </c>
      <c r="M82" s="18"/>
    </row>
    <row r="83" customFormat="false" ht="15" hidden="false" customHeight="true" outlineLevel="0" collapsed="false">
      <c r="A83" s="18"/>
      <c r="B83" s="18"/>
      <c r="C83" s="18"/>
      <c r="D83" s="19"/>
      <c r="E83" s="19"/>
      <c r="F83" s="20" t="str">
        <f aca="false">IF($B83="","",$E83-$D83)</f>
        <v/>
      </c>
      <c r="G83" s="21" t="str">
        <f aca="false">IF(OR($B83="",N($D83)=0),"",$F83/$D83)</f>
        <v/>
      </c>
      <c r="H83" s="22"/>
      <c r="I83" s="22"/>
      <c r="J83" s="21" t="str">
        <f aca="false">IF(OR($H83="",$I83=""),"",$H83-$I83)</f>
        <v/>
      </c>
      <c r="K83" s="23" t="str">
        <f aca="false">IF($B83="","",IF($H83="","Data Pending",IF($H83&gt;=$J$4,"Best Fund",IF($H83&gt;=$J$5,"Need to Improve","Not Performing"))))</f>
        <v/>
      </c>
      <c r="L83" s="24" t="str">
        <f aca="false">IF($K83="","",IF($K83="Data Pending","Enter the 3Y return",IF($K83="Best Fund","Hold / consider top-up",IF($K83="Need to Improve","Watch 2 quarters, then decide","Review with client - switch or exit"))))</f>
        <v/>
      </c>
      <c r="M83" s="18"/>
    </row>
    <row r="84" customFormat="false" ht="15" hidden="false" customHeight="true" outlineLevel="0" collapsed="false">
      <c r="A84" s="18"/>
      <c r="B84" s="18"/>
      <c r="C84" s="18"/>
      <c r="D84" s="19"/>
      <c r="E84" s="19"/>
      <c r="F84" s="20" t="str">
        <f aca="false">IF($B84="","",$E84-$D84)</f>
        <v/>
      </c>
      <c r="G84" s="21" t="str">
        <f aca="false">IF(OR($B84="",N($D84)=0),"",$F84/$D84)</f>
        <v/>
      </c>
      <c r="H84" s="22"/>
      <c r="I84" s="22"/>
      <c r="J84" s="21" t="str">
        <f aca="false">IF(OR($H84="",$I84=""),"",$H84-$I84)</f>
        <v/>
      </c>
      <c r="K84" s="23" t="str">
        <f aca="false">IF($B84="","",IF($H84="","Data Pending",IF($H84&gt;=$J$4,"Best Fund",IF($H84&gt;=$J$5,"Need to Improve","Not Performing"))))</f>
        <v/>
      </c>
      <c r="L84" s="24" t="str">
        <f aca="false">IF($K84="","",IF($K84="Data Pending","Enter the 3Y return",IF($K84="Best Fund","Hold / consider top-up",IF($K84="Need to Improve","Watch 2 quarters, then decide","Review with client - switch or exit"))))</f>
        <v/>
      </c>
      <c r="M84" s="18"/>
    </row>
    <row r="85" customFormat="false" ht="15" hidden="false" customHeight="true" outlineLevel="0" collapsed="false">
      <c r="A85" s="18"/>
      <c r="B85" s="18"/>
      <c r="C85" s="18"/>
      <c r="D85" s="19"/>
      <c r="E85" s="19"/>
      <c r="F85" s="20" t="str">
        <f aca="false">IF($B85="","",$E85-$D85)</f>
        <v/>
      </c>
      <c r="G85" s="21" t="str">
        <f aca="false">IF(OR($B85="",N($D85)=0),"",$F85/$D85)</f>
        <v/>
      </c>
      <c r="H85" s="22"/>
      <c r="I85" s="22"/>
      <c r="J85" s="21" t="str">
        <f aca="false">IF(OR($H85="",$I85=""),"",$H85-$I85)</f>
        <v/>
      </c>
      <c r="K85" s="23" t="str">
        <f aca="false">IF($B85="","",IF($H85="","Data Pending",IF($H85&gt;=$J$4,"Best Fund",IF($H85&gt;=$J$5,"Need to Improve","Not Performing"))))</f>
        <v/>
      </c>
      <c r="L85" s="24" t="str">
        <f aca="false">IF($K85="","",IF($K85="Data Pending","Enter the 3Y return",IF($K85="Best Fund","Hold / consider top-up",IF($K85="Need to Improve","Watch 2 quarters, then decide","Review with client - switch or exit"))))</f>
        <v/>
      </c>
      <c r="M85" s="18"/>
    </row>
    <row r="86" customFormat="false" ht="15" hidden="false" customHeight="true" outlineLevel="0" collapsed="false">
      <c r="A86" s="18"/>
      <c r="B86" s="18"/>
      <c r="C86" s="18"/>
      <c r="D86" s="19"/>
      <c r="E86" s="19"/>
      <c r="F86" s="20" t="str">
        <f aca="false">IF($B86="","",$E86-$D86)</f>
        <v/>
      </c>
      <c r="G86" s="21" t="str">
        <f aca="false">IF(OR($B86="",N($D86)=0),"",$F86/$D86)</f>
        <v/>
      </c>
      <c r="H86" s="22"/>
      <c r="I86" s="22"/>
      <c r="J86" s="21" t="str">
        <f aca="false">IF(OR($H86="",$I86=""),"",$H86-$I86)</f>
        <v/>
      </c>
      <c r="K86" s="23" t="str">
        <f aca="false">IF($B86="","",IF($H86="","Data Pending",IF($H86&gt;=$J$4,"Best Fund",IF($H86&gt;=$J$5,"Need to Improve","Not Performing"))))</f>
        <v/>
      </c>
      <c r="L86" s="24" t="str">
        <f aca="false">IF($K86="","",IF($K86="Data Pending","Enter the 3Y return",IF($K86="Best Fund","Hold / consider top-up",IF($K86="Need to Improve","Watch 2 quarters, then decide","Review with client - switch or exit"))))</f>
        <v/>
      </c>
      <c r="M86" s="18"/>
    </row>
    <row r="87" customFormat="false" ht="15" hidden="false" customHeight="true" outlineLevel="0" collapsed="false">
      <c r="A87" s="18"/>
      <c r="B87" s="18"/>
      <c r="C87" s="18"/>
      <c r="D87" s="19"/>
      <c r="E87" s="19"/>
      <c r="F87" s="20" t="str">
        <f aca="false">IF($B87="","",$E87-$D87)</f>
        <v/>
      </c>
      <c r="G87" s="21" t="str">
        <f aca="false">IF(OR($B87="",N($D87)=0),"",$F87/$D87)</f>
        <v/>
      </c>
      <c r="H87" s="22"/>
      <c r="I87" s="22"/>
      <c r="J87" s="21" t="str">
        <f aca="false">IF(OR($H87="",$I87=""),"",$H87-$I87)</f>
        <v/>
      </c>
      <c r="K87" s="23" t="str">
        <f aca="false">IF($B87="","",IF($H87="","Data Pending",IF($H87&gt;=$J$4,"Best Fund",IF($H87&gt;=$J$5,"Need to Improve","Not Performing"))))</f>
        <v/>
      </c>
      <c r="L87" s="24" t="str">
        <f aca="false">IF($K87="","",IF($K87="Data Pending","Enter the 3Y return",IF($K87="Best Fund","Hold / consider top-up",IF($K87="Need to Improve","Watch 2 quarters, then decide","Review with client - switch or exit"))))</f>
        <v/>
      </c>
      <c r="M87" s="18"/>
    </row>
    <row r="88" customFormat="false" ht="15" hidden="false" customHeight="true" outlineLevel="0" collapsed="false">
      <c r="A88" s="18"/>
      <c r="B88" s="18"/>
      <c r="C88" s="18"/>
      <c r="D88" s="19"/>
      <c r="E88" s="19"/>
      <c r="F88" s="20" t="str">
        <f aca="false">IF($B88="","",$E88-$D88)</f>
        <v/>
      </c>
      <c r="G88" s="21" t="str">
        <f aca="false">IF(OR($B88="",N($D88)=0),"",$F88/$D88)</f>
        <v/>
      </c>
      <c r="H88" s="22"/>
      <c r="I88" s="22"/>
      <c r="J88" s="21" t="str">
        <f aca="false">IF(OR($H88="",$I88=""),"",$H88-$I88)</f>
        <v/>
      </c>
      <c r="K88" s="23" t="str">
        <f aca="false">IF($B88="","",IF($H88="","Data Pending",IF($H88&gt;=$J$4,"Best Fund",IF($H88&gt;=$J$5,"Need to Improve","Not Performing"))))</f>
        <v/>
      </c>
      <c r="L88" s="24" t="str">
        <f aca="false">IF($K88="","",IF($K88="Data Pending","Enter the 3Y return",IF($K88="Best Fund","Hold / consider top-up",IF($K88="Need to Improve","Watch 2 quarters, then decide","Review with client - switch or exit"))))</f>
        <v/>
      </c>
      <c r="M88" s="18"/>
    </row>
    <row r="89" customFormat="false" ht="15" hidden="false" customHeight="true" outlineLevel="0" collapsed="false">
      <c r="A89" s="18"/>
      <c r="B89" s="18"/>
      <c r="C89" s="18"/>
      <c r="D89" s="19"/>
      <c r="E89" s="19"/>
      <c r="F89" s="20" t="str">
        <f aca="false">IF($B89="","",$E89-$D89)</f>
        <v/>
      </c>
      <c r="G89" s="21" t="str">
        <f aca="false">IF(OR($B89="",N($D89)=0),"",$F89/$D89)</f>
        <v/>
      </c>
      <c r="H89" s="22"/>
      <c r="I89" s="22"/>
      <c r="J89" s="21" t="str">
        <f aca="false">IF(OR($H89="",$I89=""),"",$H89-$I89)</f>
        <v/>
      </c>
      <c r="K89" s="23" t="str">
        <f aca="false">IF($B89="","",IF($H89="","Data Pending",IF($H89&gt;=$J$4,"Best Fund",IF($H89&gt;=$J$5,"Need to Improve","Not Performing"))))</f>
        <v/>
      </c>
      <c r="L89" s="24" t="str">
        <f aca="false">IF($K89="","",IF($K89="Data Pending","Enter the 3Y return",IF($K89="Best Fund","Hold / consider top-up",IF($K89="Need to Improve","Watch 2 quarters, then decide","Review with client - switch or exit"))))</f>
        <v/>
      </c>
      <c r="M89" s="18"/>
    </row>
    <row r="90" customFormat="false" ht="15" hidden="false" customHeight="true" outlineLevel="0" collapsed="false">
      <c r="A90" s="18"/>
      <c r="B90" s="18"/>
      <c r="C90" s="18"/>
      <c r="D90" s="19"/>
      <c r="E90" s="19"/>
      <c r="F90" s="20" t="str">
        <f aca="false">IF($B90="","",$E90-$D90)</f>
        <v/>
      </c>
      <c r="G90" s="21" t="str">
        <f aca="false">IF(OR($B90="",N($D90)=0),"",$F90/$D90)</f>
        <v/>
      </c>
      <c r="H90" s="22"/>
      <c r="I90" s="22"/>
      <c r="J90" s="21" t="str">
        <f aca="false">IF(OR($H90="",$I90=""),"",$H90-$I90)</f>
        <v/>
      </c>
      <c r="K90" s="23" t="str">
        <f aca="false">IF($B90="","",IF($H90="","Data Pending",IF($H90&gt;=$J$4,"Best Fund",IF($H90&gt;=$J$5,"Need to Improve","Not Performing"))))</f>
        <v/>
      </c>
      <c r="L90" s="24" t="str">
        <f aca="false">IF($K90="","",IF($K90="Data Pending","Enter the 3Y return",IF($K90="Best Fund","Hold / consider top-up",IF($K90="Need to Improve","Watch 2 quarters, then decide","Review with client - switch or exit"))))</f>
        <v/>
      </c>
      <c r="M90" s="18"/>
    </row>
    <row r="91" customFormat="false" ht="15" hidden="false" customHeight="true" outlineLevel="0" collapsed="false">
      <c r="A91" s="18"/>
      <c r="B91" s="18"/>
      <c r="C91" s="18"/>
      <c r="D91" s="19"/>
      <c r="E91" s="19"/>
      <c r="F91" s="20" t="str">
        <f aca="false">IF($B91="","",$E91-$D91)</f>
        <v/>
      </c>
      <c r="G91" s="21" t="str">
        <f aca="false">IF(OR($B91="",N($D91)=0),"",$F91/$D91)</f>
        <v/>
      </c>
      <c r="H91" s="22"/>
      <c r="I91" s="22"/>
      <c r="J91" s="21" t="str">
        <f aca="false">IF(OR($H91="",$I91=""),"",$H91-$I91)</f>
        <v/>
      </c>
      <c r="K91" s="23" t="str">
        <f aca="false">IF($B91="","",IF($H91="","Data Pending",IF($H91&gt;=$J$4,"Best Fund",IF($H91&gt;=$J$5,"Need to Improve","Not Performing"))))</f>
        <v/>
      </c>
      <c r="L91" s="24" t="str">
        <f aca="false">IF($K91="","",IF($K91="Data Pending","Enter the 3Y return",IF($K91="Best Fund","Hold / consider top-up",IF($K91="Need to Improve","Watch 2 quarters, then decide","Review with client - switch or exit"))))</f>
        <v/>
      </c>
      <c r="M91" s="18"/>
    </row>
    <row r="92" customFormat="false" ht="15" hidden="false" customHeight="true" outlineLevel="0" collapsed="false">
      <c r="A92" s="18"/>
      <c r="B92" s="18"/>
      <c r="C92" s="18"/>
      <c r="D92" s="19"/>
      <c r="E92" s="19"/>
      <c r="F92" s="20" t="str">
        <f aca="false">IF($B92="","",$E92-$D92)</f>
        <v/>
      </c>
      <c r="G92" s="21" t="str">
        <f aca="false">IF(OR($B92="",N($D92)=0),"",$F92/$D92)</f>
        <v/>
      </c>
      <c r="H92" s="22"/>
      <c r="I92" s="22"/>
      <c r="J92" s="21" t="str">
        <f aca="false">IF(OR($H92="",$I92=""),"",$H92-$I92)</f>
        <v/>
      </c>
      <c r="K92" s="23" t="str">
        <f aca="false">IF($B92="","",IF($H92="","Data Pending",IF($H92&gt;=$J$4,"Best Fund",IF($H92&gt;=$J$5,"Need to Improve","Not Performing"))))</f>
        <v/>
      </c>
      <c r="L92" s="24" t="str">
        <f aca="false">IF($K92="","",IF($K92="Data Pending","Enter the 3Y return",IF($K92="Best Fund","Hold / consider top-up",IF($K92="Need to Improve","Watch 2 quarters, then decide","Review with client - switch or exit"))))</f>
        <v/>
      </c>
      <c r="M92" s="18"/>
    </row>
    <row r="93" customFormat="false" ht="15" hidden="false" customHeight="true" outlineLevel="0" collapsed="false">
      <c r="A93" s="18"/>
      <c r="B93" s="18"/>
      <c r="C93" s="18"/>
      <c r="D93" s="19"/>
      <c r="E93" s="19"/>
      <c r="F93" s="20" t="str">
        <f aca="false">IF($B93="","",$E93-$D93)</f>
        <v/>
      </c>
      <c r="G93" s="21" t="str">
        <f aca="false">IF(OR($B93="",N($D93)=0),"",$F93/$D93)</f>
        <v/>
      </c>
      <c r="H93" s="22"/>
      <c r="I93" s="22"/>
      <c r="J93" s="21" t="str">
        <f aca="false">IF(OR($H93="",$I93=""),"",$H93-$I93)</f>
        <v/>
      </c>
      <c r="K93" s="23" t="str">
        <f aca="false">IF($B93="","",IF($H93="","Data Pending",IF($H93&gt;=$J$4,"Best Fund",IF($H93&gt;=$J$5,"Need to Improve","Not Performing"))))</f>
        <v/>
      </c>
      <c r="L93" s="24" t="str">
        <f aca="false">IF($K93="","",IF($K93="Data Pending","Enter the 3Y return",IF($K93="Best Fund","Hold / consider top-up",IF($K93="Need to Improve","Watch 2 quarters, then decide","Review with client - switch or exit"))))</f>
        <v/>
      </c>
      <c r="M93" s="18"/>
    </row>
    <row r="94" customFormat="false" ht="15" hidden="false" customHeight="true" outlineLevel="0" collapsed="false">
      <c r="A94" s="18"/>
      <c r="B94" s="18"/>
      <c r="C94" s="18"/>
      <c r="D94" s="19"/>
      <c r="E94" s="19"/>
      <c r="F94" s="20" t="str">
        <f aca="false">IF($B94="","",$E94-$D94)</f>
        <v/>
      </c>
      <c r="G94" s="21" t="str">
        <f aca="false">IF(OR($B94="",N($D94)=0),"",$F94/$D94)</f>
        <v/>
      </c>
      <c r="H94" s="22"/>
      <c r="I94" s="22"/>
      <c r="J94" s="21" t="str">
        <f aca="false">IF(OR($H94="",$I94=""),"",$H94-$I94)</f>
        <v/>
      </c>
      <c r="K94" s="23" t="str">
        <f aca="false">IF($B94="","",IF($H94="","Data Pending",IF($H94&gt;=$J$4,"Best Fund",IF($H94&gt;=$J$5,"Need to Improve","Not Performing"))))</f>
        <v/>
      </c>
      <c r="L94" s="24" t="str">
        <f aca="false">IF($K94="","",IF($K94="Data Pending","Enter the 3Y return",IF($K94="Best Fund","Hold / consider top-up",IF($K94="Need to Improve","Watch 2 quarters, then decide","Review with client - switch or exit"))))</f>
        <v/>
      </c>
      <c r="M94" s="18"/>
    </row>
    <row r="95" customFormat="false" ht="15" hidden="false" customHeight="true" outlineLevel="0" collapsed="false">
      <c r="A95" s="18"/>
      <c r="B95" s="18"/>
      <c r="C95" s="18"/>
      <c r="D95" s="19"/>
      <c r="E95" s="19"/>
      <c r="F95" s="20" t="str">
        <f aca="false">IF($B95="","",$E95-$D95)</f>
        <v/>
      </c>
      <c r="G95" s="21" t="str">
        <f aca="false">IF(OR($B95="",N($D95)=0),"",$F95/$D95)</f>
        <v/>
      </c>
      <c r="H95" s="22"/>
      <c r="I95" s="22"/>
      <c r="J95" s="21" t="str">
        <f aca="false">IF(OR($H95="",$I95=""),"",$H95-$I95)</f>
        <v/>
      </c>
      <c r="K95" s="23" t="str">
        <f aca="false">IF($B95="","",IF($H95="","Data Pending",IF($H95&gt;=$J$4,"Best Fund",IF($H95&gt;=$J$5,"Need to Improve","Not Performing"))))</f>
        <v/>
      </c>
      <c r="L95" s="24" t="str">
        <f aca="false">IF($K95="","",IF($K95="Data Pending","Enter the 3Y return",IF($K95="Best Fund","Hold / consider top-up",IF($K95="Need to Improve","Watch 2 quarters, then decide","Review with client - switch or exit"))))</f>
        <v/>
      </c>
      <c r="M95" s="18"/>
    </row>
    <row r="96" customFormat="false" ht="15" hidden="false" customHeight="true" outlineLevel="0" collapsed="false">
      <c r="A96" s="18"/>
      <c r="B96" s="18"/>
      <c r="C96" s="18"/>
      <c r="D96" s="19"/>
      <c r="E96" s="19"/>
      <c r="F96" s="20" t="str">
        <f aca="false">IF($B96="","",$E96-$D96)</f>
        <v/>
      </c>
      <c r="G96" s="21" t="str">
        <f aca="false">IF(OR($B96="",N($D96)=0),"",$F96/$D96)</f>
        <v/>
      </c>
      <c r="H96" s="22"/>
      <c r="I96" s="22"/>
      <c r="J96" s="21" t="str">
        <f aca="false">IF(OR($H96="",$I96=""),"",$H96-$I96)</f>
        <v/>
      </c>
      <c r="K96" s="23" t="str">
        <f aca="false">IF($B96="","",IF($H96="","Data Pending",IF($H96&gt;=$J$4,"Best Fund",IF($H96&gt;=$J$5,"Need to Improve","Not Performing"))))</f>
        <v/>
      </c>
      <c r="L96" s="24" t="str">
        <f aca="false">IF($K96="","",IF($K96="Data Pending","Enter the 3Y return",IF($K96="Best Fund","Hold / consider top-up",IF($K96="Need to Improve","Watch 2 quarters, then decide","Review with client - switch or exit"))))</f>
        <v/>
      </c>
      <c r="M96" s="18"/>
    </row>
    <row r="97" customFormat="false" ht="15" hidden="false" customHeight="true" outlineLevel="0" collapsed="false">
      <c r="A97" s="18"/>
      <c r="B97" s="18"/>
      <c r="C97" s="18"/>
      <c r="D97" s="19"/>
      <c r="E97" s="19"/>
      <c r="F97" s="20" t="str">
        <f aca="false">IF($B97="","",$E97-$D97)</f>
        <v/>
      </c>
      <c r="G97" s="21" t="str">
        <f aca="false">IF(OR($B97="",N($D97)=0),"",$F97/$D97)</f>
        <v/>
      </c>
      <c r="H97" s="22"/>
      <c r="I97" s="22"/>
      <c r="J97" s="21" t="str">
        <f aca="false">IF(OR($H97="",$I97=""),"",$H97-$I97)</f>
        <v/>
      </c>
      <c r="K97" s="23" t="str">
        <f aca="false">IF($B97="","",IF($H97="","Data Pending",IF($H97&gt;=$J$4,"Best Fund",IF($H97&gt;=$J$5,"Need to Improve","Not Performing"))))</f>
        <v/>
      </c>
      <c r="L97" s="24" t="str">
        <f aca="false">IF($K97="","",IF($K97="Data Pending","Enter the 3Y return",IF($K97="Best Fund","Hold / consider top-up",IF($K97="Need to Improve","Watch 2 quarters, then decide","Review with client - switch or exit"))))</f>
        <v/>
      </c>
      <c r="M97" s="18"/>
    </row>
    <row r="98" customFormat="false" ht="15" hidden="false" customHeight="true" outlineLevel="0" collapsed="false">
      <c r="A98" s="18"/>
      <c r="B98" s="18"/>
      <c r="C98" s="18"/>
      <c r="D98" s="19"/>
      <c r="E98" s="19"/>
      <c r="F98" s="20" t="str">
        <f aca="false">IF($B98="","",$E98-$D98)</f>
        <v/>
      </c>
      <c r="G98" s="21" t="str">
        <f aca="false">IF(OR($B98="",N($D98)=0),"",$F98/$D98)</f>
        <v/>
      </c>
      <c r="H98" s="22"/>
      <c r="I98" s="22"/>
      <c r="J98" s="21" t="str">
        <f aca="false">IF(OR($H98="",$I98=""),"",$H98-$I98)</f>
        <v/>
      </c>
      <c r="K98" s="23" t="str">
        <f aca="false">IF($B98="","",IF($H98="","Data Pending",IF($H98&gt;=$J$4,"Best Fund",IF($H98&gt;=$J$5,"Need to Improve","Not Performing"))))</f>
        <v/>
      </c>
      <c r="L98" s="24" t="str">
        <f aca="false">IF($K98="","",IF($K98="Data Pending","Enter the 3Y return",IF($K98="Best Fund","Hold / consider top-up",IF($K98="Need to Improve","Watch 2 quarters, then decide","Review with client - switch or exit"))))</f>
        <v/>
      </c>
      <c r="M98" s="18"/>
    </row>
    <row r="99" customFormat="false" ht="15" hidden="false" customHeight="true" outlineLevel="0" collapsed="false">
      <c r="A99" s="18"/>
      <c r="B99" s="18"/>
      <c r="C99" s="18"/>
      <c r="D99" s="19"/>
      <c r="E99" s="19"/>
      <c r="F99" s="20" t="str">
        <f aca="false">IF($B99="","",$E99-$D99)</f>
        <v/>
      </c>
      <c r="G99" s="21" t="str">
        <f aca="false">IF(OR($B99="",N($D99)=0),"",$F99/$D99)</f>
        <v/>
      </c>
      <c r="H99" s="22"/>
      <c r="I99" s="22"/>
      <c r="J99" s="21" t="str">
        <f aca="false">IF(OR($H99="",$I99=""),"",$H99-$I99)</f>
        <v/>
      </c>
      <c r="K99" s="23" t="str">
        <f aca="false">IF($B99="","",IF($H99="","Data Pending",IF($H99&gt;=$J$4,"Best Fund",IF($H99&gt;=$J$5,"Need to Improve","Not Performing"))))</f>
        <v/>
      </c>
      <c r="L99" s="24" t="str">
        <f aca="false">IF($K99="","",IF($K99="Data Pending","Enter the 3Y return",IF($K99="Best Fund","Hold / consider top-up",IF($K99="Need to Improve","Watch 2 quarters, then decide","Review with client - switch or exit"))))</f>
        <v/>
      </c>
      <c r="M99" s="18"/>
    </row>
    <row r="100" customFormat="false" ht="15" hidden="false" customHeight="true" outlineLevel="0" collapsed="false">
      <c r="A100" s="18"/>
      <c r="B100" s="18"/>
      <c r="C100" s="18"/>
      <c r="D100" s="19"/>
      <c r="E100" s="19"/>
      <c r="F100" s="20" t="str">
        <f aca="false">IF($B100="","",$E100-$D100)</f>
        <v/>
      </c>
      <c r="G100" s="21" t="str">
        <f aca="false">IF(OR($B100="",N($D100)=0),"",$F100/$D100)</f>
        <v/>
      </c>
      <c r="H100" s="22"/>
      <c r="I100" s="22"/>
      <c r="J100" s="21" t="str">
        <f aca="false">IF(OR($H100="",$I100=""),"",$H100-$I100)</f>
        <v/>
      </c>
      <c r="K100" s="23" t="str">
        <f aca="false">IF($B100="","",IF($H100="","Data Pending",IF($H100&gt;=$J$4,"Best Fund",IF($H100&gt;=$J$5,"Need to Improve","Not Performing"))))</f>
        <v/>
      </c>
      <c r="L100" s="24" t="str">
        <f aca="false">IF($K100="","",IF($K100="Data Pending","Enter the 3Y return",IF($K100="Best Fund","Hold / consider top-up",IF($K100="Need to Improve","Watch 2 quarters, then decide","Review with client - switch or exit"))))</f>
        <v/>
      </c>
      <c r="M100" s="18"/>
    </row>
    <row r="101" customFormat="false" ht="15" hidden="false" customHeight="true" outlineLevel="0" collapsed="false">
      <c r="A101" s="18"/>
      <c r="B101" s="18"/>
      <c r="C101" s="18"/>
      <c r="D101" s="19"/>
      <c r="E101" s="19"/>
      <c r="F101" s="20" t="str">
        <f aca="false">IF($B101="","",$E101-$D101)</f>
        <v/>
      </c>
      <c r="G101" s="21" t="str">
        <f aca="false">IF(OR($B101="",N($D101)=0),"",$F101/$D101)</f>
        <v/>
      </c>
      <c r="H101" s="22"/>
      <c r="I101" s="22"/>
      <c r="J101" s="21" t="str">
        <f aca="false">IF(OR($H101="",$I101=""),"",$H101-$I101)</f>
        <v/>
      </c>
      <c r="K101" s="23" t="str">
        <f aca="false">IF($B101="","",IF($H101="","Data Pending",IF($H101&gt;=$J$4,"Best Fund",IF($H101&gt;=$J$5,"Need to Improve","Not Performing"))))</f>
        <v/>
      </c>
      <c r="L101" s="24" t="str">
        <f aca="false">IF($K101="","",IF($K101="Data Pending","Enter the 3Y return",IF($K101="Best Fund","Hold / consider top-up",IF($K101="Need to Improve","Watch 2 quarters, then decide","Review with client - switch or exit"))))</f>
        <v/>
      </c>
      <c r="M101" s="18"/>
    </row>
    <row r="102" customFormat="false" ht="15" hidden="false" customHeight="true" outlineLevel="0" collapsed="false">
      <c r="A102" s="18"/>
      <c r="B102" s="18"/>
      <c r="C102" s="18"/>
      <c r="D102" s="19"/>
      <c r="E102" s="19"/>
      <c r="F102" s="20" t="str">
        <f aca="false">IF($B102="","",$E102-$D102)</f>
        <v/>
      </c>
      <c r="G102" s="21" t="str">
        <f aca="false">IF(OR($B102="",N($D102)=0),"",$F102/$D102)</f>
        <v/>
      </c>
      <c r="H102" s="22"/>
      <c r="I102" s="22"/>
      <c r="J102" s="21" t="str">
        <f aca="false">IF(OR($H102="",$I102=""),"",$H102-$I102)</f>
        <v/>
      </c>
      <c r="K102" s="23" t="str">
        <f aca="false">IF($B102="","",IF($H102="","Data Pending",IF($H102&gt;=$J$4,"Best Fund",IF($H102&gt;=$J$5,"Need to Improve","Not Performing"))))</f>
        <v/>
      </c>
      <c r="L102" s="24" t="str">
        <f aca="false">IF($K102="","",IF($K102="Data Pending","Enter the 3Y return",IF($K102="Best Fund","Hold / consider top-up",IF($K102="Need to Improve","Watch 2 quarters, then decide","Review with client - switch or exit"))))</f>
        <v/>
      </c>
      <c r="M102" s="18"/>
    </row>
    <row r="103" customFormat="false" ht="15" hidden="false" customHeight="true" outlineLevel="0" collapsed="false">
      <c r="A103" s="18"/>
      <c r="B103" s="18"/>
      <c r="C103" s="18"/>
      <c r="D103" s="19"/>
      <c r="E103" s="19"/>
      <c r="F103" s="20" t="str">
        <f aca="false">IF($B103="","",$E103-$D103)</f>
        <v/>
      </c>
      <c r="G103" s="21" t="str">
        <f aca="false">IF(OR($B103="",N($D103)=0),"",$F103/$D103)</f>
        <v/>
      </c>
      <c r="H103" s="22"/>
      <c r="I103" s="22"/>
      <c r="J103" s="21" t="str">
        <f aca="false">IF(OR($H103="",$I103=""),"",$H103-$I103)</f>
        <v/>
      </c>
      <c r="K103" s="23" t="str">
        <f aca="false">IF($B103="","",IF($H103="","Data Pending",IF($H103&gt;=$J$4,"Best Fund",IF($H103&gt;=$J$5,"Need to Improve","Not Performing"))))</f>
        <v/>
      </c>
      <c r="L103" s="24" t="str">
        <f aca="false">IF($K103="","",IF($K103="Data Pending","Enter the 3Y return",IF($K103="Best Fund","Hold / consider top-up",IF($K103="Need to Improve","Watch 2 quarters, then decide","Review with client - switch or exit"))))</f>
        <v/>
      </c>
      <c r="M103" s="18"/>
    </row>
    <row r="104" customFormat="false" ht="15" hidden="false" customHeight="true" outlineLevel="0" collapsed="false">
      <c r="A104" s="18"/>
      <c r="B104" s="18"/>
      <c r="C104" s="18"/>
      <c r="D104" s="19"/>
      <c r="E104" s="19"/>
      <c r="F104" s="20" t="str">
        <f aca="false">IF($B104="","",$E104-$D104)</f>
        <v/>
      </c>
      <c r="G104" s="21" t="str">
        <f aca="false">IF(OR($B104="",N($D104)=0),"",$F104/$D104)</f>
        <v/>
      </c>
      <c r="H104" s="22"/>
      <c r="I104" s="22"/>
      <c r="J104" s="21" t="str">
        <f aca="false">IF(OR($H104="",$I104=""),"",$H104-$I104)</f>
        <v/>
      </c>
      <c r="K104" s="23" t="str">
        <f aca="false">IF($B104="","",IF($H104="","Data Pending",IF($H104&gt;=$J$4,"Best Fund",IF($H104&gt;=$J$5,"Need to Improve","Not Performing"))))</f>
        <v/>
      </c>
      <c r="L104" s="24" t="str">
        <f aca="false">IF($K104="","",IF($K104="Data Pending","Enter the 3Y return",IF($K104="Best Fund","Hold / consider top-up",IF($K104="Need to Improve","Watch 2 quarters, then decide","Review with client - switch or exit"))))</f>
        <v/>
      </c>
      <c r="M104" s="18"/>
    </row>
    <row r="105" customFormat="false" ht="15" hidden="false" customHeight="true" outlineLevel="0" collapsed="false">
      <c r="A105" s="18"/>
      <c r="B105" s="18"/>
      <c r="C105" s="18"/>
      <c r="D105" s="19"/>
      <c r="E105" s="19"/>
      <c r="F105" s="20" t="str">
        <f aca="false">IF($B105="","",$E105-$D105)</f>
        <v/>
      </c>
      <c r="G105" s="21" t="str">
        <f aca="false">IF(OR($B105="",N($D105)=0),"",$F105/$D105)</f>
        <v/>
      </c>
      <c r="H105" s="22"/>
      <c r="I105" s="22"/>
      <c r="J105" s="21" t="str">
        <f aca="false">IF(OR($H105="",$I105=""),"",$H105-$I105)</f>
        <v/>
      </c>
      <c r="K105" s="23" t="str">
        <f aca="false">IF($B105="","",IF($H105="","Data Pending",IF($H105&gt;=$J$4,"Best Fund",IF($H105&gt;=$J$5,"Need to Improve","Not Performing"))))</f>
        <v/>
      </c>
      <c r="L105" s="24" t="str">
        <f aca="false">IF($K105="","",IF($K105="Data Pending","Enter the 3Y return",IF($K105="Best Fund","Hold / consider top-up",IF($K105="Need to Improve","Watch 2 quarters, then decide","Review with client - switch or exit"))))</f>
        <v/>
      </c>
      <c r="M105" s="18"/>
    </row>
    <row r="106" customFormat="false" ht="15" hidden="false" customHeight="true" outlineLevel="0" collapsed="false">
      <c r="A106" s="18"/>
      <c r="B106" s="18"/>
      <c r="C106" s="18"/>
      <c r="D106" s="19"/>
      <c r="E106" s="19"/>
      <c r="F106" s="20" t="str">
        <f aca="false">IF($B106="","",$E106-$D106)</f>
        <v/>
      </c>
      <c r="G106" s="21" t="str">
        <f aca="false">IF(OR($B106="",N($D106)=0),"",$F106/$D106)</f>
        <v/>
      </c>
      <c r="H106" s="22"/>
      <c r="I106" s="22"/>
      <c r="J106" s="21" t="str">
        <f aca="false">IF(OR($H106="",$I106=""),"",$H106-$I106)</f>
        <v/>
      </c>
      <c r="K106" s="23" t="str">
        <f aca="false">IF($B106="","",IF($H106="","Data Pending",IF($H106&gt;=$J$4,"Best Fund",IF($H106&gt;=$J$5,"Need to Improve","Not Performing"))))</f>
        <v/>
      </c>
      <c r="L106" s="24" t="str">
        <f aca="false">IF($K106="","",IF($K106="Data Pending","Enter the 3Y return",IF($K106="Best Fund","Hold / consider top-up",IF($K106="Need to Improve","Watch 2 quarters, then decide","Review with client - switch or exit"))))</f>
        <v/>
      </c>
      <c r="M106" s="18"/>
    </row>
    <row r="107" customFormat="false" ht="15" hidden="false" customHeight="true" outlineLevel="0" collapsed="false">
      <c r="A107" s="18"/>
      <c r="B107" s="18"/>
      <c r="C107" s="18"/>
      <c r="D107" s="19"/>
      <c r="E107" s="19"/>
      <c r="F107" s="20" t="str">
        <f aca="false">IF($B107="","",$E107-$D107)</f>
        <v/>
      </c>
      <c r="G107" s="21" t="str">
        <f aca="false">IF(OR($B107="",N($D107)=0),"",$F107/$D107)</f>
        <v/>
      </c>
      <c r="H107" s="22"/>
      <c r="I107" s="22"/>
      <c r="J107" s="21" t="str">
        <f aca="false">IF(OR($H107="",$I107=""),"",$H107-$I107)</f>
        <v/>
      </c>
      <c r="K107" s="23" t="str">
        <f aca="false">IF($B107="","",IF($H107="","Data Pending",IF($H107&gt;=$J$4,"Best Fund",IF($H107&gt;=$J$5,"Need to Improve","Not Performing"))))</f>
        <v/>
      </c>
      <c r="L107" s="24" t="str">
        <f aca="false">IF($K107="","",IF($K107="Data Pending","Enter the 3Y return",IF($K107="Best Fund","Hold / consider top-up",IF($K107="Need to Improve","Watch 2 quarters, then decide","Review with client - switch or exit"))))</f>
        <v/>
      </c>
      <c r="M107" s="18"/>
    </row>
    <row r="108" customFormat="false" ht="15" hidden="false" customHeight="true" outlineLevel="0" collapsed="false">
      <c r="A108" s="18"/>
      <c r="B108" s="18"/>
      <c r="C108" s="18"/>
      <c r="D108" s="19"/>
      <c r="E108" s="19"/>
      <c r="F108" s="20" t="str">
        <f aca="false">IF($B108="","",$E108-$D108)</f>
        <v/>
      </c>
      <c r="G108" s="21" t="str">
        <f aca="false">IF(OR($B108="",N($D108)=0),"",$F108/$D108)</f>
        <v/>
      </c>
      <c r="H108" s="22"/>
      <c r="I108" s="22"/>
      <c r="J108" s="21" t="str">
        <f aca="false">IF(OR($H108="",$I108=""),"",$H108-$I108)</f>
        <v/>
      </c>
      <c r="K108" s="23" t="str">
        <f aca="false">IF($B108="","",IF($H108="","Data Pending",IF($H108&gt;=$J$4,"Best Fund",IF($H108&gt;=$J$5,"Need to Improve","Not Performing"))))</f>
        <v/>
      </c>
      <c r="L108" s="24" t="str">
        <f aca="false">IF($K108="","",IF($K108="Data Pending","Enter the 3Y return",IF($K108="Best Fund","Hold / consider top-up",IF($K108="Need to Improve","Watch 2 quarters, then decide","Review with client - switch or exit"))))</f>
        <v/>
      </c>
      <c r="M108" s="18"/>
    </row>
    <row r="109" customFormat="false" ht="15" hidden="false" customHeight="true" outlineLevel="0" collapsed="false">
      <c r="A109" s="18"/>
      <c r="B109" s="18"/>
      <c r="C109" s="18"/>
      <c r="D109" s="19"/>
      <c r="E109" s="19"/>
      <c r="F109" s="20" t="str">
        <f aca="false">IF($B109="","",$E109-$D109)</f>
        <v/>
      </c>
      <c r="G109" s="21" t="str">
        <f aca="false">IF(OR($B109="",N($D109)=0),"",$F109/$D109)</f>
        <v/>
      </c>
      <c r="H109" s="22"/>
      <c r="I109" s="22"/>
      <c r="J109" s="21" t="str">
        <f aca="false">IF(OR($H109="",$I109=""),"",$H109-$I109)</f>
        <v/>
      </c>
      <c r="K109" s="23" t="str">
        <f aca="false">IF($B109="","",IF($H109="","Data Pending",IF($H109&gt;=$J$4,"Best Fund",IF($H109&gt;=$J$5,"Need to Improve","Not Performing"))))</f>
        <v/>
      </c>
      <c r="L109" s="24" t="str">
        <f aca="false">IF($K109="","",IF($K109="Data Pending","Enter the 3Y return",IF($K109="Best Fund","Hold / consider top-up",IF($K109="Need to Improve","Watch 2 quarters, then decide","Review with client - switch or exit"))))</f>
        <v/>
      </c>
      <c r="M109" s="18"/>
    </row>
    <row r="110" customFormat="false" ht="15" hidden="false" customHeight="true" outlineLevel="0" collapsed="false">
      <c r="A110" s="18"/>
      <c r="B110" s="18"/>
      <c r="C110" s="18"/>
      <c r="D110" s="19"/>
      <c r="E110" s="19"/>
      <c r="F110" s="20" t="str">
        <f aca="false">IF($B110="","",$E110-$D110)</f>
        <v/>
      </c>
      <c r="G110" s="21" t="str">
        <f aca="false">IF(OR($B110="",N($D110)=0),"",$F110/$D110)</f>
        <v/>
      </c>
      <c r="H110" s="22"/>
      <c r="I110" s="22"/>
      <c r="J110" s="21" t="str">
        <f aca="false">IF(OR($H110="",$I110=""),"",$H110-$I110)</f>
        <v/>
      </c>
      <c r="K110" s="23" t="str">
        <f aca="false">IF($B110="","",IF($H110="","Data Pending",IF($H110&gt;=$J$4,"Best Fund",IF($H110&gt;=$J$5,"Need to Improve","Not Performing"))))</f>
        <v/>
      </c>
      <c r="L110" s="24" t="str">
        <f aca="false">IF($K110="","",IF($K110="Data Pending","Enter the 3Y return",IF($K110="Best Fund","Hold / consider top-up",IF($K110="Need to Improve","Watch 2 quarters, then decide","Review with client - switch or exit"))))</f>
        <v/>
      </c>
      <c r="M110" s="18"/>
    </row>
    <row r="111" customFormat="false" ht="15" hidden="false" customHeight="true" outlineLevel="0" collapsed="false">
      <c r="A111" s="18"/>
      <c r="B111" s="18"/>
      <c r="C111" s="18"/>
      <c r="D111" s="19"/>
      <c r="E111" s="19"/>
      <c r="F111" s="20" t="str">
        <f aca="false">IF($B111="","",$E111-$D111)</f>
        <v/>
      </c>
      <c r="G111" s="21" t="str">
        <f aca="false">IF(OR($B111="",N($D111)=0),"",$F111/$D111)</f>
        <v/>
      </c>
      <c r="H111" s="22"/>
      <c r="I111" s="22"/>
      <c r="J111" s="21" t="str">
        <f aca="false">IF(OR($H111="",$I111=""),"",$H111-$I111)</f>
        <v/>
      </c>
      <c r="K111" s="23" t="str">
        <f aca="false">IF($B111="","",IF($H111="","Data Pending",IF($H111&gt;=$J$4,"Best Fund",IF($H111&gt;=$J$5,"Need to Improve","Not Performing"))))</f>
        <v/>
      </c>
      <c r="L111" s="24" t="str">
        <f aca="false">IF($K111="","",IF($K111="Data Pending","Enter the 3Y return",IF($K111="Best Fund","Hold / consider top-up",IF($K111="Need to Improve","Watch 2 quarters, then decide","Review with client - switch or exit"))))</f>
        <v/>
      </c>
      <c r="M111" s="18"/>
    </row>
    <row r="112" customFormat="false" ht="15" hidden="false" customHeight="true" outlineLevel="0" collapsed="false">
      <c r="A112" s="18"/>
      <c r="B112" s="18"/>
      <c r="C112" s="18"/>
      <c r="D112" s="19"/>
      <c r="E112" s="19"/>
      <c r="F112" s="20" t="str">
        <f aca="false">IF($B112="","",$E112-$D112)</f>
        <v/>
      </c>
      <c r="G112" s="21" t="str">
        <f aca="false">IF(OR($B112="",N($D112)=0),"",$F112/$D112)</f>
        <v/>
      </c>
      <c r="H112" s="22"/>
      <c r="I112" s="22"/>
      <c r="J112" s="21" t="str">
        <f aca="false">IF(OR($H112="",$I112=""),"",$H112-$I112)</f>
        <v/>
      </c>
      <c r="K112" s="23" t="str">
        <f aca="false">IF($B112="","",IF($H112="","Data Pending",IF($H112&gt;=$J$4,"Best Fund",IF($H112&gt;=$J$5,"Need to Improve","Not Performing"))))</f>
        <v/>
      </c>
      <c r="L112" s="24" t="str">
        <f aca="false">IF($K112="","",IF($K112="Data Pending","Enter the 3Y return",IF($K112="Best Fund","Hold / consider top-up",IF($K112="Need to Improve","Watch 2 quarters, then decide","Review with client - switch or exit"))))</f>
        <v/>
      </c>
      <c r="M112" s="18"/>
    </row>
    <row r="113" customFormat="false" ht="15" hidden="false" customHeight="true" outlineLevel="0" collapsed="false">
      <c r="A113" s="18"/>
      <c r="B113" s="18"/>
      <c r="C113" s="18"/>
      <c r="D113" s="19"/>
      <c r="E113" s="19"/>
      <c r="F113" s="20" t="str">
        <f aca="false">IF($B113="","",$E113-$D113)</f>
        <v/>
      </c>
      <c r="G113" s="21" t="str">
        <f aca="false">IF(OR($B113="",N($D113)=0),"",$F113/$D113)</f>
        <v/>
      </c>
      <c r="H113" s="22"/>
      <c r="I113" s="22"/>
      <c r="J113" s="21" t="str">
        <f aca="false">IF(OR($H113="",$I113=""),"",$H113-$I113)</f>
        <v/>
      </c>
      <c r="K113" s="23" t="str">
        <f aca="false">IF($B113="","",IF($H113="","Data Pending",IF($H113&gt;=$J$4,"Best Fund",IF($H113&gt;=$J$5,"Need to Improve","Not Performing"))))</f>
        <v/>
      </c>
      <c r="L113" s="24" t="str">
        <f aca="false">IF($K113="","",IF($K113="Data Pending","Enter the 3Y return",IF($K113="Best Fund","Hold / consider top-up",IF($K113="Need to Improve","Watch 2 quarters, then decide","Review with client - switch or exit"))))</f>
        <v/>
      </c>
      <c r="M113" s="18"/>
    </row>
    <row r="114" customFormat="false" ht="15" hidden="false" customHeight="true" outlineLevel="0" collapsed="false">
      <c r="A114" s="18"/>
      <c r="B114" s="18"/>
      <c r="C114" s="18"/>
      <c r="D114" s="19"/>
      <c r="E114" s="19"/>
      <c r="F114" s="20" t="str">
        <f aca="false">IF($B114="","",$E114-$D114)</f>
        <v/>
      </c>
      <c r="G114" s="21" t="str">
        <f aca="false">IF(OR($B114="",N($D114)=0),"",$F114/$D114)</f>
        <v/>
      </c>
      <c r="H114" s="22"/>
      <c r="I114" s="22"/>
      <c r="J114" s="21" t="str">
        <f aca="false">IF(OR($H114="",$I114=""),"",$H114-$I114)</f>
        <v/>
      </c>
      <c r="K114" s="23" t="str">
        <f aca="false">IF($B114="","",IF($H114="","Data Pending",IF($H114&gt;=$J$4,"Best Fund",IF($H114&gt;=$J$5,"Need to Improve","Not Performing"))))</f>
        <v/>
      </c>
      <c r="L114" s="24" t="str">
        <f aca="false">IF($K114="","",IF($K114="Data Pending","Enter the 3Y return",IF($K114="Best Fund","Hold / consider top-up",IF($K114="Need to Improve","Watch 2 quarters, then decide","Review with client - switch or exit"))))</f>
        <v/>
      </c>
      <c r="M114" s="18"/>
    </row>
    <row r="115" customFormat="false" ht="15" hidden="false" customHeight="true" outlineLevel="0" collapsed="false">
      <c r="A115" s="18"/>
      <c r="B115" s="18"/>
      <c r="C115" s="18"/>
      <c r="D115" s="19"/>
      <c r="E115" s="19"/>
      <c r="F115" s="20" t="str">
        <f aca="false">IF($B115="","",$E115-$D115)</f>
        <v/>
      </c>
      <c r="G115" s="21" t="str">
        <f aca="false">IF(OR($B115="",N($D115)=0),"",$F115/$D115)</f>
        <v/>
      </c>
      <c r="H115" s="22"/>
      <c r="I115" s="22"/>
      <c r="J115" s="21" t="str">
        <f aca="false">IF(OR($H115="",$I115=""),"",$H115-$I115)</f>
        <v/>
      </c>
      <c r="K115" s="23" t="str">
        <f aca="false">IF($B115="","",IF($H115="","Data Pending",IF($H115&gt;=$J$4,"Best Fund",IF($H115&gt;=$J$5,"Need to Improve","Not Performing"))))</f>
        <v/>
      </c>
      <c r="L115" s="24" t="str">
        <f aca="false">IF($K115="","",IF($K115="Data Pending","Enter the 3Y return",IF($K115="Best Fund","Hold / consider top-up",IF($K115="Need to Improve","Watch 2 quarters, then decide","Review with client - switch or exit"))))</f>
        <v/>
      </c>
      <c r="M115" s="18"/>
    </row>
    <row r="116" customFormat="false" ht="15" hidden="false" customHeight="true" outlineLevel="0" collapsed="false">
      <c r="A116" s="18"/>
      <c r="B116" s="18"/>
      <c r="C116" s="18"/>
      <c r="D116" s="19"/>
      <c r="E116" s="19"/>
      <c r="F116" s="20" t="str">
        <f aca="false">IF($B116="","",$E116-$D116)</f>
        <v/>
      </c>
      <c r="G116" s="21" t="str">
        <f aca="false">IF(OR($B116="",N($D116)=0),"",$F116/$D116)</f>
        <v/>
      </c>
      <c r="H116" s="22"/>
      <c r="I116" s="22"/>
      <c r="J116" s="21" t="str">
        <f aca="false">IF(OR($H116="",$I116=""),"",$H116-$I116)</f>
        <v/>
      </c>
      <c r="K116" s="23" t="str">
        <f aca="false">IF($B116="","",IF($H116="","Data Pending",IF($H116&gt;=$J$4,"Best Fund",IF($H116&gt;=$J$5,"Need to Improve","Not Performing"))))</f>
        <v/>
      </c>
      <c r="L116" s="24" t="str">
        <f aca="false">IF($K116="","",IF($K116="Data Pending","Enter the 3Y return",IF($K116="Best Fund","Hold / consider top-up",IF($K116="Need to Improve","Watch 2 quarters, then decide","Review with client - switch or exit"))))</f>
        <v/>
      </c>
      <c r="M116" s="18"/>
    </row>
    <row r="117" customFormat="false" ht="15" hidden="false" customHeight="true" outlineLevel="0" collapsed="false">
      <c r="A117" s="18"/>
      <c r="B117" s="18"/>
      <c r="C117" s="18"/>
      <c r="D117" s="19"/>
      <c r="E117" s="19"/>
      <c r="F117" s="20" t="str">
        <f aca="false">IF($B117="","",$E117-$D117)</f>
        <v/>
      </c>
      <c r="G117" s="21" t="str">
        <f aca="false">IF(OR($B117="",N($D117)=0),"",$F117/$D117)</f>
        <v/>
      </c>
      <c r="H117" s="22"/>
      <c r="I117" s="22"/>
      <c r="J117" s="21" t="str">
        <f aca="false">IF(OR($H117="",$I117=""),"",$H117-$I117)</f>
        <v/>
      </c>
      <c r="K117" s="23" t="str">
        <f aca="false">IF($B117="","",IF($H117="","Data Pending",IF($H117&gt;=$J$4,"Best Fund",IF($H117&gt;=$J$5,"Need to Improve","Not Performing"))))</f>
        <v/>
      </c>
      <c r="L117" s="24" t="str">
        <f aca="false">IF($K117="","",IF($K117="Data Pending","Enter the 3Y return",IF($K117="Best Fund","Hold / consider top-up",IF($K117="Need to Improve","Watch 2 quarters, then decide","Review with client - switch or exit"))))</f>
        <v/>
      </c>
      <c r="M117" s="18"/>
    </row>
    <row r="118" customFormat="false" ht="15" hidden="false" customHeight="true" outlineLevel="0" collapsed="false">
      <c r="A118" s="18"/>
      <c r="B118" s="18"/>
      <c r="C118" s="18"/>
      <c r="D118" s="19"/>
      <c r="E118" s="19"/>
      <c r="F118" s="20" t="str">
        <f aca="false">IF($B118="","",$E118-$D118)</f>
        <v/>
      </c>
      <c r="G118" s="21" t="str">
        <f aca="false">IF(OR($B118="",N($D118)=0),"",$F118/$D118)</f>
        <v/>
      </c>
      <c r="H118" s="22"/>
      <c r="I118" s="22"/>
      <c r="J118" s="21" t="str">
        <f aca="false">IF(OR($H118="",$I118=""),"",$H118-$I118)</f>
        <v/>
      </c>
      <c r="K118" s="23" t="str">
        <f aca="false">IF($B118="","",IF($H118="","Data Pending",IF($H118&gt;=$J$4,"Best Fund",IF($H118&gt;=$J$5,"Need to Improve","Not Performing"))))</f>
        <v/>
      </c>
      <c r="L118" s="24" t="str">
        <f aca="false">IF($K118="","",IF($K118="Data Pending","Enter the 3Y return",IF($K118="Best Fund","Hold / consider top-up",IF($K118="Need to Improve","Watch 2 quarters, then decide","Review with client - switch or exit"))))</f>
        <v/>
      </c>
      <c r="M118" s="18"/>
    </row>
    <row r="119" customFormat="false" ht="15" hidden="false" customHeight="true" outlineLevel="0" collapsed="false">
      <c r="A119" s="18"/>
      <c r="B119" s="18"/>
      <c r="C119" s="18"/>
      <c r="D119" s="19"/>
      <c r="E119" s="19"/>
      <c r="F119" s="20" t="str">
        <f aca="false">IF($B119="","",$E119-$D119)</f>
        <v/>
      </c>
      <c r="G119" s="21" t="str">
        <f aca="false">IF(OR($B119="",N($D119)=0),"",$F119/$D119)</f>
        <v/>
      </c>
      <c r="H119" s="22"/>
      <c r="I119" s="22"/>
      <c r="J119" s="21" t="str">
        <f aca="false">IF(OR($H119="",$I119=""),"",$H119-$I119)</f>
        <v/>
      </c>
      <c r="K119" s="23" t="str">
        <f aca="false">IF($B119="","",IF($H119="","Data Pending",IF($H119&gt;=$J$4,"Best Fund",IF($H119&gt;=$J$5,"Need to Improve","Not Performing"))))</f>
        <v/>
      </c>
      <c r="L119" s="24" t="str">
        <f aca="false">IF($K119="","",IF($K119="Data Pending","Enter the 3Y return",IF($K119="Best Fund","Hold / consider top-up",IF($K119="Need to Improve","Watch 2 quarters, then decide","Review with client - switch or exit"))))</f>
        <v/>
      </c>
      <c r="M119" s="18"/>
    </row>
    <row r="120" customFormat="false" ht="15" hidden="false" customHeight="true" outlineLevel="0" collapsed="false">
      <c r="A120" s="18"/>
      <c r="B120" s="18"/>
      <c r="C120" s="18"/>
      <c r="D120" s="19"/>
      <c r="E120" s="19"/>
      <c r="F120" s="20" t="str">
        <f aca="false">IF($B120="","",$E120-$D120)</f>
        <v/>
      </c>
      <c r="G120" s="21" t="str">
        <f aca="false">IF(OR($B120="",N($D120)=0),"",$F120/$D120)</f>
        <v/>
      </c>
      <c r="H120" s="22"/>
      <c r="I120" s="22"/>
      <c r="J120" s="21" t="str">
        <f aca="false">IF(OR($H120="",$I120=""),"",$H120-$I120)</f>
        <v/>
      </c>
      <c r="K120" s="23" t="str">
        <f aca="false">IF($B120="","",IF($H120="","Data Pending",IF($H120&gt;=$J$4,"Best Fund",IF($H120&gt;=$J$5,"Need to Improve","Not Performing"))))</f>
        <v/>
      </c>
      <c r="L120" s="24" t="str">
        <f aca="false">IF($K120="","",IF($K120="Data Pending","Enter the 3Y return",IF($K120="Best Fund","Hold / consider top-up",IF($K120="Need to Improve","Watch 2 quarters, then decide","Review with client - switch or exit"))))</f>
        <v/>
      </c>
      <c r="M120" s="18"/>
    </row>
    <row r="121" customFormat="false" ht="15" hidden="false" customHeight="true" outlineLevel="0" collapsed="false">
      <c r="A121" s="18"/>
      <c r="B121" s="18"/>
      <c r="C121" s="18"/>
      <c r="D121" s="19"/>
      <c r="E121" s="19"/>
      <c r="F121" s="20" t="str">
        <f aca="false">IF($B121="","",$E121-$D121)</f>
        <v/>
      </c>
      <c r="G121" s="21" t="str">
        <f aca="false">IF(OR($B121="",N($D121)=0),"",$F121/$D121)</f>
        <v/>
      </c>
      <c r="H121" s="22"/>
      <c r="I121" s="22"/>
      <c r="J121" s="21" t="str">
        <f aca="false">IF(OR($H121="",$I121=""),"",$H121-$I121)</f>
        <v/>
      </c>
      <c r="K121" s="23" t="str">
        <f aca="false">IF($B121="","",IF($H121="","Data Pending",IF($H121&gt;=$J$4,"Best Fund",IF($H121&gt;=$J$5,"Need to Improve","Not Performing"))))</f>
        <v/>
      </c>
      <c r="L121" s="24" t="str">
        <f aca="false">IF($K121="","",IF($K121="Data Pending","Enter the 3Y return",IF($K121="Best Fund","Hold / consider top-up",IF($K121="Need to Improve","Watch 2 quarters, then decide","Review with client - switch or exit"))))</f>
        <v/>
      </c>
      <c r="M121" s="18"/>
    </row>
    <row r="122" customFormat="false" ht="15" hidden="false" customHeight="true" outlineLevel="0" collapsed="false">
      <c r="A122" s="18"/>
      <c r="B122" s="18"/>
      <c r="C122" s="18"/>
      <c r="D122" s="19"/>
      <c r="E122" s="19"/>
      <c r="F122" s="20" t="str">
        <f aca="false">IF($B122="","",$E122-$D122)</f>
        <v/>
      </c>
      <c r="G122" s="21" t="str">
        <f aca="false">IF(OR($B122="",N($D122)=0),"",$F122/$D122)</f>
        <v/>
      </c>
      <c r="H122" s="22"/>
      <c r="I122" s="22"/>
      <c r="J122" s="21" t="str">
        <f aca="false">IF(OR($H122="",$I122=""),"",$H122-$I122)</f>
        <v/>
      </c>
      <c r="K122" s="23" t="str">
        <f aca="false">IF($B122="","",IF($H122="","Data Pending",IF($H122&gt;=$J$4,"Best Fund",IF($H122&gt;=$J$5,"Need to Improve","Not Performing"))))</f>
        <v/>
      </c>
      <c r="L122" s="24" t="str">
        <f aca="false">IF($K122="","",IF($K122="Data Pending","Enter the 3Y return",IF($K122="Best Fund","Hold / consider top-up",IF($K122="Need to Improve","Watch 2 quarters, then decide","Review with client - switch or exit"))))</f>
        <v/>
      </c>
      <c r="M122" s="18"/>
    </row>
    <row r="123" customFormat="false" ht="15" hidden="false" customHeight="true" outlineLevel="0" collapsed="false">
      <c r="A123" s="18"/>
      <c r="B123" s="18"/>
      <c r="C123" s="18"/>
      <c r="D123" s="19"/>
      <c r="E123" s="19"/>
      <c r="F123" s="20" t="str">
        <f aca="false">IF($B123="","",$E123-$D123)</f>
        <v/>
      </c>
      <c r="G123" s="21" t="str">
        <f aca="false">IF(OR($B123="",N($D123)=0),"",$F123/$D123)</f>
        <v/>
      </c>
      <c r="H123" s="22"/>
      <c r="I123" s="22"/>
      <c r="J123" s="21" t="str">
        <f aca="false">IF(OR($H123="",$I123=""),"",$H123-$I123)</f>
        <v/>
      </c>
      <c r="K123" s="23" t="str">
        <f aca="false">IF($B123="","",IF($H123="","Data Pending",IF($H123&gt;=$J$4,"Best Fund",IF($H123&gt;=$J$5,"Need to Improve","Not Performing"))))</f>
        <v/>
      </c>
      <c r="L123" s="24" t="str">
        <f aca="false">IF($K123="","",IF($K123="Data Pending","Enter the 3Y return",IF($K123="Best Fund","Hold / consider top-up",IF($K123="Need to Improve","Watch 2 quarters, then decide","Review with client - switch or exit"))))</f>
        <v/>
      </c>
      <c r="M123" s="18"/>
    </row>
    <row r="124" customFormat="false" ht="15" hidden="false" customHeight="true" outlineLevel="0" collapsed="false">
      <c r="A124" s="18"/>
      <c r="B124" s="18"/>
      <c r="C124" s="18"/>
      <c r="D124" s="19"/>
      <c r="E124" s="19"/>
      <c r="F124" s="20" t="str">
        <f aca="false">IF($B124="","",$E124-$D124)</f>
        <v/>
      </c>
      <c r="G124" s="21" t="str">
        <f aca="false">IF(OR($B124="",N($D124)=0),"",$F124/$D124)</f>
        <v/>
      </c>
      <c r="H124" s="22"/>
      <c r="I124" s="22"/>
      <c r="J124" s="21" t="str">
        <f aca="false">IF(OR($H124="",$I124=""),"",$H124-$I124)</f>
        <v/>
      </c>
      <c r="K124" s="23" t="str">
        <f aca="false">IF($B124="","",IF($H124="","Data Pending",IF($H124&gt;=$J$4,"Best Fund",IF($H124&gt;=$J$5,"Need to Improve","Not Performing"))))</f>
        <v/>
      </c>
      <c r="L124" s="24" t="str">
        <f aca="false">IF($K124="","",IF($K124="Data Pending","Enter the 3Y return",IF($K124="Best Fund","Hold / consider top-up",IF($K124="Need to Improve","Watch 2 quarters, then decide","Review with client - switch or exit"))))</f>
        <v/>
      </c>
      <c r="M124" s="18"/>
    </row>
    <row r="125" customFormat="false" ht="15" hidden="false" customHeight="true" outlineLevel="0" collapsed="false">
      <c r="A125" s="18"/>
      <c r="B125" s="18"/>
      <c r="C125" s="18"/>
      <c r="D125" s="19"/>
      <c r="E125" s="19"/>
      <c r="F125" s="20" t="str">
        <f aca="false">IF($B125="","",$E125-$D125)</f>
        <v/>
      </c>
      <c r="G125" s="21" t="str">
        <f aca="false">IF(OR($B125="",N($D125)=0),"",$F125/$D125)</f>
        <v/>
      </c>
      <c r="H125" s="22"/>
      <c r="I125" s="22"/>
      <c r="J125" s="21" t="str">
        <f aca="false">IF(OR($H125="",$I125=""),"",$H125-$I125)</f>
        <v/>
      </c>
      <c r="K125" s="23" t="str">
        <f aca="false">IF($B125="","",IF($H125="","Data Pending",IF($H125&gt;=$J$4,"Best Fund",IF($H125&gt;=$J$5,"Need to Improve","Not Performing"))))</f>
        <v/>
      </c>
      <c r="L125" s="24" t="str">
        <f aca="false">IF($K125="","",IF($K125="Data Pending","Enter the 3Y return",IF($K125="Best Fund","Hold / consider top-up",IF($K125="Need to Improve","Watch 2 quarters, then decide","Review with client - switch or exit"))))</f>
        <v/>
      </c>
      <c r="M125" s="18"/>
    </row>
    <row r="126" customFormat="false" ht="15" hidden="false" customHeight="true" outlineLevel="0" collapsed="false">
      <c r="A126" s="18"/>
      <c r="B126" s="18"/>
      <c r="C126" s="18"/>
      <c r="D126" s="19"/>
      <c r="E126" s="19"/>
      <c r="F126" s="20" t="str">
        <f aca="false">IF($B126="","",$E126-$D126)</f>
        <v/>
      </c>
      <c r="G126" s="21" t="str">
        <f aca="false">IF(OR($B126="",N($D126)=0),"",$F126/$D126)</f>
        <v/>
      </c>
      <c r="H126" s="22"/>
      <c r="I126" s="22"/>
      <c r="J126" s="21" t="str">
        <f aca="false">IF(OR($H126="",$I126=""),"",$H126-$I126)</f>
        <v/>
      </c>
      <c r="K126" s="23" t="str">
        <f aca="false">IF($B126="","",IF($H126="","Data Pending",IF($H126&gt;=$J$4,"Best Fund",IF($H126&gt;=$J$5,"Need to Improve","Not Performing"))))</f>
        <v/>
      </c>
      <c r="L126" s="24" t="str">
        <f aca="false">IF($K126="","",IF($K126="Data Pending","Enter the 3Y return",IF($K126="Best Fund","Hold / consider top-up",IF($K126="Need to Improve","Watch 2 quarters, then decide","Review with client - switch or exit"))))</f>
        <v/>
      </c>
      <c r="M126" s="18"/>
    </row>
    <row r="127" customFormat="false" ht="15" hidden="false" customHeight="true" outlineLevel="0" collapsed="false">
      <c r="A127" s="18"/>
      <c r="B127" s="18"/>
      <c r="C127" s="18"/>
      <c r="D127" s="19"/>
      <c r="E127" s="19"/>
      <c r="F127" s="20" t="str">
        <f aca="false">IF($B127="","",$E127-$D127)</f>
        <v/>
      </c>
      <c r="G127" s="21" t="str">
        <f aca="false">IF(OR($B127="",N($D127)=0),"",$F127/$D127)</f>
        <v/>
      </c>
      <c r="H127" s="22"/>
      <c r="I127" s="22"/>
      <c r="J127" s="21" t="str">
        <f aca="false">IF(OR($H127="",$I127=""),"",$H127-$I127)</f>
        <v/>
      </c>
      <c r="K127" s="23" t="str">
        <f aca="false">IF($B127="","",IF($H127="","Data Pending",IF($H127&gt;=$J$4,"Best Fund",IF($H127&gt;=$J$5,"Need to Improve","Not Performing"))))</f>
        <v/>
      </c>
      <c r="L127" s="24" t="str">
        <f aca="false">IF($K127="","",IF($K127="Data Pending","Enter the 3Y return",IF($K127="Best Fund","Hold / consider top-up",IF($K127="Need to Improve","Watch 2 quarters, then decide","Review with client - switch or exit"))))</f>
        <v/>
      </c>
      <c r="M127" s="18"/>
    </row>
    <row r="128" customFormat="false" ht="15" hidden="false" customHeight="true" outlineLevel="0" collapsed="false">
      <c r="A128" s="18"/>
      <c r="B128" s="18"/>
      <c r="C128" s="18"/>
      <c r="D128" s="19"/>
      <c r="E128" s="19"/>
      <c r="F128" s="20" t="str">
        <f aca="false">IF($B128="","",$E128-$D128)</f>
        <v/>
      </c>
      <c r="G128" s="21" t="str">
        <f aca="false">IF(OR($B128="",N($D128)=0),"",$F128/$D128)</f>
        <v/>
      </c>
      <c r="H128" s="22"/>
      <c r="I128" s="22"/>
      <c r="J128" s="21" t="str">
        <f aca="false">IF(OR($H128="",$I128=""),"",$H128-$I128)</f>
        <v/>
      </c>
      <c r="K128" s="23" t="str">
        <f aca="false">IF($B128="","",IF($H128="","Data Pending",IF($H128&gt;=$J$4,"Best Fund",IF($H128&gt;=$J$5,"Need to Improve","Not Performing"))))</f>
        <v/>
      </c>
      <c r="L128" s="24" t="str">
        <f aca="false">IF($K128="","",IF($K128="Data Pending","Enter the 3Y return",IF($K128="Best Fund","Hold / consider top-up",IF($K128="Need to Improve","Watch 2 quarters, then decide","Review with client - switch or exit"))))</f>
        <v/>
      </c>
      <c r="M128" s="18"/>
    </row>
    <row r="129" customFormat="false" ht="15" hidden="false" customHeight="true" outlineLevel="0" collapsed="false">
      <c r="A129" s="18"/>
      <c r="B129" s="18"/>
      <c r="C129" s="18"/>
      <c r="D129" s="19"/>
      <c r="E129" s="19"/>
      <c r="F129" s="20" t="str">
        <f aca="false">IF($B129="","",$E129-$D129)</f>
        <v/>
      </c>
      <c r="G129" s="21" t="str">
        <f aca="false">IF(OR($B129="",N($D129)=0),"",$F129/$D129)</f>
        <v/>
      </c>
      <c r="H129" s="22"/>
      <c r="I129" s="22"/>
      <c r="J129" s="21" t="str">
        <f aca="false">IF(OR($H129="",$I129=""),"",$H129-$I129)</f>
        <v/>
      </c>
      <c r="K129" s="23" t="str">
        <f aca="false">IF($B129="","",IF($H129="","Data Pending",IF($H129&gt;=$J$4,"Best Fund",IF($H129&gt;=$J$5,"Need to Improve","Not Performing"))))</f>
        <v/>
      </c>
      <c r="L129" s="24" t="str">
        <f aca="false">IF($K129="","",IF($K129="Data Pending","Enter the 3Y return",IF($K129="Best Fund","Hold / consider top-up",IF($K129="Need to Improve","Watch 2 quarters, then decide","Review with client - switch or exit"))))</f>
        <v/>
      </c>
      <c r="M129" s="18"/>
    </row>
    <row r="130" customFormat="false" ht="15" hidden="false" customHeight="true" outlineLevel="0" collapsed="false">
      <c r="A130" s="18"/>
      <c r="B130" s="18"/>
      <c r="C130" s="18"/>
      <c r="D130" s="19"/>
      <c r="E130" s="19"/>
      <c r="F130" s="20" t="str">
        <f aca="false">IF($B130="","",$E130-$D130)</f>
        <v/>
      </c>
      <c r="G130" s="21" t="str">
        <f aca="false">IF(OR($B130="",N($D130)=0),"",$F130/$D130)</f>
        <v/>
      </c>
      <c r="H130" s="22"/>
      <c r="I130" s="22"/>
      <c r="J130" s="21" t="str">
        <f aca="false">IF(OR($H130="",$I130=""),"",$H130-$I130)</f>
        <v/>
      </c>
      <c r="K130" s="23" t="str">
        <f aca="false">IF($B130="","",IF($H130="","Data Pending",IF($H130&gt;=$J$4,"Best Fund",IF($H130&gt;=$J$5,"Need to Improve","Not Performing"))))</f>
        <v/>
      </c>
      <c r="L130" s="24" t="str">
        <f aca="false">IF($K130="","",IF($K130="Data Pending","Enter the 3Y return",IF($K130="Best Fund","Hold / consider top-up",IF($K130="Need to Improve","Watch 2 quarters, then decide","Review with client - switch or exit"))))</f>
        <v/>
      </c>
      <c r="M130" s="18"/>
    </row>
    <row r="131" customFormat="false" ht="15" hidden="false" customHeight="true" outlineLevel="0" collapsed="false">
      <c r="A131" s="18"/>
      <c r="B131" s="18"/>
      <c r="C131" s="18"/>
      <c r="D131" s="19"/>
      <c r="E131" s="19"/>
      <c r="F131" s="20" t="str">
        <f aca="false">IF($B131="","",$E131-$D131)</f>
        <v/>
      </c>
      <c r="G131" s="21" t="str">
        <f aca="false">IF(OR($B131="",N($D131)=0),"",$F131/$D131)</f>
        <v/>
      </c>
      <c r="H131" s="22"/>
      <c r="I131" s="22"/>
      <c r="J131" s="21" t="str">
        <f aca="false">IF(OR($H131="",$I131=""),"",$H131-$I131)</f>
        <v/>
      </c>
      <c r="K131" s="23" t="str">
        <f aca="false">IF($B131="","",IF($H131="","Data Pending",IF($H131&gt;=$J$4,"Best Fund",IF($H131&gt;=$J$5,"Need to Improve","Not Performing"))))</f>
        <v/>
      </c>
      <c r="L131" s="24" t="str">
        <f aca="false">IF($K131="","",IF($K131="Data Pending","Enter the 3Y return",IF($K131="Best Fund","Hold / consider top-up",IF($K131="Need to Improve","Watch 2 quarters, then decide","Review with client - switch or exit"))))</f>
        <v/>
      </c>
      <c r="M131" s="18"/>
    </row>
    <row r="132" customFormat="false" ht="15" hidden="false" customHeight="true" outlineLevel="0" collapsed="false">
      <c r="A132" s="18"/>
      <c r="B132" s="18"/>
      <c r="C132" s="18"/>
      <c r="D132" s="19"/>
      <c r="E132" s="19"/>
      <c r="F132" s="20" t="str">
        <f aca="false">IF($B132="","",$E132-$D132)</f>
        <v/>
      </c>
      <c r="G132" s="21" t="str">
        <f aca="false">IF(OR($B132="",N($D132)=0),"",$F132/$D132)</f>
        <v/>
      </c>
      <c r="H132" s="22"/>
      <c r="I132" s="22"/>
      <c r="J132" s="21" t="str">
        <f aca="false">IF(OR($H132="",$I132=""),"",$H132-$I132)</f>
        <v/>
      </c>
      <c r="K132" s="23" t="str">
        <f aca="false">IF($B132="","",IF($H132="","Data Pending",IF($H132&gt;=$J$4,"Best Fund",IF($H132&gt;=$J$5,"Need to Improve","Not Performing"))))</f>
        <v/>
      </c>
      <c r="L132" s="24" t="str">
        <f aca="false">IF($K132="","",IF($K132="Data Pending","Enter the 3Y return",IF($K132="Best Fund","Hold / consider top-up",IF($K132="Need to Improve","Watch 2 quarters, then decide","Review with client - switch or exit"))))</f>
        <v/>
      </c>
      <c r="M132" s="18"/>
    </row>
    <row r="133" customFormat="false" ht="15" hidden="false" customHeight="true" outlineLevel="0" collapsed="false">
      <c r="A133" s="18"/>
      <c r="B133" s="18"/>
      <c r="C133" s="18"/>
      <c r="D133" s="19"/>
      <c r="E133" s="19"/>
      <c r="F133" s="20" t="str">
        <f aca="false">IF($B133="","",$E133-$D133)</f>
        <v/>
      </c>
      <c r="G133" s="21" t="str">
        <f aca="false">IF(OR($B133="",N($D133)=0),"",$F133/$D133)</f>
        <v/>
      </c>
      <c r="H133" s="22"/>
      <c r="I133" s="22"/>
      <c r="J133" s="21" t="str">
        <f aca="false">IF(OR($H133="",$I133=""),"",$H133-$I133)</f>
        <v/>
      </c>
      <c r="K133" s="23" t="str">
        <f aca="false">IF($B133="","",IF($H133="","Data Pending",IF($H133&gt;=$J$4,"Best Fund",IF($H133&gt;=$J$5,"Need to Improve","Not Performing"))))</f>
        <v/>
      </c>
      <c r="L133" s="24" t="str">
        <f aca="false">IF($K133="","",IF($K133="Data Pending","Enter the 3Y return",IF($K133="Best Fund","Hold / consider top-up",IF($K133="Need to Improve","Watch 2 quarters, then decide","Review with client - switch or exit"))))</f>
        <v/>
      </c>
      <c r="M133" s="18"/>
    </row>
    <row r="134" customFormat="false" ht="15" hidden="false" customHeight="true" outlineLevel="0" collapsed="false">
      <c r="A134" s="18"/>
      <c r="B134" s="18"/>
      <c r="C134" s="18"/>
      <c r="D134" s="19"/>
      <c r="E134" s="19"/>
      <c r="F134" s="20" t="str">
        <f aca="false">IF($B134="","",$E134-$D134)</f>
        <v/>
      </c>
      <c r="G134" s="21" t="str">
        <f aca="false">IF(OR($B134="",N($D134)=0),"",$F134/$D134)</f>
        <v/>
      </c>
      <c r="H134" s="22"/>
      <c r="I134" s="22"/>
      <c r="J134" s="21" t="str">
        <f aca="false">IF(OR($H134="",$I134=""),"",$H134-$I134)</f>
        <v/>
      </c>
      <c r="K134" s="23" t="str">
        <f aca="false">IF($B134="","",IF($H134="","Data Pending",IF($H134&gt;=$J$4,"Best Fund",IF($H134&gt;=$J$5,"Need to Improve","Not Performing"))))</f>
        <v/>
      </c>
      <c r="L134" s="24" t="str">
        <f aca="false">IF($K134="","",IF($K134="Data Pending","Enter the 3Y return",IF($K134="Best Fund","Hold / consider top-up",IF($K134="Need to Improve","Watch 2 quarters, then decide","Review with client - switch or exit"))))</f>
        <v/>
      </c>
      <c r="M134" s="18"/>
    </row>
    <row r="135" customFormat="false" ht="15" hidden="false" customHeight="true" outlineLevel="0" collapsed="false">
      <c r="A135" s="18"/>
      <c r="B135" s="18"/>
      <c r="C135" s="18"/>
      <c r="D135" s="19"/>
      <c r="E135" s="19"/>
      <c r="F135" s="20" t="str">
        <f aca="false">IF($B135="","",$E135-$D135)</f>
        <v/>
      </c>
      <c r="G135" s="21" t="str">
        <f aca="false">IF(OR($B135="",N($D135)=0),"",$F135/$D135)</f>
        <v/>
      </c>
      <c r="H135" s="22"/>
      <c r="I135" s="22"/>
      <c r="J135" s="21" t="str">
        <f aca="false">IF(OR($H135="",$I135=""),"",$H135-$I135)</f>
        <v/>
      </c>
      <c r="K135" s="23" t="str">
        <f aca="false">IF($B135="","",IF($H135="","Data Pending",IF($H135&gt;=$J$4,"Best Fund",IF($H135&gt;=$J$5,"Need to Improve","Not Performing"))))</f>
        <v/>
      </c>
      <c r="L135" s="24" t="str">
        <f aca="false">IF($K135="","",IF($K135="Data Pending","Enter the 3Y return",IF($K135="Best Fund","Hold / consider top-up",IF($K135="Need to Improve","Watch 2 quarters, then decide","Review with client - switch or exit"))))</f>
        <v/>
      </c>
      <c r="M135" s="18"/>
    </row>
    <row r="136" customFormat="false" ht="15" hidden="false" customHeight="true" outlineLevel="0" collapsed="false">
      <c r="A136" s="18"/>
      <c r="B136" s="18"/>
      <c r="C136" s="18"/>
      <c r="D136" s="19"/>
      <c r="E136" s="19"/>
      <c r="F136" s="20" t="str">
        <f aca="false">IF($B136="","",$E136-$D136)</f>
        <v/>
      </c>
      <c r="G136" s="21" t="str">
        <f aca="false">IF(OR($B136="",N($D136)=0),"",$F136/$D136)</f>
        <v/>
      </c>
      <c r="H136" s="22"/>
      <c r="I136" s="22"/>
      <c r="J136" s="21" t="str">
        <f aca="false">IF(OR($H136="",$I136=""),"",$H136-$I136)</f>
        <v/>
      </c>
      <c r="K136" s="23" t="str">
        <f aca="false">IF($B136="","",IF($H136="","Data Pending",IF($H136&gt;=$J$4,"Best Fund",IF($H136&gt;=$J$5,"Need to Improve","Not Performing"))))</f>
        <v/>
      </c>
      <c r="L136" s="24" t="str">
        <f aca="false">IF($K136="","",IF($K136="Data Pending","Enter the 3Y return",IF($K136="Best Fund","Hold / consider top-up",IF($K136="Need to Improve","Watch 2 quarters, then decide","Review with client - switch or exit"))))</f>
        <v/>
      </c>
      <c r="M136" s="18"/>
    </row>
    <row r="137" customFormat="false" ht="15" hidden="false" customHeight="true" outlineLevel="0" collapsed="false">
      <c r="A137" s="18"/>
      <c r="B137" s="18"/>
      <c r="C137" s="18"/>
      <c r="D137" s="19"/>
      <c r="E137" s="19"/>
      <c r="F137" s="20" t="str">
        <f aca="false">IF($B137="","",$E137-$D137)</f>
        <v/>
      </c>
      <c r="G137" s="21" t="str">
        <f aca="false">IF(OR($B137="",N($D137)=0),"",$F137/$D137)</f>
        <v/>
      </c>
      <c r="H137" s="22"/>
      <c r="I137" s="22"/>
      <c r="J137" s="21" t="str">
        <f aca="false">IF(OR($H137="",$I137=""),"",$H137-$I137)</f>
        <v/>
      </c>
      <c r="K137" s="23" t="str">
        <f aca="false">IF($B137="","",IF($H137="","Data Pending",IF($H137&gt;=$J$4,"Best Fund",IF($H137&gt;=$J$5,"Need to Improve","Not Performing"))))</f>
        <v/>
      </c>
      <c r="L137" s="24" t="str">
        <f aca="false">IF($K137="","",IF($K137="Data Pending","Enter the 3Y return",IF($K137="Best Fund","Hold / consider top-up",IF($K137="Need to Improve","Watch 2 quarters, then decide","Review with client - switch or exit"))))</f>
        <v/>
      </c>
      <c r="M137" s="18"/>
    </row>
    <row r="138" customFormat="false" ht="15" hidden="false" customHeight="true" outlineLevel="0" collapsed="false">
      <c r="A138" s="18"/>
      <c r="B138" s="18"/>
      <c r="C138" s="18"/>
      <c r="D138" s="19"/>
      <c r="E138" s="19"/>
      <c r="F138" s="20" t="str">
        <f aca="false">IF($B138="","",$E138-$D138)</f>
        <v/>
      </c>
      <c r="G138" s="21" t="str">
        <f aca="false">IF(OR($B138="",N($D138)=0),"",$F138/$D138)</f>
        <v/>
      </c>
      <c r="H138" s="22"/>
      <c r="I138" s="22"/>
      <c r="J138" s="21" t="str">
        <f aca="false">IF(OR($H138="",$I138=""),"",$H138-$I138)</f>
        <v/>
      </c>
      <c r="K138" s="23" t="str">
        <f aca="false">IF($B138="","",IF($H138="","Data Pending",IF($H138&gt;=$J$4,"Best Fund",IF($H138&gt;=$J$5,"Need to Improve","Not Performing"))))</f>
        <v/>
      </c>
      <c r="L138" s="24" t="str">
        <f aca="false">IF($K138="","",IF($K138="Data Pending","Enter the 3Y return",IF($K138="Best Fund","Hold / consider top-up",IF($K138="Need to Improve","Watch 2 quarters, then decide","Review with client - switch or exit"))))</f>
        <v/>
      </c>
      <c r="M138" s="18"/>
    </row>
    <row r="139" customFormat="false" ht="15" hidden="false" customHeight="true" outlineLevel="0" collapsed="false">
      <c r="A139" s="18"/>
      <c r="B139" s="18"/>
      <c r="C139" s="18"/>
      <c r="D139" s="19"/>
      <c r="E139" s="19"/>
      <c r="F139" s="20" t="str">
        <f aca="false">IF($B139="","",$E139-$D139)</f>
        <v/>
      </c>
      <c r="G139" s="21" t="str">
        <f aca="false">IF(OR($B139="",N($D139)=0),"",$F139/$D139)</f>
        <v/>
      </c>
      <c r="H139" s="22"/>
      <c r="I139" s="22"/>
      <c r="J139" s="21" t="str">
        <f aca="false">IF(OR($H139="",$I139=""),"",$H139-$I139)</f>
        <v/>
      </c>
      <c r="K139" s="23" t="str">
        <f aca="false">IF($B139="","",IF($H139="","Data Pending",IF($H139&gt;=$J$4,"Best Fund",IF($H139&gt;=$J$5,"Need to Improve","Not Performing"))))</f>
        <v/>
      </c>
      <c r="L139" s="24" t="str">
        <f aca="false">IF($K139="","",IF($K139="Data Pending","Enter the 3Y return",IF($K139="Best Fund","Hold / consider top-up",IF($K139="Need to Improve","Watch 2 quarters, then decide","Review with client - switch or exit"))))</f>
        <v/>
      </c>
      <c r="M139" s="18"/>
    </row>
    <row r="140" customFormat="false" ht="15" hidden="false" customHeight="true" outlineLevel="0" collapsed="false">
      <c r="A140" s="18"/>
      <c r="B140" s="18"/>
      <c r="C140" s="18"/>
      <c r="D140" s="19"/>
      <c r="E140" s="19"/>
      <c r="F140" s="20" t="str">
        <f aca="false">IF($B140="","",$E140-$D140)</f>
        <v/>
      </c>
      <c r="G140" s="21" t="str">
        <f aca="false">IF(OR($B140="",N($D140)=0),"",$F140/$D140)</f>
        <v/>
      </c>
      <c r="H140" s="22"/>
      <c r="I140" s="22"/>
      <c r="J140" s="21" t="str">
        <f aca="false">IF(OR($H140="",$I140=""),"",$H140-$I140)</f>
        <v/>
      </c>
      <c r="K140" s="23" t="str">
        <f aca="false">IF($B140="","",IF($H140="","Data Pending",IF($H140&gt;=$J$4,"Best Fund",IF($H140&gt;=$J$5,"Need to Improve","Not Performing"))))</f>
        <v/>
      </c>
      <c r="L140" s="24" t="str">
        <f aca="false">IF($K140="","",IF($K140="Data Pending","Enter the 3Y return",IF($K140="Best Fund","Hold / consider top-up",IF($K140="Need to Improve","Watch 2 quarters, then decide","Review with client - switch or exit"))))</f>
        <v/>
      </c>
      <c r="M140" s="18"/>
    </row>
    <row r="141" customFormat="false" ht="15" hidden="false" customHeight="true" outlineLevel="0" collapsed="false">
      <c r="A141" s="18"/>
      <c r="B141" s="18"/>
      <c r="C141" s="18"/>
      <c r="D141" s="19"/>
      <c r="E141" s="19"/>
      <c r="F141" s="20" t="str">
        <f aca="false">IF($B141="","",$E141-$D141)</f>
        <v/>
      </c>
      <c r="G141" s="21" t="str">
        <f aca="false">IF(OR($B141="",N($D141)=0),"",$F141/$D141)</f>
        <v/>
      </c>
      <c r="H141" s="22"/>
      <c r="I141" s="22"/>
      <c r="J141" s="21" t="str">
        <f aca="false">IF(OR($H141="",$I141=""),"",$H141-$I141)</f>
        <v/>
      </c>
      <c r="K141" s="23" t="str">
        <f aca="false">IF($B141="","",IF($H141="","Data Pending",IF($H141&gt;=$J$4,"Best Fund",IF($H141&gt;=$J$5,"Need to Improve","Not Performing"))))</f>
        <v/>
      </c>
      <c r="L141" s="24" t="str">
        <f aca="false">IF($K141="","",IF($K141="Data Pending","Enter the 3Y return",IF($K141="Best Fund","Hold / consider top-up",IF($K141="Need to Improve","Watch 2 quarters, then decide","Review with client - switch or exit"))))</f>
        <v/>
      </c>
      <c r="M141" s="18"/>
    </row>
    <row r="142" customFormat="false" ht="15" hidden="false" customHeight="true" outlineLevel="0" collapsed="false">
      <c r="A142" s="18"/>
      <c r="B142" s="18"/>
      <c r="C142" s="18"/>
      <c r="D142" s="19"/>
      <c r="E142" s="19"/>
      <c r="F142" s="20" t="str">
        <f aca="false">IF($B142="","",$E142-$D142)</f>
        <v/>
      </c>
      <c r="G142" s="21" t="str">
        <f aca="false">IF(OR($B142="",N($D142)=0),"",$F142/$D142)</f>
        <v/>
      </c>
      <c r="H142" s="22"/>
      <c r="I142" s="22"/>
      <c r="J142" s="21" t="str">
        <f aca="false">IF(OR($H142="",$I142=""),"",$H142-$I142)</f>
        <v/>
      </c>
      <c r="K142" s="23" t="str">
        <f aca="false">IF($B142="","",IF($H142="","Data Pending",IF($H142&gt;=$J$4,"Best Fund",IF($H142&gt;=$J$5,"Need to Improve","Not Performing"))))</f>
        <v/>
      </c>
      <c r="L142" s="24" t="str">
        <f aca="false">IF($K142="","",IF($K142="Data Pending","Enter the 3Y return",IF($K142="Best Fund","Hold / consider top-up",IF($K142="Need to Improve","Watch 2 quarters, then decide","Review with client - switch or exit"))))</f>
        <v/>
      </c>
      <c r="M142" s="18"/>
    </row>
    <row r="143" customFormat="false" ht="15" hidden="false" customHeight="true" outlineLevel="0" collapsed="false">
      <c r="A143" s="18"/>
      <c r="B143" s="18"/>
      <c r="C143" s="18"/>
      <c r="D143" s="19"/>
      <c r="E143" s="19"/>
      <c r="F143" s="20" t="str">
        <f aca="false">IF($B143="","",$E143-$D143)</f>
        <v/>
      </c>
      <c r="G143" s="21" t="str">
        <f aca="false">IF(OR($B143="",N($D143)=0),"",$F143/$D143)</f>
        <v/>
      </c>
      <c r="H143" s="22"/>
      <c r="I143" s="22"/>
      <c r="J143" s="21" t="str">
        <f aca="false">IF(OR($H143="",$I143=""),"",$H143-$I143)</f>
        <v/>
      </c>
      <c r="K143" s="23" t="str">
        <f aca="false">IF($B143="","",IF($H143="","Data Pending",IF($H143&gt;=$J$4,"Best Fund",IF($H143&gt;=$J$5,"Need to Improve","Not Performing"))))</f>
        <v/>
      </c>
      <c r="L143" s="24" t="str">
        <f aca="false">IF($K143="","",IF($K143="Data Pending","Enter the 3Y return",IF($K143="Best Fund","Hold / consider top-up",IF($K143="Need to Improve","Watch 2 quarters, then decide","Review with client - switch or exit"))))</f>
        <v/>
      </c>
      <c r="M143" s="18"/>
    </row>
    <row r="144" customFormat="false" ht="15" hidden="false" customHeight="true" outlineLevel="0" collapsed="false">
      <c r="A144" s="18"/>
      <c r="B144" s="18"/>
      <c r="C144" s="18"/>
      <c r="D144" s="19"/>
      <c r="E144" s="19"/>
      <c r="F144" s="20" t="str">
        <f aca="false">IF($B144="","",$E144-$D144)</f>
        <v/>
      </c>
      <c r="G144" s="21" t="str">
        <f aca="false">IF(OR($B144="",N($D144)=0),"",$F144/$D144)</f>
        <v/>
      </c>
      <c r="H144" s="22"/>
      <c r="I144" s="22"/>
      <c r="J144" s="21" t="str">
        <f aca="false">IF(OR($H144="",$I144=""),"",$H144-$I144)</f>
        <v/>
      </c>
      <c r="K144" s="23" t="str">
        <f aca="false">IF($B144="","",IF($H144="","Data Pending",IF($H144&gt;=$J$4,"Best Fund",IF($H144&gt;=$J$5,"Need to Improve","Not Performing"))))</f>
        <v/>
      </c>
      <c r="L144" s="24" t="str">
        <f aca="false">IF($K144="","",IF($K144="Data Pending","Enter the 3Y return",IF($K144="Best Fund","Hold / consider top-up",IF($K144="Need to Improve","Watch 2 quarters, then decide","Review with client - switch or exit"))))</f>
        <v/>
      </c>
      <c r="M144" s="18"/>
    </row>
    <row r="145" customFormat="false" ht="15" hidden="false" customHeight="true" outlineLevel="0" collapsed="false">
      <c r="A145" s="18"/>
      <c r="B145" s="18"/>
      <c r="C145" s="18"/>
      <c r="D145" s="19"/>
      <c r="E145" s="19"/>
      <c r="F145" s="20" t="str">
        <f aca="false">IF($B145="","",$E145-$D145)</f>
        <v/>
      </c>
      <c r="G145" s="21" t="str">
        <f aca="false">IF(OR($B145="",N($D145)=0),"",$F145/$D145)</f>
        <v/>
      </c>
      <c r="H145" s="22"/>
      <c r="I145" s="22"/>
      <c r="J145" s="21" t="str">
        <f aca="false">IF(OR($H145="",$I145=""),"",$H145-$I145)</f>
        <v/>
      </c>
      <c r="K145" s="23" t="str">
        <f aca="false">IF($B145="","",IF($H145="","Data Pending",IF($H145&gt;=$J$4,"Best Fund",IF($H145&gt;=$J$5,"Need to Improve","Not Performing"))))</f>
        <v/>
      </c>
      <c r="L145" s="24" t="str">
        <f aca="false">IF($K145="","",IF($K145="Data Pending","Enter the 3Y return",IF($K145="Best Fund","Hold / consider top-up",IF($K145="Need to Improve","Watch 2 quarters, then decide","Review with client - switch or exit"))))</f>
        <v/>
      </c>
      <c r="M145" s="18"/>
    </row>
    <row r="146" customFormat="false" ht="15" hidden="false" customHeight="true" outlineLevel="0" collapsed="false">
      <c r="A146" s="18"/>
      <c r="B146" s="18"/>
      <c r="C146" s="18"/>
      <c r="D146" s="19"/>
      <c r="E146" s="19"/>
      <c r="F146" s="20" t="str">
        <f aca="false">IF($B146="","",$E146-$D146)</f>
        <v/>
      </c>
      <c r="G146" s="21" t="str">
        <f aca="false">IF(OR($B146="",N($D146)=0),"",$F146/$D146)</f>
        <v/>
      </c>
      <c r="H146" s="22"/>
      <c r="I146" s="22"/>
      <c r="J146" s="21" t="str">
        <f aca="false">IF(OR($H146="",$I146=""),"",$H146-$I146)</f>
        <v/>
      </c>
      <c r="K146" s="23" t="str">
        <f aca="false">IF($B146="","",IF($H146="","Data Pending",IF($H146&gt;=$J$4,"Best Fund",IF($H146&gt;=$J$5,"Need to Improve","Not Performing"))))</f>
        <v/>
      </c>
      <c r="L146" s="24" t="str">
        <f aca="false">IF($K146="","",IF($K146="Data Pending","Enter the 3Y return",IF($K146="Best Fund","Hold / consider top-up",IF($K146="Need to Improve","Watch 2 quarters, then decide","Review with client - switch or exit"))))</f>
        <v/>
      </c>
      <c r="M146" s="18"/>
    </row>
    <row r="147" customFormat="false" ht="15" hidden="false" customHeight="true" outlineLevel="0" collapsed="false">
      <c r="A147" s="18"/>
      <c r="B147" s="18"/>
      <c r="C147" s="18"/>
      <c r="D147" s="19"/>
      <c r="E147" s="19"/>
      <c r="F147" s="20" t="str">
        <f aca="false">IF($B147="","",$E147-$D147)</f>
        <v/>
      </c>
      <c r="G147" s="21" t="str">
        <f aca="false">IF(OR($B147="",N($D147)=0),"",$F147/$D147)</f>
        <v/>
      </c>
      <c r="H147" s="22"/>
      <c r="I147" s="22"/>
      <c r="J147" s="21" t="str">
        <f aca="false">IF(OR($H147="",$I147=""),"",$H147-$I147)</f>
        <v/>
      </c>
      <c r="K147" s="23" t="str">
        <f aca="false">IF($B147="","",IF($H147="","Data Pending",IF($H147&gt;=$J$4,"Best Fund",IF($H147&gt;=$J$5,"Need to Improve","Not Performing"))))</f>
        <v/>
      </c>
      <c r="L147" s="24" t="str">
        <f aca="false">IF($K147="","",IF($K147="Data Pending","Enter the 3Y return",IF($K147="Best Fund","Hold / consider top-up",IF($K147="Need to Improve","Watch 2 quarters, then decide","Review with client - switch or exit"))))</f>
        <v/>
      </c>
      <c r="M147" s="18"/>
    </row>
    <row r="148" customFormat="false" ht="15" hidden="false" customHeight="true" outlineLevel="0" collapsed="false">
      <c r="A148" s="18"/>
      <c r="B148" s="18"/>
      <c r="C148" s="18"/>
      <c r="D148" s="19"/>
      <c r="E148" s="19"/>
      <c r="F148" s="20" t="str">
        <f aca="false">IF($B148="","",$E148-$D148)</f>
        <v/>
      </c>
      <c r="G148" s="21" t="str">
        <f aca="false">IF(OR($B148="",N($D148)=0),"",$F148/$D148)</f>
        <v/>
      </c>
      <c r="H148" s="22"/>
      <c r="I148" s="22"/>
      <c r="J148" s="21" t="str">
        <f aca="false">IF(OR($H148="",$I148=""),"",$H148-$I148)</f>
        <v/>
      </c>
      <c r="K148" s="23" t="str">
        <f aca="false">IF($B148="","",IF($H148="","Data Pending",IF($H148&gt;=$J$4,"Best Fund",IF($H148&gt;=$J$5,"Need to Improve","Not Performing"))))</f>
        <v/>
      </c>
      <c r="L148" s="24" t="str">
        <f aca="false">IF($K148="","",IF($K148="Data Pending","Enter the 3Y return",IF($K148="Best Fund","Hold / consider top-up",IF($K148="Need to Improve","Watch 2 quarters, then decide","Review with client - switch or exit"))))</f>
        <v/>
      </c>
      <c r="M148" s="18"/>
    </row>
    <row r="149" customFormat="false" ht="15" hidden="false" customHeight="true" outlineLevel="0" collapsed="false">
      <c r="A149" s="18"/>
      <c r="B149" s="18"/>
      <c r="C149" s="18"/>
      <c r="D149" s="19"/>
      <c r="E149" s="19"/>
      <c r="F149" s="20" t="str">
        <f aca="false">IF($B149="","",$E149-$D149)</f>
        <v/>
      </c>
      <c r="G149" s="21" t="str">
        <f aca="false">IF(OR($B149="",N($D149)=0),"",$F149/$D149)</f>
        <v/>
      </c>
      <c r="H149" s="22"/>
      <c r="I149" s="22"/>
      <c r="J149" s="21" t="str">
        <f aca="false">IF(OR($H149="",$I149=""),"",$H149-$I149)</f>
        <v/>
      </c>
      <c r="K149" s="23" t="str">
        <f aca="false">IF($B149="","",IF($H149="","Data Pending",IF($H149&gt;=$J$4,"Best Fund",IF($H149&gt;=$J$5,"Need to Improve","Not Performing"))))</f>
        <v/>
      </c>
      <c r="L149" s="24" t="str">
        <f aca="false">IF($K149="","",IF($K149="Data Pending","Enter the 3Y return",IF($K149="Best Fund","Hold / consider top-up",IF($K149="Need to Improve","Watch 2 quarters, then decide","Review with client - switch or exit"))))</f>
        <v/>
      </c>
      <c r="M149" s="18"/>
    </row>
    <row r="150" customFormat="false" ht="15" hidden="false" customHeight="true" outlineLevel="0" collapsed="false">
      <c r="A150" s="18"/>
      <c r="B150" s="18"/>
      <c r="C150" s="18"/>
      <c r="D150" s="19"/>
      <c r="E150" s="19"/>
      <c r="F150" s="20" t="str">
        <f aca="false">IF($B150="","",$E150-$D150)</f>
        <v/>
      </c>
      <c r="G150" s="21" t="str">
        <f aca="false">IF(OR($B150="",N($D150)=0),"",$F150/$D150)</f>
        <v/>
      </c>
      <c r="H150" s="22"/>
      <c r="I150" s="22"/>
      <c r="J150" s="21" t="str">
        <f aca="false">IF(OR($H150="",$I150=""),"",$H150-$I150)</f>
        <v/>
      </c>
      <c r="K150" s="23" t="str">
        <f aca="false">IF($B150="","",IF($H150="","Data Pending",IF($H150&gt;=$J$4,"Best Fund",IF($H150&gt;=$J$5,"Need to Improve","Not Performing"))))</f>
        <v/>
      </c>
      <c r="L150" s="24" t="str">
        <f aca="false">IF($K150="","",IF($K150="Data Pending","Enter the 3Y return",IF($K150="Best Fund","Hold / consider top-up",IF($K150="Need to Improve","Watch 2 quarters, then decide","Review with client - switch or exit"))))</f>
        <v/>
      </c>
      <c r="M150" s="18"/>
    </row>
    <row r="151" customFormat="false" ht="15" hidden="false" customHeight="true" outlineLevel="0" collapsed="false">
      <c r="A151" s="18"/>
      <c r="B151" s="18"/>
      <c r="C151" s="18"/>
      <c r="D151" s="19"/>
      <c r="E151" s="19"/>
      <c r="F151" s="20" t="str">
        <f aca="false">IF($B151="","",$E151-$D151)</f>
        <v/>
      </c>
      <c r="G151" s="21" t="str">
        <f aca="false">IF(OR($B151="",N($D151)=0),"",$F151/$D151)</f>
        <v/>
      </c>
      <c r="H151" s="22"/>
      <c r="I151" s="22"/>
      <c r="J151" s="21" t="str">
        <f aca="false">IF(OR($H151="",$I151=""),"",$H151-$I151)</f>
        <v/>
      </c>
      <c r="K151" s="23" t="str">
        <f aca="false">IF($B151="","",IF($H151="","Data Pending",IF($H151&gt;=$J$4,"Best Fund",IF($H151&gt;=$J$5,"Need to Improve","Not Performing"))))</f>
        <v/>
      </c>
      <c r="L151" s="24" t="str">
        <f aca="false">IF($K151="","",IF($K151="Data Pending","Enter the 3Y return",IF($K151="Best Fund","Hold / consider top-up",IF($K151="Need to Improve","Watch 2 quarters, then decide","Review with client - switch or exit"))))</f>
        <v/>
      </c>
      <c r="M151" s="18"/>
    </row>
    <row r="152" customFormat="false" ht="15" hidden="false" customHeight="true" outlineLevel="0" collapsed="false">
      <c r="A152" s="18"/>
      <c r="B152" s="18"/>
      <c r="C152" s="18"/>
      <c r="D152" s="19"/>
      <c r="E152" s="19"/>
      <c r="F152" s="20" t="str">
        <f aca="false">IF($B152="","",$E152-$D152)</f>
        <v/>
      </c>
      <c r="G152" s="21" t="str">
        <f aca="false">IF(OR($B152="",N($D152)=0),"",$F152/$D152)</f>
        <v/>
      </c>
      <c r="H152" s="22"/>
      <c r="I152" s="22"/>
      <c r="J152" s="21" t="str">
        <f aca="false">IF(OR($H152="",$I152=""),"",$H152-$I152)</f>
        <v/>
      </c>
      <c r="K152" s="23" t="str">
        <f aca="false">IF($B152="","",IF($H152="","Data Pending",IF($H152&gt;=$J$4,"Best Fund",IF($H152&gt;=$J$5,"Need to Improve","Not Performing"))))</f>
        <v/>
      </c>
      <c r="L152" s="24" t="str">
        <f aca="false">IF($K152="","",IF($K152="Data Pending","Enter the 3Y return",IF($K152="Best Fund","Hold / consider top-up",IF($K152="Need to Improve","Watch 2 quarters, then decide","Review with client - switch or exit"))))</f>
        <v/>
      </c>
      <c r="M152" s="18"/>
    </row>
    <row r="153" customFormat="false" ht="15" hidden="false" customHeight="true" outlineLevel="0" collapsed="false">
      <c r="A153" s="18"/>
      <c r="B153" s="18"/>
      <c r="C153" s="18"/>
      <c r="D153" s="19"/>
      <c r="E153" s="19"/>
      <c r="F153" s="20" t="str">
        <f aca="false">IF($B153="","",$E153-$D153)</f>
        <v/>
      </c>
      <c r="G153" s="21" t="str">
        <f aca="false">IF(OR($B153="",N($D153)=0),"",$F153/$D153)</f>
        <v/>
      </c>
      <c r="H153" s="22"/>
      <c r="I153" s="22"/>
      <c r="J153" s="21" t="str">
        <f aca="false">IF(OR($H153="",$I153=""),"",$H153-$I153)</f>
        <v/>
      </c>
      <c r="K153" s="23" t="str">
        <f aca="false">IF($B153="","",IF($H153="","Data Pending",IF($H153&gt;=$J$4,"Best Fund",IF($H153&gt;=$J$5,"Need to Improve","Not Performing"))))</f>
        <v/>
      </c>
      <c r="L153" s="24" t="str">
        <f aca="false">IF($K153="","",IF($K153="Data Pending","Enter the 3Y return",IF($K153="Best Fund","Hold / consider top-up",IF($K153="Need to Improve","Watch 2 quarters, then decide","Review with client - switch or exit"))))</f>
        <v/>
      </c>
      <c r="M153" s="18"/>
    </row>
    <row r="154" customFormat="false" ht="15" hidden="false" customHeight="true" outlineLevel="0" collapsed="false">
      <c r="A154" s="18"/>
      <c r="B154" s="18"/>
      <c r="C154" s="18"/>
      <c r="D154" s="19"/>
      <c r="E154" s="19"/>
      <c r="F154" s="20" t="str">
        <f aca="false">IF($B154="","",$E154-$D154)</f>
        <v/>
      </c>
      <c r="G154" s="21" t="str">
        <f aca="false">IF(OR($B154="",N($D154)=0),"",$F154/$D154)</f>
        <v/>
      </c>
      <c r="H154" s="22"/>
      <c r="I154" s="22"/>
      <c r="J154" s="21" t="str">
        <f aca="false">IF(OR($H154="",$I154=""),"",$H154-$I154)</f>
        <v/>
      </c>
      <c r="K154" s="23" t="str">
        <f aca="false">IF($B154="","",IF($H154="","Data Pending",IF($H154&gt;=$J$4,"Best Fund",IF($H154&gt;=$J$5,"Need to Improve","Not Performing"))))</f>
        <v/>
      </c>
      <c r="L154" s="24" t="str">
        <f aca="false">IF($K154="","",IF($K154="Data Pending","Enter the 3Y return",IF($K154="Best Fund","Hold / consider top-up",IF($K154="Need to Improve","Watch 2 quarters, then decide","Review with client - switch or exit"))))</f>
        <v/>
      </c>
      <c r="M154" s="18"/>
    </row>
    <row r="155" customFormat="false" ht="15" hidden="false" customHeight="true" outlineLevel="0" collapsed="false">
      <c r="A155" s="18"/>
      <c r="B155" s="18"/>
      <c r="C155" s="18"/>
      <c r="D155" s="19"/>
      <c r="E155" s="19"/>
      <c r="F155" s="20" t="str">
        <f aca="false">IF($B155="","",$E155-$D155)</f>
        <v/>
      </c>
      <c r="G155" s="21" t="str">
        <f aca="false">IF(OR($B155="",N($D155)=0),"",$F155/$D155)</f>
        <v/>
      </c>
      <c r="H155" s="22"/>
      <c r="I155" s="22"/>
      <c r="J155" s="21" t="str">
        <f aca="false">IF(OR($H155="",$I155=""),"",$H155-$I155)</f>
        <v/>
      </c>
      <c r="K155" s="23" t="str">
        <f aca="false">IF($B155="","",IF($H155="","Data Pending",IF($H155&gt;=$J$4,"Best Fund",IF($H155&gt;=$J$5,"Need to Improve","Not Performing"))))</f>
        <v/>
      </c>
      <c r="L155" s="24" t="str">
        <f aca="false">IF($K155="","",IF($K155="Data Pending","Enter the 3Y return",IF($K155="Best Fund","Hold / consider top-up",IF($K155="Need to Improve","Watch 2 quarters, then decide","Review with client - switch or exit"))))</f>
        <v/>
      </c>
      <c r="M155" s="18"/>
    </row>
    <row r="156" customFormat="false" ht="15" hidden="false" customHeight="true" outlineLevel="0" collapsed="false">
      <c r="A156" s="18"/>
      <c r="B156" s="18"/>
      <c r="C156" s="18"/>
      <c r="D156" s="19"/>
      <c r="E156" s="19"/>
      <c r="F156" s="20" t="str">
        <f aca="false">IF($B156="","",$E156-$D156)</f>
        <v/>
      </c>
      <c r="G156" s="21" t="str">
        <f aca="false">IF(OR($B156="",N($D156)=0),"",$F156/$D156)</f>
        <v/>
      </c>
      <c r="H156" s="22"/>
      <c r="I156" s="22"/>
      <c r="J156" s="21" t="str">
        <f aca="false">IF(OR($H156="",$I156=""),"",$H156-$I156)</f>
        <v/>
      </c>
      <c r="K156" s="23" t="str">
        <f aca="false">IF($B156="","",IF($H156="","Data Pending",IF($H156&gt;=$J$4,"Best Fund",IF($H156&gt;=$J$5,"Need to Improve","Not Performing"))))</f>
        <v/>
      </c>
      <c r="L156" s="24" t="str">
        <f aca="false">IF($K156="","",IF($K156="Data Pending","Enter the 3Y return",IF($K156="Best Fund","Hold / consider top-up",IF($K156="Need to Improve","Watch 2 quarters, then decide","Review with client - switch or exit"))))</f>
        <v/>
      </c>
      <c r="M156" s="18"/>
    </row>
    <row r="157" customFormat="false" ht="15" hidden="false" customHeight="true" outlineLevel="0" collapsed="false">
      <c r="A157" s="18"/>
      <c r="B157" s="18"/>
      <c r="C157" s="18"/>
      <c r="D157" s="19"/>
      <c r="E157" s="19"/>
      <c r="F157" s="20" t="str">
        <f aca="false">IF($B157="","",$E157-$D157)</f>
        <v/>
      </c>
      <c r="G157" s="21" t="str">
        <f aca="false">IF(OR($B157="",N($D157)=0),"",$F157/$D157)</f>
        <v/>
      </c>
      <c r="H157" s="22"/>
      <c r="I157" s="22"/>
      <c r="J157" s="21" t="str">
        <f aca="false">IF(OR($H157="",$I157=""),"",$H157-$I157)</f>
        <v/>
      </c>
      <c r="K157" s="23" t="str">
        <f aca="false">IF($B157="","",IF($H157="","Data Pending",IF($H157&gt;=$J$4,"Best Fund",IF($H157&gt;=$J$5,"Need to Improve","Not Performing"))))</f>
        <v/>
      </c>
      <c r="L157" s="24" t="str">
        <f aca="false">IF($K157="","",IF($K157="Data Pending","Enter the 3Y return",IF($K157="Best Fund","Hold / consider top-up",IF($K157="Need to Improve","Watch 2 quarters, then decide","Review with client - switch or exit"))))</f>
        <v/>
      </c>
      <c r="M157" s="18"/>
    </row>
    <row r="158" customFormat="false" ht="15" hidden="false" customHeight="true" outlineLevel="0" collapsed="false">
      <c r="A158" s="18"/>
      <c r="B158" s="18"/>
      <c r="C158" s="18"/>
      <c r="D158" s="19"/>
      <c r="E158" s="19"/>
      <c r="F158" s="20" t="str">
        <f aca="false">IF($B158="","",$E158-$D158)</f>
        <v/>
      </c>
      <c r="G158" s="21" t="str">
        <f aca="false">IF(OR($B158="",N($D158)=0),"",$F158/$D158)</f>
        <v/>
      </c>
      <c r="H158" s="22"/>
      <c r="I158" s="22"/>
      <c r="J158" s="21" t="str">
        <f aca="false">IF(OR($H158="",$I158=""),"",$H158-$I158)</f>
        <v/>
      </c>
      <c r="K158" s="23" t="str">
        <f aca="false">IF($B158="","",IF($H158="","Data Pending",IF($H158&gt;=$J$4,"Best Fund",IF($H158&gt;=$J$5,"Need to Improve","Not Performing"))))</f>
        <v/>
      </c>
      <c r="L158" s="24" t="str">
        <f aca="false">IF($K158="","",IF($K158="Data Pending","Enter the 3Y return",IF($K158="Best Fund","Hold / consider top-up",IF($K158="Need to Improve","Watch 2 quarters, then decide","Review with client - switch or exit"))))</f>
        <v/>
      </c>
      <c r="M158" s="18"/>
    </row>
    <row r="159" customFormat="false" ht="15" hidden="false" customHeight="true" outlineLevel="0" collapsed="false">
      <c r="A159" s="18"/>
      <c r="B159" s="18"/>
      <c r="C159" s="18"/>
      <c r="D159" s="19"/>
      <c r="E159" s="19"/>
      <c r="F159" s="20" t="str">
        <f aca="false">IF($B159="","",$E159-$D159)</f>
        <v/>
      </c>
      <c r="G159" s="21" t="str">
        <f aca="false">IF(OR($B159="",N($D159)=0),"",$F159/$D159)</f>
        <v/>
      </c>
      <c r="H159" s="22"/>
      <c r="I159" s="22"/>
      <c r="J159" s="21" t="str">
        <f aca="false">IF(OR($H159="",$I159=""),"",$H159-$I159)</f>
        <v/>
      </c>
      <c r="K159" s="23" t="str">
        <f aca="false">IF($B159="","",IF($H159="","Data Pending",IF($H159&gt;=$J$4,"Best Fund",IF($H159&gt;=$J$5,"Need to Improve","Not Performing"))))</f>
        <v/>
      </c>
      <c r="L159" s="24" t="str">
        <f aca="false">IF($K159="","",IF($K159="Data Pending","Enter the 3Y return",IF($K159="Best Fund","Hold / consider top-up",IF($K159="Need to Improve","Watch 2 quarters, then decide","Review with client - switch or exit"))))</f>
        <v/>
      </c>
      <c r="M159" s="18"/>
    </row>
    <row r="160" customFormat="false" ht="15" hidden="false" customHeight="true" outlineLevel="0" collapsed="false">
      <c r="A160" s="18"/>
      <c r="B160" s="18"/>
      <c r="C160" s="18"/>
      <c r="D160" s="19"/>
      <c r="E160" s="19"/>
      <c r="F160" s="20" t="str">
        <f aca="false">IF($B160="","",$E160-$D160)</f>
        <v/>
      </c>
      <c r="G160" s="21" t="str">
        <f aca="false">IF(OR($B160="",N($D160)=0),"",$F160/$D160)</f>
        <v/>
      </c>
      <c r="H160" s="22"/>
      <c r="I160" s="22"/>
      <c r="J160" s="21" t="str">
        <f aca="false">IF(OR($H160="",$I160=""),"",$H160-$I160)</f>
        <v/>
      </c>
      <c r="K160" s="23" t="str">
        <f aca="false">IF($B160="","",IF($H160="","Data Pending",IF($H160&gt;=$J$4,"Best Fund",IF($H160&gt;=$J$5,"Need to Improve","Not Performing"))))</f>
        <v/>
      </c>
      <c r="L160" s="24" t="str">
        <f aca="false">IF($K160="","",IF($K160="Data Pending","Enter the 3Y return",IF($K160="Best Fund","Hold / consider top-up",IF($K160="Need to Improve","Watch 2 quarters, then decide","Review with client - switch or exit"))))</f>
        <v/>
      </c>
      <c r="M160" s="18"/>
    </row>
    <row r="161" customFormat="false" ht="15" hidden="false" customHeight="true" outlineLevel="0" collapsed="false">
      <c r="A161" s="18"/>
      <c r="B161" s="18"/>
      <c r="C161" s="18"/>
      <c r="D161" s="19"/>
      <c r="E161" s="19"/>
      <c r="F161" s="20" t="str">
        <f aca="false">IF($B161="","",$E161-$D161)</f>
        <v/>
      </c>
      <c r="G161" s="21" t="str">
        <f aca="false">IF(OR($B161="",N($D161)=0),"",$F161/$D161)</f>
        <v/>
      </c>
      <c r="H161" s="22"/>
      <c r="I161" s="22"/>
      <c r="J161" s="21" t="str">
        <f aca="false">IF(OR($H161="",$I161=""),"",$H161-$I161)</f>
        <v/>
      </c>
      <c r="K161" s="23" t="str">
        <f aca="false">IF($B161="","",IF($H161="","Data Pending",IF($H161&gt;=$J$4,"Best Fund",IF($H161&gt;=$J$5,"Need to Improve","Not Performing"))))</f>
        <v/>
      </c>
      <c r="L161" s="24" t="str">
        <f aca="false">IF($K161="","",IF($K161="Data Pending","Enter the 3Y return",IF($K161="Best Fund","Hold / consider top-up",IF($K161="Need to Improve","Watch 2 quarters, then decide","Review with client - switch or exit"))))</f>
        <v/>
      </c>
      <c r="M161" s="18"/>
    </row>
    <row r="162" customFormat="false" ht="15" hidden="false" customHeight="true" outlineLevel="0" collapsed="false">
      <c r="A162" s="18"/>
      <c r="B162" s="18"/>
      <c r="C162" s="18"/>
      <c r="D162" s="19"/>
      <c r="E162" s="19"/>
      <c r="F162" s="20" t="str">
        <f aca="false">IF($B162="","",$E162-$D162)</f>
        <v/>
      </c>
      <c r="G162" s="21" t="str">
        <f aca="false">IF(OR($B162="",N($D162)=0),"",$F162/$D162)</f>
        <v/>
      </c>
      <c r="H162" s="22"/>
      <c r="I162" s="22"/>
      <c r="J162" s="21" t="str">
        <f aca="false">IF(OR($H162="",$I162=""),"",$H162-$I162)</f>
        <v/>
      </c>
      <c r="K162" s="23" t="str">
        <f aca="false">IF($B162="","",IF($H162="","Data Pending",IF($H162&gt;=$J$4,"Best Fund",IF($H162&gt;=$J$5,"Need to Improve","Not Performing"))))</f>
        <v/>
      </c>
      <c r="L162" s="24" t="str">
        <f aca="false">IF($K162="","",IF($K162="Data Pending","Enter the 3Y return",IF($K162="Best Fund","Hold / consider top-up",IF($K162="Need to Improve","Watch 2 quarters, then decide","Review with client - switch or exit"))))</f>
        <v/>
      </c>
      <c r="M162" s="18"/>
    </row>
    <row r="163" customFormat="false" ht="15" hidden="false" customHeight="true" outlineLevel="0" collapsed="false">
      <c r="A163" s="18"/>
      <c r="B163" s="18"/>
      <c r="C163" s="18"/>
      <c r="D163" s="19"/>
      <c r="E163" s="19"/>
      <c r="F163" s="20" t="str">
        <f aca="false">IF($B163="","",$E163-$D163)</f>
        <v/>
      </c>
      <c r="G163" s="21" t="str">
        <f aca="false">IF(OR($B163="",N($D163)=0),"",$F163/$D163)</f>
        <v/>
      </c>
      <c r="H163" s="22"/>
      <c r="I163" s="22"/>
      <c r="J163" s="21" t="str">
        <f aca="false">IF(OR($H163="",$I163=""),"",$H163-$I163)</f>
        <v/>
      </c>
      <c r="K163" s="23" t="str">
        <f aca="false">IF($B163="","",IF($H163="","Data Pending",IF($H163&gt;=$J$4,"Best Fund",IF($H163&gt;=$J$5,"Need to Improve","Not Performing"))))</f>
        <v/>
      </c>
      <c r="L163" s="24" t="str">
        <f aca="false">IF($K163="","",IF($K163="Data Pending","Enter the 3Y return",IF($K163="Best Fund","Hold / consider top-up",IF($K163="Need to Improve","Watch 2 quarters, then decide","Review with client - switch or exit"))))</f>
        <v/>
      </c>
      <c r="M163" s="18"/>
    </row>
    <row r="164" customFormat="false" ht="15" hidden="false" customHeight="true" outlineLevel="0" collapsed="false">
      <c r="A164" s="18"/>
      <c r="B164" s="18"/>
      <c r="C164" s="18"/>
      <c r="D164" s="19"/>
      <c r="E164" s="19"/>
      <c r="F164" s="20" t="str">
        <f aca="false">IF($B164="","",$E164-$D164)</f>
        <v/>
      </c>
      <c r="G164" s="21" t="str">
        <f aca="false">IF(OR($B164="",N($D164)=0),"",$F164/$D164)</f>
        <v/>
      </c>
      <c r="H164" s="22"/>
      <c r="I164" s="22"/>
      <c r="J164" s="21" t="str">
        <f aca="false">IF(OR($H164="",$I164=""),"",$H164-$I164)</f>
        <v/>
      </c>
      <c r="K164" s="23" t="str">
        <f aca="false">IF($B164="","",IF($H164="","Data Pending",IF($H164&gt;=$J$4,"Best Fund",IF($H164&gt;=$J$5,"Need to Improve","Not Performing"))))</f>
        <v/>
      </c>
      <c r="L164" s="24" t="str">
        <f aca="false">IF($K164="","",IF($K164="Data Pending","Enter the 3Y return",IF($K164="Best Fund","Hold / consider top-up",IF($K164="Need to Improve","Watch 2 quarters, then decide","Review with client - switch or exit"))))</f>
        <v/>
      </c>
      <c r="M164" s="18"/>
    </row>
    <row r="165" customFormat="false" ht="15" hidden="false" customHeight="true" outlineLevel="0" collapsed="false">
      <c r="A165" s="18"/>
      <c r="B165" s="18"/>
      <c r="C165" s="18"/>
      <c r="D165" s="19"/>
      <c r="E165" s="19"/>
      <c r="F165" s="20" t="str">
        <f aca="false">IF($B165="","",$E165-$D165)</f>
        <v/>
      </c>
      <c r="G165" s="21" t="str">
        <f aca="false">IF(OR($B165="",N($D165)=0),"",$F165/$D165)</f>
        <v/>
      </c>
      <c r="H165" s="22"/>
      <c r="I165" s="22"/>
      <c r="J165" s="21" t="str">
        <f aca="false">IF(OR($H165="",$I165=""),"",$H165-$I165)</f>
        <v/>
      </c>
      <c r="K165" s="23" t="str">
        <f aca="false">IF($B165="","",IF($H165="","Data Pending",IF($H165&gt;=$J$4,"Best Fund",IF($H165&gt;=$J$5,"Need to Improve","Not Performing"))))</f>
        <v/>
      </c>
      <c r="L165" s="24" t="str">
        <f aca="false">IF($K165="","",IF($K165="Data Pending","Enter the 3Y return",IF($K165="Best Fund","Hold / consider top-up",IF($K165="Need to Improve","Watch 2 quarters, then decide","Review with client - switch or exit"))))</f>
        <v/>
      </c>
      <c r="M165" s="18"/>
    </row>
    <row r="166" customFormat="false" ht="15" hidden="false" customHeight="true" outlineLevel="0" collapsed="false">
      <c r="A166" s="18"/>
      <c r="B166" s="18"/>
      <c r="C166" s="18"/>
      <c r="D166" s="19"/>
      <c r="E166" s="19"/>
      <c r="F166" s="20" t="str">
        <f aca="false">IF($B166="","",$E166-$D166)</f>
        <v/>
      </c>
      <c r="G166" s="21" t="str">
        <f aca="false">IF(OR($B166="",N($D166)=0),"",$F166/$D166)</f>
        <v/>
      </c>
      <c r="H166" s="22"/>
      <c r="I166" s="22"/>
      <c r="J166" s="21" t="str">
        <f aca="false">IF(OR($H166="",$I166=""),"",$H166-$I166)</f>
        <v/>
      </c>
      <c r="K166" s="23" t="str">
        <f aca="false">IF($B166="","",IF($H166="","Data Pending",IF($H166&gt;=$J$4,"Best Fund",IF($H166&gt;=$J$5,"Need to Improve","Not Performing"))))</f>
        <v/>
      </c>
      <c r="L166" s="24" t="str">
        <f aca="false">IF($K166="","",IF($K166="Data Pending","Enter the 3Y return",IF($K166="Best Fund","Hold / consider top-up",IF($K166="Need to Improve","Watch 2 quarters, then decide","Review with client - switch or exit"))))</f>
        <v/>
      </c>
      <c r="M166" s="18"/>
    </row>
    <row r="167" customFormat="false" ht="15" hidden="false" customHeight="true" outlineLevel="0" collapsed="false">
      <c r="A167" s="18"/>
      <c r="B167" s="18"/>
      <c r="C167" s="18"/>
      <c r="D167" s="19"/>
      <c r="E167" s="19"/>
      <c r="F167" s="20" t="str">
        <f aca="false">IF($B167="","",$E167-$D167)</f>
        <v/>
      </c>
      <c r="G167" s="21" t="str">
        <f aca="false">IF(OR($B167="",N($D167)=0),"",$F167/$D167)</f>
        <v/>
      </c>
      <c r="H167" s="22"/>
      <c r="I167" s="22"/>
      <c r="J167" s="21" t="str">
        <f aca="false">IF(OR($H167="",$I167=""),"",$H167-$I167)</f>
        <v/>
      </c>
      <c r="K167" s="23" t="str">
        <f aca="false">IF($B167="","",IF($H167="","Data Pending",IF($H167&gt;=$J$4,"Best Fund",IF($H167&gt;=$J$5,"Need to Improve","Not Performing"))))</f>
        <v/>
      </c>
      <c r="L167" s="24" t="str">
        <f aca="false">IF($K167="","",IF($K167="Data Pending","Enter the 3Y return",IF($K167="Best Fund","Hold / consider top-up",IF($K167="Need to Improve","Watch 2 quarters, then decide","Review with client - switch or exit"))))</f>
        <v/>
      </c>
      <c r="M167" s="18"/>
    </row>
    <row r="168" customFormat="false" ht="15" hidden="false" customHeight="true" outlineLevel="0" collapsed="false">
      <c r="A168" s="18"/>
      <c r="B168" s="18"/>
      <c r="C168" s="18"/>
      <c r="D168" s="19"/>
      <c r="E168" s="19"/>
      <c r="F168" s="20" t="str">
        <f aca="false">IF($B168="","",$E168-$D168)</f>
        <v/>
      </c>
      <c r="G168" s="21" t="str">
        <f aca="false">IF(OR($B168="",N($D168)=0),"",$F168/$D168)</f>
        <v/>
      </c>
      <c r="H168" s="22"/>
      <c r="I168" s="22"/>
      <c r="J168" s="21" t="str">
        <f aca="false">IF(OR($H168="",$I168=""),"",$H168-$I168)</f>
        <v/>
      </c>
      <c r="K168" s="23" t="str">
        <f aca="false">IF($B168="","",IF($H168="","Data Pending",IF($H168&gt;=$J$4,"Best Fund",IF($H168&gt;=$J$5,"Need to Improve","Not Performing"))))</f>
        <v/>
      </c>
      <c r="L168" s="24" t="str">
        <f aca="false">IF($K168="","",IF($K168="Data Pending","Enter the 3Y return",IF($K168="Best Fund","Hold / consider top-up",IF($K168="Need to Improve","Watch 2 quarters, then decide","Review with client - switch or exit"))))</f>
        <v/>
      </c>
      <c r="M168" s="18"/>
    </row>
    <row r="169" customFormat="false" ht="15" hidden="false" customHeight="true" outlineLevel="0" collapsed="false">
      <c r="A169" s="18"/>
      <c r="B169" s="18"/>
      <c r="C169" s="18"/>
      <c r="D169" s="19"/>
      <c r="E169" s="19"/>
      <c r="F169" s="20" t="str">
        <f aca="false">IF($B169="","",$E169-$D169)</f>
        <v/>
      </c>
      <c r="G169" s="21" t="str">
        <f aca="false">IF(OR($B169="",N($D169)=0),"",$F169/$D169)</f>
        <v/>
      </c>
      <c r="H169" s="22"/>
      <c r="I169" s="22"/>
      <c r="J169" s="21" t="str">
        <f aca="false">IF(OR($H169="",$I169=""),"",$H169-$I169)</f>
        <v/>
      </c>
      <c r="K169" s="23" t="str">
        <f aca="false">IF($B169="","",IF($H169="","Data Pending",IF($H169&gt;=$J$4,"Best Fund",IF($H169&gt;=$J$5,"Need to Improve","Not Performing"))))</f>
        <v/>
      </c>
      <c r="L169" s="24" t="str">
        <f aca="false">IF($K169="","",IF($K169="Data Pending","Enter the 3Y return",IF($K169="Best Fund","Hold / consider top-up",IF($K169="Need to Improve","Watch 2 quarters, then decide","Review with client - switch or exit"))))</f>
        <v/>
      </c>
      <c r="M169" s="18"/>
    </row>
    <row r="170" customFormat="false" ht="15" hidden="false" customHeight="true" outlineLevel="0" collapsed="false">
      <c r="A170" s="18"/>
      <c r="B170" s="18"/>
      <c r="C170" s="18"/>
      <c r="D170" s="19"/>
      <c r="E170" s="19"/>
      <c r="F170" s="20" t="str">
        <f aca="false">IF($B170="","",$E170-$D170)</f>
        <v/>
      </c>
      <c r="G170" s="21" t="str">
        <f aca="false">IF(OR($B170="",N($D170)=0),"",$F170/$D170)</f>
        <v/>
      </c>
      <c r="H170" s="22"/>
      <c r="I170" s="22"/>
      <c r="J170" s="21" t="str">
        <f aca="false">IF(OR($H170="",$I170=""),"",$H170-$I170)</f>
        <v/>
      </c>
      <c r="K170" s="23" t="str">
        <f aca="false">IF($B170="","",IF($H170="","Data Pending",IF($H170&gt;=$J$4,"Best Fund",IF($H170&gt;=$J$5,"Need to Improve","Not Performing"))))</f>
        <v/>
      </c>
      <c r="L170" s="24" t="str">
        <f aca="false">IF($K170="","",IF($K170="Data Pending","Enter the 3Y return",IF($K170="Best Fund","Hold / consider top-up",IF($K170="Need to Improve","Watch 2 quarters, then decide","Review with client - switch or exit"))))</f>
        <v/>
      </c>
      <c r="M170" s="18"/>
    </row>
    <row r="171" customFormat="false" ht="15" hidden="false" customHeight="true" outlineLevel="0" collapsed="false">
      <c r="A171" s="18"/>
      <c r="B171" s="18"/>
      <c r="C171" s="18"/>
      <c r="D171" s="19"/>
      <c r="E171" s="19"/>
      <c r="F171" s="20" t="str">
        <f aca="false">IF($B171="","",$E171-$D171)</f>
        <v/>
      </c>
      <c r="G171" s="21" t="str">
        <f aca="false">IF(OR($B171="",N($D171)=0),"",$F171/$D171)</f>
        <v/>
      </c>
      <c r="H171" s="22"/>
      <c r="I171" s="22"/>
      <c r="J171" s="21" t="str">
        <f aca="false">IF(OR($H171="",$I171=""),"",$H171-$I171)</f>
        <v/>
      </c>
      <c r="K171" s="23" t="str">
        <f aca="false">IF($B171="","",IF($H171="","Data Pending",IF($H171&gt;=$J$4,"Best Fund",IF($H171&gt;=$J$5,"Need to Improve","Not Performing"))))</f>
        <v/>
      </c>
      <c r="L171" s="24" t="str">
        <f aca="false">IF($K171="","",IF($K171="Data Pending","Enter the 3Y return",IF($K171="Best Fund","Hold / consider top-up",IF($K171="Need to Improve","Watch 2 quarters, then decide","Review with client - switch or exit"))))</f>
        <v/>
      </c>
      <c r="M171" s="18"/>
    </row>
    <row r="172" customFormat="false" ht="15" hidden="false" customHeight="true" outlineLevel="0" collapsed="false">
      <c r="A172" s="18"/>
      <c r="B172" s="18"/>
      <c r="C172" s="18"/>
      <c r="D172" s="19"/>
      <c r="E172" s="19"/>
      <c r="F172" s="20" t="str">
        <f aca="false">IF($B172="","",$E172-$D172)</f>
        <v/>
      </c>
      <c r="G172" s="21" t="str">
        <f aca="false">IF(OR($B172="",N($D172)=0),"",$F172/$D172)</f>
        <v/>
      </c>
      <c r="H172" s="22"/>
      <c r="I172" s="22"/>
      <c r="J172" s="21" t="str">
        <f aca="false">IF(OR($H172="",$I172=""),"",$H172-$I172)</f>
        <v/>
      </c>
      <c r="K172" s="23" t="str">
        <f aca="false">IF($B172="","",IF($H172="","Data Pending",IF($H172&gt;=$J$4,"Best Fund",IF($H172&gt;=$J$5,"Need to Improve","Not Performing"))))</f>
        <v/>
      </c>
      <c r="L172" s="24" t="str">
        <f aca="false">IF($K172="","",IF($K172="Data Pending","Enter the 3Y return",IF($K172="Best Fund","Hold / consider top-up",IF($K172="Need to Improve","Watch 2 quarters, then decide","Review with client - switch or exit"))))</f>
        <v/>
      </c>
      <c r="M172" s="18"/>
    </row>
    <row r="173" customFormat="false" ht="15" hidden="false" customHeight="true" outlineLevel="0" collapsed="false">
      <c r="A173" s="18"/>
      <c r="B173" s="18"/>
      <c r="C173" s="18"/>
      <c r="D173" s="19"/>
      <c r="E173" s="19"/>
      <c r="F173" s="20" t="str">
        <f aca="false">IF($B173="","",$E173-$D173)</f>
        <v/>
      </c>
      <c r="G173" s="21" t="str">
        <f aca="false">IF(OR($B173="",N($D173)=0),"",$F173/$D173)</f>
        <v/>
      </c>
      <c r="H173" s="22"/>
      <c r="I173" s="22"/>
      <c r="J173" s="21" t="str">
        <f aca="false">IF(OR($H173="",$I173=""),"",$H173-$I173)</f>
        <v/>
      </c>
      <c r="K173" s="23" t="str">
        <f aca="false">IF($B173="","",IF($H173="","Data Pending",IF($H173&gt;=$J$4,"Best Fund",IF($H173&gt;=$J$5,"Need to Improve","Not Performing"))))</f>
        <v/>
      </c>
      <c r="L173" s="24" t="str">
        <f aca="false">IF($K173="","",IF($K173="Data Pending","Enter the 3Y return",IF($K173="Best Fund","Hold / consider top-up",IF($K173="Need to Improve","Watch 2 quarters, then decide","Review with client - switch or exit"))))</f>
        <v/>
      </c>
      <c r="M173" s="18"/>
    </row>
    <row r="174" customFormat="false" ht="15" hidden="false" customHeight="true" outlineLevel="0" collapsed="false">
      <c r="A174" s="18"/>
      <c r="B174" s="18"/>
      <c r="C174" s="18"/>
      <c r="D174" s="19"/>
      <c r="E174" s="19"/>
      <c r="F174" s="20" t="str">
        <f aca="false">IF($B174="","",$E174-$D174)</f>
        <v/>
      </c>
      <c r="G174" s="21" t="str">
        <f aca="false">IF(OR($B174="",N($D174)=0),"",$F174/$D174)</f>
        <v/>
      </c>
      <c r="H174" s="22"/>
      <c r="I174" s="22"/>
      <c r="J174" s="21" t="str">
        <f aca="false">IF(OR($H174="",$I174=""),"",$H174-$I174)</f>
        <v/>
      </c>
      <c r="K174" s="23" t="str">
        <f aca="false">IF($B174="","",IF($H174="","Data Pending",IF($H174&gt;=$J$4,"Best Fund",IF($H174&gt;=$J$5,"Need to Improve","Not Performing"))))</f>
        <v/>
      </c>
      <c r="L174" s="24" t="str">
        <f aca="false">IF($K174="","",IF($K174="Data Pending","Enter the 3Y return",IF($K174="Best Fund","Hold / consider top-up",IF($K174="Need to Improve","Watch 2 quarters, then decide","Review with client - switch or exit"))))</f>
        <v/>
      </c>
      <c r="M174" s="18"/>
    </row>
    <row r="175" customFormat="false" ht="15" hidden="false" customHeight="true" outlineLevel="0" collapsed="false">
      <c r="A175" s="18"/>
      <c r="B175" s="18"/>
      <c r="C175" s="18"/>
      <c r="D175" s="19"/>
      <c r="E175" s="19"/>
      <c r="F175" s="20" t="str">
        <f aca="false">IF($B175="","",$E175-$D175)</f>
        <v/>
      </c>
      <c r="G175" s="21" t="str">
        <f aca="false">IF(OR($B175="",N($D175)=0),"",$F175/$D175)</f>
        <v/>
      </c>
      <c r="H175" s="22"/>
      <c r="I175" s="22"/>
      <c r="J175" s="21" t="str">
        <f aca="false">IF(OR($H175="",$I175=""),"",$H175-$I175)</f>
        <v/>
      </c>
      <c r="K175" s="23" t="str">
        <f aca="false">IF($B175="","",IF($H175="","Data Pending",IF($H175&gt;=$J$4,"Best Fund",IF($H175&gt;=$J$5,"Need to Improve","Not Performing"))))</f>
        <v/>
      </c>
      <c r="L175" s="24" t="str">
        <f aca="false">IF($K175="","",IF($K175="Data Pending","Enter the 3Y return",IF($K175="Best Fund","Hold / consider top-up",IF($K175="Need to Improve","Watch 2 quarters, then decide","Review with client - switch or exit"))))</f>
        <v/>
      </c>
      <c r="M175" s="18"/>
    </row>
    <row r="176" customFormat="false" ht="15" hidden="false" customHeight="true" outlineLevel="0" collapsed="false">
      <c r="A176" s="18"/>
      <c r="B176" s="18"/>
      <c r="C176" s="18"/>
      <c r="D176" s="19"/>
      <c r="E176" s="19"/>
      <c r="F176" s="20" t="str">
        <f aca="false">IF($B176="","",$E176-$D176)</f>
        <v/>
      </c>
      <c r="G176" s="21" t="str">
        <f aca="false">IF(OR($B176="",N($D176)=0),"",$F176/$D176)</f>
        <v/>
      </c>
      <c r="H176" s="22"/>
      <c r="I176" s="22"/>
      <c r="J176" s="21" t="str">
        <f aca="false">IF(OR($H176="",$I176=""),"",$H176-$I176)</f>
        <v/>
      </c>
      <c r="K176" s="23" t="str">
        <f aca="false">IF($B176="","",IF($H176="","Data Pending",IF($H176&gt;=$J$4,"Best Fund",IF($H176&gt;=$J$5,"Need to Improve","Not Performing"))))</f>
        <v/>
      </c>
      <c r="L176" s="24" t="str">
        <f aca="false">IF($K176="","",IF($K176="Data Pending","Enter the 3Y return",IF($K176="Best Fund","Hold / consider top-up",IF($K176="Need to Improve","Watch 2 quarters, then decide","Review with client - switch or exit"))))</f>
        <v/>
      </c>
      <c r="M176" s="18"/>
    </row>
    <row r="177" customFormat="false" ht="15" hidden="false" customHeight="true" outlineLevel="0" collapsed="false">
      <c r="A177" s="18"/>
      <c r="B177" s="18"/>
      <c r="C177" s="18"/>
      <c r="D177" s="19"/>
      <c r="E177" s="19"/>
      <c r="F177" s="20" t="str">
        <f aca="false">IF($B177="","",$E177-$D177)</f>
        <v/>
      </c>
      <c r="G177" s="21" t="str">
        <f aca="false">IF(OR($B177="",N($D177)=0),"",$F177/$D177)</f>
        <v/>
      </c>
      <c r="H177" s="22"/>
      <c r="I177" s="22"/>
      <c r="J177" s="21" t="str">
        <f aca="false">IF(OR($H177="",$I177=""),"",$H177-$I177)</f>
        <v/>
      </c>
      <c r="K177" s="23" t="str">
        <f aca="false">IF($B177="","",IF($H177="","Data Pending",IF($H177&gt;=$J$4,"Best Fund",IF($H177&gt;=$J$5,"Need to Improve","Not Performing"))))</f>
        <v/>
      </c>
      <c r="L177" s="24" t="str">
        <f aca="false">IF($K177="","",IF($K177="Data Pending","Enter the 3Y return",IF($K177="Best Fund","Hold / consider top-up",IF($K177="Need to Improve","Watch 2 quarters, then decide","Review with client - switch or exit"))))</f>
        <v/>
      </c>
      <c r="M177" s="18"/>
    </row>
    <row r="178" customFormat="false" ht="15" hidden="false" customHeight="true" outlineLevel="0" collapsed="false">
      <c r="A178" s="18"/>
      <c r="B178" s="18"/>
      <c r="C178" s="18"/>
      <c r="D178" s="19"/>
      <c r="E178" s="19"/>
      <c r="F178" s="20" t="str">
        <f aca="false">IF($B178="","",$E178-$D178)</f>
        <v/>
      </c>
      <c r="G178" s="21" t="str">
        <f aca="false">IF(OR($B178="",N($D178)=0),"",$F178/$D178)</f>
        <v/>
      </c>
      <c r="H178" s="22"/>
      <c r="I178" s="22"/>
      <c r="J178" s="21" t="str">
        <f aca="false">IF(OR($H178="",$I178=""),"",$H178-$I178)</f>
        <v/>
      </c>
      <c r="K178" s="23" t="str">
        <f aca="false">IF($B178="","",IF($H178="","Data Pending",IF($H178&gt;=$J$4,"Best Fund",IF($H178&gt;=$J$5,"Need to Improve","Not Performing"))))</f>
        <v/>
      </c>
      <c r="L178" s="24" t="str">
        <f aca="false">IF($K178="","",IF($K178="Data Pending","Enter the 3Y return",IF($K178="Best Fund","Hold / consider top-up",IF($K178="Need to Improve","Watch 2 quarters, then decide","Review with client - switch or exit"))))</f>
        <v/>
      </c>
      <c r="M178" s="18"/>
    </row>
    <row r="179" customFormat="false" ht="15" hidden="false" customHeight="true" outlineLevel="0" collapsed="false">
      <c r="A179" s="18"/>
      <c r="B179" s="18"/>
      <c r="C179" s="18"/>
      <c r="D179" s="19"/>
      <c r="E179" s="19"/>
      <c r="F179" s="20" t="str">
        <f aca="false">IF($B179="","",$E179-$D179)</f>
        <v/>
      </c>
      <c r="G179" s="21" t="str">
        <f aca="false">IF(OR($B179="",N($D179)=0),"",$F179/$D179)</f>
        <v/>
      </c>
      <c r="H179" s="22"/>
      <c r="I179" s="22"/>
      <c r="J179" s="21" t="str">
        <f aca="false">IF(OR($H179="",$I179=""),"",$H179-$I179)</f>
        <v/>
      </c>
      <c r="K179" s="23" t="str">
        <f aca="false">IF($B179="","",IF($H179="","Data Pending",IF($H179&gt;=$J$4,"Best Fund",IF($H179&gt;=$J$5,"Need to Improve","Not Performing"))))</f>
        <v/>
      </c>
      <c r="L179" s="24" t="str">
        <f aca="false">IF($K179="","",IF($K179="Data Pending","Enter the 3Y return",IF($K179="Best Fund","Hold / consider top-up",IF($K179="Need to Improve","Watch 2 quarters, then decide","Review with client - switch or exit"))))</f>
        <v/>
      </c>
      <c r="M179" s="18"/>
    </row>
    <row r="180" customFormat="false" ht="15" hidden="false" customHeight="true" outlineLevel="0" collapsed="false">
      <c r="A180" s="18"/>
      <c r="B180" s="18"/>
      <c r="C180" s="18"/>
      <c r="D180" s="19"/>
      <c r="E180" s="19"/>
      <c r="F180" s="20" t="str">
        <f aca="false">IF($B180="","",$E180-$D180)</f>
        <v/>
      </c>
      <c r="G180" s="21" t="str">
        <f aca="false">IF(OR($B180="",N($D180)=0),"",$F180/$D180)</f>
        <v/>
      </c>
      <c r="H180" s="22"/>
      <c r="I180" s="22"/>
      <c r="J180" s="21" t="str">
        <f aca="false">IF(OR($H180="",$I180=""),"",$H180-$I180)</f>
        <v/>
      </c>
      <c r="K180" s="23" t="str">
        <f aca="false">IF($B180="","",IF($H180="","Data Pending",IF($H180&gt;=$J$4,"Best Fund",IF($H180&gt;=$J$5,"Need to Improve","Not Performing"))))</f>
        <v/>
      </c>
      <c r="L180" s="24" t="str">
        <f aca="false">IF($K180="","",IF($K180="Data Pending","Enter the 3Y return",IF($K180="Best Fund","Hold / consider top-up",IF($K180="Need to Improve","Watch 2 quarters, then decide","Review with client - switch or exit"))))</f>
        <v/>
      </c>
      <c r="M180" s="18"/>
    </row>
    <row r="181" customFormat="false" ht="15" hidden="false" customHeight="true" outlineLevel="0" collapsed="false">
      <c r="A181" s="18"/>
      <c r="B181" s="18"/>
      <c r="C181" s="18"/>
      <c r="D181" s="19"/>
      <c r="E181" s="19"/>
      <c r="F181" s="20" t="str">
        <f aca="false">IF($B181="","",$E181-$D181)</f>
        <v/>
      </c>
      <c r="G181" s="21" t="str">
        <f aca="false">IF(OR($B181="",N($D181)=0),"",$F181/$D181)</f>
        <v/>
      </c>
      <c r="H181" s="22"/>
      <c r="I181" s="22"/>
      <c r="J181" s="21" t="str">
        <f aca="false">IF(OR($H181="",$I181=""),"",$H181-$I181)</f>
        <v/>
      </c>
      <c r="K181" s="23" t="str">
        <f aca="false">IF($B181="","",IF($H181="","Data Pending",IF($H181&gt;=$J$4,"Best Fund",IF($H181&gt;=$J$5,"Need to Improve","Not Performing"))))</f>
        <v/>
      </c>
      <c r="L181" s="24" t="str">
        <f aca="false">IF($K181="","",IF($K181="Data Pending","Enter the 3Y return",IF($K181="Best Fund","Hold / consider top-up",IF($K181="Need to Improve","Watch 2 quarters, then decide","Review with client - switch or exit"))))</f>
        <v/>
      </c>
      <c r="M181" s="18"/>
    </row>
    <row r="182" customFormat="false" ht="15" hidden="false" customHeight="true" outlineLevel="0" collapsed="false">
      <c r="A182" s="18"/>
      <c r="B182" s="18"/>
      <c r="C182" s="18"/>
      <c r="D182" s="19"/>
      <c r="E182" s="19"/>
      <c r="F182" s="20" t="str">
        <f aca="false">IF($B182="","",$E182-$D182)</f>
        <v/>
      </c>
      <c r="G182" s="21" t="str">
        <f aca="false">IF(OR($B182="",N($D182)=0),"",$F182/$D182)</f>
        <v/>
      </c>
      <c r="H182" s="22"/>
      <c r="I182" s="22"/>
      <c r="J182" s="21" t="str">
        <f aca="false">IF(OR($H182="",$I182=""),"",$H182-$I182)</f>
        <v/>
      </c>
      <c r="K182" s="23" t="str">
        <f aca="false">IF($B182="","",IF($H182="","Data Pending",IF($H182&gt;=$J$4,"Best Fund",IF($H182&gt;=$J$5,"Need to Improve","Not Performing"))))</f>
        <v/>
      </c>
      <c r="L182" s="24" t="str">
        <f aca="false">IF($K182="","",IF($K182="Data Pending","Enter the 3Y return",IF($K182="Best Fund","Hold / consider top-up",IF($K182="Need to Improve","Watch 2 quarters, then decide","Review with client - switch or exit"))))</f>
        <v/>
      </c>
      <c r="M182" s="18"/>
    </row>
    <row r="183" customFormat="false" ht="15" hidden="false" customHeight="true" outlineLevel="0" collapsed="false">
      <c r="A183" s="18"/>
      <c r="B183" s="18"/>
      <c r="C183" s="18"/>
      <c r="D183" s="19"/>
      <c r="E183" s="19"/>
      <c r="F183" s="20" t="str">
        <f aca="false">IF($B183="","",$E183-$D183)</f>
        <v/>
      </c>
      <c r="G183" s="21" t="str">
        <f aca="false">IF(OR($B183="",N($D183)=0),"",$F183/$D183)</f>
        <v/>
      </c>
      <c r="H183" s="22"/>
      <c r="I183" s="22"/>
      <c r="J183" s="21" t="str">
        <f aca="false">IF(OR($H183="",$I183=""),"",$H183-$I183)</f>
        <v/>
      </c>
      <c r="K183" s="23" t="str">
        <f aca="false">IF($B183="","",IF($H183="","Data Pending",IF($H183&gt;=$J$4,"Best Fund",IF($H183&gt;=$J$5,"Need to Improve","Not Performing"))))</f>
        <v/>
      </c>
      <c r="L183" s="24" t="str">
        <f aca="false">IF($K183="","",IF($K183="Data Pending","Enter the 3Y return",IF($K183="Best Fund","Hold / consider top-up",IF($K183="Need to Improve","Watch 2 quarters, then decide","Review with client - switch or exit"))))</f>
        <v/>
      </c>
      <c r="M183" s="18"/>
    </row>
    <row r="184" customFormat="false" ht="15" hidden="false" customHeight="true" outlineLevel="0" collapsed="false">
      <c r="A184" s="18"/>
      <c r="B184" s="18"/>
      <c r="C184" s="18"/>
      <c r="D184" s="19"/>
      <c r="E184" s="19"/>
      <c r="F184" s="20" t="str">
        <f aca="false">IF($B184="","",$E184-$D184)</f>
        <v/>
      </c>
      <c r="G184" s="21" t="str">
        <f aca="false">IF(OR($B184="",N($D184)=0),"",$F184/$D184)</f>
        <v/>
      </c>
      <c r="H184" s="22"/>
      <c r="I184" s="22"/>
      <c r="J184" s="21" t="str">
        <f aca="false">IF(OR($H184="",$I184=""),"",$H184-$I184)</f>
        <v/>
      </c>
      <c r="K184" s="23" t="str">
        <f aca="false">IF($B184="","",IF($H184="","Data Pending",IF($H184&gt;=$J$4,"Best Fund",IF($H184&gt;=$J$5,"Need to Improve","Not Performing"))))</f>
        <v/>
      </c>
      <c r="L184" s="24" t="str">
        <f aca="false">IF($K184="","",IF($K184="Data Pending","Enter the 3Y return",IF($K184="Best Fund","Hold / consider top-up",IF($K184="Need to Improve","Watch 2 quarters, then decide","Review with client - switch or exit"))))</f>
        <v/>
      </c>
      <c r="M184" s="18"/>
    </row>
    <row r="185" customFormat="false" ht="15" hidden="false" customHeight="true" outlineLevel="0" collapsed="false">
      <c r="A185" s="18"/>
      <c r="B185" s="18"/>
      <c r="C185" s="18"/>
      <c r="D185" s="19"/>
      <c r="E185" s="19"/>
      <c r="F185" s="20" t="str">
        <f aca="false">IF($B185="","",$E185-$D185)</f>
        <v/>
      </c>
      <c r="G185" s="21" t="str">
        <f aca="false">IF(OR($B185="",N($D185)=0),"",$F185/$D185)</f>
        <v/>
      </c>
      <c r="H185" s="22"/>
      <c r="I185" s="22"/>
      <c r="J185" s="21" t="str">
        <f aca="false">IF(OR($H185="",$I185=""),"",$H185-$I185)</f>
        <v/>
      </c>
      <c r="K185" s="23" t="str">
        <f aca="false">IF($B185="","",IF($H185="","Data Pending",IF($H185&gt;=$J$4,"Best Fund",IF($H185&gt;=$J$5,"Need to Improve","Not Performing"))))</f>
        <v/>
      </c>
      <c r="L185" s="24" t="str">
        <f aca="false">IF($K185="","",IF($K185="Data Pending","Enter the 3Y return",IF($K185="Best Fund","Hold / consider top-up",IF($K185="Need to Improve","Watch 2 quarters, then decide","Review with client - switch or exit"))))</f>
        <v/>
      </c>
      <c r="M185" s="18"/>
    </row>
    <row r="186" customFormat="false" ht="15" hidden="false" customHeight="true" outlineLevel="0" collapsed="false">
      <c r="A186" s="18"/>
      <c r="B186" s="18"/>
      <c r="C186" s="18"/>
      <c r="D186" s="19"/>
      <c r="E186" s="19"/>
      <c r="F186" s="20" t="str">
        <f aca="false">IF($B186="","",$E186-$D186)</f>
        <v/>
      </c>
      <c r="G186" s="21" t="str">
        <f aca="false">IF(OR($B186="",N($D186)=0),"",$F186/$D186)</f>
        <v/>
      </c>
      <c r="H186" s="22"/>
      <c r="I186" s="22"/>
      <c r="J186" s="21" t="str">
        <f aca="false">IF(OR($H186="",$I186=""),"",$H186-$I186)</f>
        <v/>
      </c>
      <c r="K186" s="23" t="str">
        <f aca="false">IF($B186="","",IF($H186="","Data Pending",IF($H186&gt;=$J$4,"Best Fund",IF($H186&gt;=$J$5,"Need to Improve","Not Performing"))))</f>
        <v/>
      </c>
      <c r="L186" s="24" t="str">
        <f aca="false">IF($K186="","",IF($K186="Data Pending","Enter the 3Y return",IF($K186="Best Fund","Hold / consider top-up",IF($K186="Need to Improve","Watch 2 quarters, then decide","Review with client - switch or exit"))))</f>
        <v/>
      </c>
      <c r="M186" s="18"/>
    </row>
    <row r="187" customFormat="false" ht="15" hidden="false" customHeight="true" outlineLevel="0" collapsed="false">
      <c r="A187" s="18"/>
      <c r="B187" s="18"/>
      <c r="C187" s="18"/>
      <c r="D187" s="19"/>
      <c r="E187" s="19"/>
      <c r="F187" s="20" t="str">
        <f aca="false">IF($B187="","",$E187-$D187)</f>
        <v/>
      </c>
      <c r="G187" s="21" t="str">
        <f aca="false">IF(OR($B187="",N($D187)=0),"",$F187/$D187)</f>
        <v/>
      </c>
      <c r="H187" s="22"/>
      <c r="I187" s="22"/>
      <c r="J187" s="21" t="str">
        <f aca="false">IF(OR($H187="",$I187=""),"",$H187-$I187)</f>
        <v/>
      </c>
      <c r="K187" s="23" t="str">
        <f aca="false">IF($B187="","",IF($H187="","Data Pending",IF($H187&gt;=$J$4,"Best Fund",IF($H187&gt;=$J$5,"Need to Improve","Not Performing"))))</f>
        <v/>
      </c>
      <c r="L187" s="24" t="str">
        <f aca="false">IF($K187="","",IF($K187="Data Pending","Enter the 3Y return",IF($K187="Best Fund","Hold / consider top-up",IF($K187="Need to Improve","Watch 2 quarters, then decide","Review with client - switch or exit"))))</f>
        <v/>
      </c>
      <c r="M187" s="18"/>
    </row>
    <row r="188" customFormat="false" ht="15" hidden="false" customHeight="true" outlineLevel="0" collapsed="false">
      <c r="A188" s="18"/>
      <c r="B188" s="18"/>
      <c r="C188" s="18"/>
      <c r="D188" s="19"/>
      <c r="E188" s="19"/>
      <c r="F188" s="20" t="str">
        <f aca="false">IF($B188="","",$E188-$D188)</f>
        <v/>
      </c>
      <c r="G188" s="21" t="str">
        <f aca="false">IF(OR($B188="",N($D188)=0),"",$F188/$D188)</f>
        <v/>
      </c>
      <c r="H188" s="22"/>
      <c r="I188" s="22"/>
      <c r="J188" s="21" t="str">
        <f aca="false">IF(OR($H188="",$I188=""),"",$H188-$I188)</f>
        <v/>
      </c>
      <c r="K188" s="23" t="str">
        <f aca="false">IF($B188="","",IF($H188="","Data Pending",IF($H188&gt;=$J$4,"Best Fund",IF($H188&gt;=$J$5,"Need to Improve","Not Performing"))))</f>
        <v/>
      </c>
      <c r="L188" s="24" t="str">
        <f aca="false">IF($K188="","",IF($K188="Data Pending","Enter the 3Y return",IF($K188="Best Fund","Hold / consider top-up",IF($K188="Need to Improve","Watch 2 quarters, then decide","Review with client - switch or exit"))))</f>
        <v/>
      </c>
      <c r="M188" s="18"/>
    </row>
    <row r="189" customFormat="false" ht="15" hidden="false" customHeight="true" outlineLevel="0" collapsed="false">
      <c r="A189" s="18"/>
      <c r="B189" s="18"/>
      <c r="C189" s="18"/>
      <c r="D189" s="19"/>
      <c r="E189" s="19"/>
      <c r="F189" s="20" t="str">
        <f aca="false">IF($B189="","",$E189-$D189)</f>
        <v/>
      </c>
      <c r="G189" s="21" t="str">
        <f aca="false">IF(OR($B189="",N($D189)=0),"",$F189/$D189)</f>
        <v/>
      </c>
      <c r="H189" s="22"/>
      <c r="I189" s="22"/>
      <c r="J189" s="21" t="str">
        <f aca="false">IF(OR($H189="",$I189=""),"",$H189-$I189)</f>
        <v/>
      </c>
      <c r="K189" s="23" t="str">
        <f aca="false">IF($B189="","",IF($H189="","Data Pending",IF($H189&gt;=$J$4,"Best Fund",IF($H189&gt;=$J$5,"Need to Improve","Not Performing"))))</f>
        <v/>
      </c>
      <c r="L189" s="24" t="str">
        <f aca="false">IF($K189="","",IF($K189="Data Pending","Enter the 3Y return",IF($K189="Best Fund","Hold / consider top-up",IF($K189="Need to Improve","Watch 2 quarters, then decide","Review with client - switch or exit"))))</f>
        <v/>
      </c>
      <c r="M189" s="18"/>
    </row>
    <row r="190" customFormat="false" ht="15" hidden="false" customHeight="true" outlineLevel="0" collapsed="false">
      <c r="A190" s="18"/>
      <c r="B190" s="18"/>
      <c r="C190" s="18"/>
      <c r="D190" s="19"/>
      <c r="E190" s="19"/>
      <c r="F190" s="20" t="str">
        <f aca="false">IF($B190="","",$E190-$D190)</f>
        <v/>
      </c>
      <c r="G190" s="21" t="str">
        <f aca="false">IF(OR($B190="",N($D190)=0),"",$F190/$D190)</f>
        <v/>
      </c>
      <c r="H190" s="22"/>
      <c r="I190" s="22"/>
      <c r="J190" s="21" t="str">
        <f aca="false">IF(OR($H190="",$I190=""),"",$H190-$I190)</f>
        <v/>
      </c>
      <c r="K190" s="23" t="str">
        <f aca="false">IF($B190="","",IF($H190="","Data Pending",IF($H190&gt;=$J$4,"Best Fund",IF($H190&gt;=$J$5,"Need to Improve","Not Performing"))))</f>
        <v/>
      </c>
      <c r="L190" s="24" t="str">
        <f aca="false">IF($K190="","",IF($K190="Data Pending","Enter the 3Y return",IF($K190="Best Fund","Hold / consider top-up",IF($K190="Need to Improve","Watch 2 quarters, then decide","Review with client - switch or exit"))))</f>
        <v/>
      </c>
      <c r="M190" s="18"/>
    </row>
    <row r="191" customFormat="false" ht="15" hidden="false" customHeight="true" outlineLevel="0" collapsed="false">
      <c r="A191" s="18"/>
      <c r="B191" s="18"/>
      <c r="C191" s="18"/>
      <c r="D191" s="19"/>
      <c r="E191" s="19"/>
      <c r="F191" s="20" t="str">
        <f aca="false">IF($B191="","",$E191-$D191)</f>
        <v/>
      </c>
      <c r="G191" s="21" t="str">
        <f aca="false">IF(OR($B191="",N($D191)=0),"",$F191/$D191)</f>
        <v/>
      </c>
      <c r="H191" s="22"/>
      <c r="I191" s="22"/>
      <c r="J191" s="21" t="str">
        <f aca="false">IF(OR($H191="",$I191=""),"",$H191-$I191)</f>
        <v/>
      </c>
      <c r="K191" s="23" t="str">
        <f aca="false">IF($B191="","",IF($H191="","Data Pending",IF($H191&gt;=$J$4,"Best Fund",IF($H191&gt;=$J$5,"Need to Improve","Not Performing"))))</f>
        <v/>
      </c>
      <c r="L191" s="24" t="str">
        <f aca="false">IF($K191="","",IF($K191="Data Pending","Enter the 3Y return",IF($K191="Best Fund","Hold / consider top-up",IF($K191="Need to Improve","Watch 2 quarters, then decide","Review with client - switch or exit"))))</f>
        <v/>
      </c>
      <c r="M191" s="18"/>
    </row>
    <row r="192" customFormat="false" ht="15" hidden="false" customHeight="true" outlineLevel="0" collapsed="false">
      <c r="A192" s="18"/>
      <c r="B192" s="18"/>
      <c r="C192" s="18"/>
      <c r="D192" s="19"/>
      <c r="E192" s="19"/>
      <c r="F192" s="20" t="str">
        <f aca="false">IF($B192="","",$E192-$D192)</f>
        <v/>
      </c>
      <c r="G192" s="21" t="str">
        <f aca="false">IF(OR($B192="",N($D192)=0),"",$F192/$D192)</f>
        <v/>
      </c>
      <c r="H192" s="22"/>
      <c r="I192" s="22"/>
      <c r="J192" s="21" t="str">
        <f aca="false">IF(OR($H192="",$I192=""),"",$H192-$I192)</f>
        <v/>
      </c>
      <c r="K192" s="23" t="str">
        <f aca="false">IF($B192="","",IF($H192="","Data Pending",IF($H192&gt;=$J$4,"Best Fund",IF($H192&gt;=$J$5,"Need to Improve","Not Performing"))))</f>
        <v/>
      </c>
      <c r="L192" s="24" t="str">
        <f aca="false">IF($K192="","",IF($K192="Data Pending","Enter the 3Y return",IF($K192="Best Fund","Hold / consider top-up",IF($K192="Need to Improve","Watch 2 quarters, then decide","Review with client - switch or exit"))))</f>
        <v/>
      </c>
      <c r="M192" s="18"/>
    </row>
    <row r="193" customFormat="false" ht="15" hidden="false" customHeight="true" outlineLevel="0" collapsed="false">
      <c r="A193" s="18"/>
      <c r="B193" s="18"/>
      <c r="C193" s="18"/>
      <c r="D193" s="19"/>
      <c r="E193" s="19"/>
      <c r="F193" s="20" t="str">
        <f aca="false">IF($B193="","",$E193-$D193)</f>
        <v/>
      </c>
      <c r="G193" s="21" t="str">
        <f aca="false">IF(OR($B193="",N($D193)=0),"",$F193/$D193)</f>
        <v/>
      </c>
      <c r="H193" s="22"/>
      <c r="I193" s="22"/>
      <c r="J193" s="21" t="str">
        <f aca="false">IF(OR($H193="",$I193=""),"",$H193-$I193)</f>
        <v/>
      </c>
      <c r="K193" s="23" t="str">
        <f aca="false">IF($B193="","",IF($H193="","Data Pending",IF($H193&gt;=$J$4,"Best Fund",IF($H193&gt;=$J$5,"Need to Improve","Not Performing"))))</f>
        <v/>
      </c>
      <c r="L193" s="24" t="str">
        <f aca="false">IF($K193="","",IF($K193="Data Pending","Enter the 3Y return",IF($K193="Best Fund","Hold / consider top-up",IF($K193="Need to Improve","Watch 2 quarters, then decide","Review with client - switch or exit"))))</f>
        <v/>
      </c>
      <c r="M193" s="18"/>
    </row>
    <row r="194" customFormat="false" ht="15" hidden="false" customHeight="true" outlineLevel="0" collapsed="false">
      <c r="A194" s="18"/>
      <c r="B194" s="18"/>
      <c r="C194" s="18"/>
      <c r="D194" s="19"/>
      <c r="E194" s="19"/>
      <c r="F194" s="20" t="str">
        <f aca="false">IF($B194="","",$E194-$D194)</f>
        <v/>
      </c>
      <c r="G194" s="21" t="str">
        <f aca="false">IF(OR($B194="",N($D194)=0),"",$F194/$D194)</f>
        <v/>
      </c>
      <c r="H194" s="22"/>
      <c r="I194" s="22"/>
      <c r="J194" s="21" t="str">
        <f aca="false">IF(OR($H194="",$I194=""),"",$H194-$I194)</f>
        <v/>
      </c>
      <c r="K194" s="23" t="str">
        <f aca="false">IF($B194="","",IF($H194="","Data Pending",IF($H194&gt;=$J$4,"Best Fund",IF($H194&gt;=$J$5,"Need to Improve","Not Performing"))))</f>
        <v/>
      </c>
      <c r="L194" s="24" t="str">
        <f aca="false">IF($K194="","",IF($K194="Data Pending","Enter the 3Y return",IF($K194="Best Fund","Hold / consider top-up",IF($K194="Need to Improve","Watch 2 quarters, then decide","Review with client - switch or exit"))))</f>
        <v/>
      </c>
      <c r="M194" s="18"/>
    </row>
    <row r="195" customFormat="false" ht="15" hidden="false" customHeight="true" outlineLevel="0" collapsed="false">
      <c r="A195" s="18"/>
      <c r="B195" s="18"/>
      <c r="C195" s="18"/>
      <c r="D195" s="19"/>
      <c r="E195" s="19"/>
      <c r="F195" s="20" t="str">
        <f aca="false">IF($B195="","",$E195-$D195)</f>
        <v/>
      </c>
      <c r="G195" s="21" t="str">
        <f aca="false">IF(OR($B195="",N($D195)=0),"",$F195/$D195)</f>
        <v/>
      </c>
      <c r="H195" s="22"/>
      <c r="I195" s="22"/>
      <c r="J195" s="21" t="str">
        <f aca="false">IF(OR($H195="",$I195=""),"",$H195-$I195)</f>
        <v/>
      </c>
      <c r="K195" s="23" t="str">
        <f aca="false">IF($B195="","",IF($H195="","Data Pending",IF($H195&gt;=$J$4,"Best Fund",IF($H195&gt;=$J$5,"Need to Improve","Not Performing"))))</f>
        <v/>
      </c>
      <c r="L195" s="24" t="str">
        <f aca="false">IF($K195="","",IF($K195="Data Pending","Enter the 3Y return",IF($K195="Best Fund","Hold / consider top-up",IF($K195="Need to Improve","Watch 2 quarters, then decide","Review with client - switch or exit"))))</f>
        <v/>
      </c>
      <c r="M195" s="18"/>
    </row>
    <row r="196" customFormat="false" ht="15" hidden="false" customHeight="true" outlineLevel="0" collapsed="false">
      <c r="A196" s="18"/>
      <c r="B196" s="18"/>
      <c r="C196" s="18"/>
      <c r="D196" s="19"/>
      <c r="E196" s="19"/>
      <c r="F196" s="20" t="str">
        <f aca="false">IF($B196="","",$E196-$D196)</f>
        <v/>
      </c>
      <c r="G196" s="21" t="str">
        <f aca="false">IF(OR($B196="",N($D196)=0),"",$F196/$D196)</f>
        <v/>
      </c>
      <c r="H196" s="22"/>
      <c r="I196" s="22"/>
      <c r="J196" s="21" t="str">
        <f aca="false">IF(OR($H196="",$I196=""),"",$H196-$I196)</f>
        <v/>
      </c>
      <c r="K196" s="23" t="str">
        <f aca="false">IF($B196="","",IF($H196="","Data Pending",IF($H196&gt;=$J$4,"Best Fund",IF($H196&gt;=$J$5,"Need to Improve","Not Performing"))))</f>
        <v/>
      </c>
      <c r="L196" s="24" t="str">
        <f aca="false">IF($K196="","",IF($K196="Data Pending","Enter the 3Y return",IF($K196="Best Fund","Hold / consider top-up",IF($K196="Need to Improve","Watch 2 quarters, then decide","Review with client - switch or exit"))))</f>
        <v/>
      </c>
      <c r="M196" s="18"/>
    </row>
    <row r="197" customFormat="false" ht="15" hidden="false" customHeight="true" outlineLevel="0" collapsed="false">
      <c r="A197" s="18"/>
      <c r="B197" s="18"/>
      <c r="C197" s="18"/>
      <c r="D197" s="19"/>
      <c r="E197" s="19"/>
      <c r="F197" s="20" t="str">
        <f aca="false">IF($B197="","",$E197-$D197)</f>
        <v/>
      </c>
      <c r="G197" s="21" t="str">
        <f aca="false">IF(OR($B197="",N($D197)=0),"",$F197/$D197)</f>
        <v/>
      </c>
      <c r="H197" s="22"/>
      <c r="I197" s="22"/>
      <c r="J197" s="21" t="str">
        <f aca="false">IF(OR($H197="",$I197=""),"",$H197-$I197)</f>
        <v/>
      </c>
      <c r="K197" s="23" t="str">
        <f aca="false">IF($B197="","",IF($H197="","Data Pending",IF($H197&gt;=$J$4,"Best Fund",IF($H197&gt;=$J$5,"Need to Improve","Not Performing"))))</f>
        <v/>
      </c>
      <c r="L197" s="24" t="str">
        <f aca="false">IF($K197="","",IF($K197="Data Pending","Enter the 3Y return",IF($K197="Best Fund","Hold / consider top-up",IF($K197="Need to Improve","Watch 2 quarters, then decide","Review with client - switch or exit"))))</f>
        <v/>
      </c>
      <c r="M197" s="18"/>
    </row>
    <row r="198" customFormat="false" ht="15" hidden="false" customHeight="true" outlineLevel="0" collapsed="false">
      <c r="A198" s="18"/>
      <c r="B198" s="18"/>
      <c r="C198" s="18"/>
      <c r="D198" s="19"/>
      <c r="E198" s="19"/>
      <c r="F198" s="20" t="str">
        <f aca="false">IF($B198="","",$E198-$D198)</f>
        <v/>
      </c>
      <c r="G198" s="21" t="str">
        <f aca="false">IF(OR($B198="",N($D198)=0),"",$F198/$D198)</f>
        <v/>
      </c>
      <c r="H198" s="22"/>
      <c r="I198" s="22"/>
      <c r="J198" s="21" t="str">
        <f aca="false">IF(OR($H198="",$I198=""),"",$H198-$I198)</f>
        <v/>
      </c>
      <c r="K198" s="23" t="str">
        <f aca="false">IF($B198="","",IF($H198="","Data Pending",IF($H198&gt;=$J$4,"Best Fund",IF($H198&gt;=$J$5,"Need to Improve","Not Performing"))))</f>
        <v/>
      </c>
      <c r="L198" s="24" t="str">
        <f aca="false">IF($K198="","",IF($K198="Data Pending","Enter the 3Y return",IF($K198="Best Fund","Hold / consider top-up",IF($K198="Need to Improve","Watch 2 quarters, then decide","Review with client - switch or exit"))))</f>
        <v/>
      </c>
      <c r="M198" s="18"/>
    </row>
    <row r="199" customFormat="false" ht="15" hidden="false" customHeight="true" outlineLevel="0" collapsed="false">
      <c r="A199" s="18"/>
      <c r="B199" s="18"/>
      <c r="C199" s="18"/>
      <c r="D199" s="19"/>
      <c r="E199" s="19"/>
      <c r="F199" s="20" t="str">
        <f aca="false">IF($B199="","",$E199-$D199)</f>
        <v/>
      </c>
      <c r="G199" s="21" t="str">
        <f aca="false">IF(OR($B199="",N($D199)=0),"",$F199/$D199)</f>
        <v/>
      </c>
      <c r="H199" s="22"/>
      <c r="I199" s="22"/>
      <c r="J199" s="21" t="str">
        <f aca="false">IF(OR($H199="",$I199=""),"",$H199-$I199)</f>
        <v/>
      </c>
      <c r="K199" s="23" t="str">
        <f aca="false">IF($B199="","",IF($H199="","Data Pending",IF($H199&gt;=$J$4,"Best Fund",IF($H199&gt;=$J$5,"Need to Improve","Not Performing"))))</f>
        <v/>
      </c>
      <c r="L199" s="24" t="str">
        <f aca="false">IF($K199="","",IF($K199="Data Pending","Enter the 3Y return",IF($K199="Best Fund","Hold / consider top-up",IF($K199="Need to Improve","Watch 2 quarters, then decide","Review with client - switch or exit"))))</f>
        <v/>
      </c>
      <c r="M199" s="18"/>
    </row>
    <row r="200" customFormat="false" ht="15" hidden="false" customHeight="true" outlineLevel="0" collapsed="false">
      <c r="A200" s="18"/>
      <c r="B200" s="18"/>
      <c r="C200" s="18"/>
      <c r="D200" s="19"/>
      <c r="E200" s="19"/>
      <c r="F200" s="20" t="str">
        <f aca="false">IF($B200="","",$E200-$D200)</f>
        <v/>
      </c>
      <c r="G200" s="21" t="str">
        <f aca="false">IF(OR($B200="",N($D200)=0),"",$F200/$D200)</f>
        <v/>
      </c>
      <c r="H200" s="22"/>
      <c r="I200" s="22"/>
      <c r="J200" s="21" t="str">
        <f aca="false">IF(OR($H200="",$I200=""),"",$H200-$I200)</f>
        <v/>
      </c>
      <c r="K200" s="23" t="str">
        <f aca="false">IF($B200="","",IF($H200="","Data Pending",IF($H200&gt;=$J$4,"Best Fund",IF($H200&gt;=$J$5,"Need to Improve","Not Performing"))))</f>
        <v/>
      </c>
      <c r="L200" s="24" t="str">
        <f aca="false">IF($K200="","",IF($K200="Data Pending","Enter the 3Y return",IF($K200="Best Fund","Hold / consider top-up",IF($K200="Need to Improve","Watch 2 quarters, then decide","Review with client - switch or exit"))))</f>
        <v/>
      </c>
      <c r="M200" s="18"/>
    </row>
    <row r="201" customFormat="false" ht="15" hidden="false" customHeight="true" outlineLevel="0" collapsed="false">
      <c r="A201" s="18"/>
      <c r="B201" s="18"/>
      <c r="C201" s="18"/>
      <c r="D201" s="19"/>
      <c r="E201" s="19"/>
      <c r="F201" s="20" t="str">
        <f aca="false">IF($B201="","",$E201-$D201)</f>
        <v/>
      </c>
      <c r="G201" s="21" t="str">
        <f aca="false">IF(OR($B201="",N($D201)=0),"",$F201/$D201)</f>
        <v/>
      </c>
      <c r="H201" s="22"/>
      <c r="I201" s="22"/>
      <c r="J201" s="21" t="str">
        <f aca="false">IF(OR($H201="",$I201=""),"",$H201-$I201)</f>
        <v/>
      </c>
      <c r="K201" s="23" t="str">
        <f aca="false">IF($B201="","",IF($H201="","Data Pending",IF($H201&gt;=$J$4,"Best Fund",IF($H201&gt;=$J$5,"Need to Improve","Not Performing"))))</f>
        <v/>
      </c>
      <c r="L201" s="24" t="str">
        <f aca="false">IF($K201="","",IF($K201="Data Pending","Enter the 3Y return",IF($K201="Best Fund","Hold / consider top-up",IF($K201="Need to Improve","Watch 2 quarters, then decide","Review with client - switch or exit"))))</f>
        <v/>
      </c>
      <c r="M201" s="18"/>
    </row>
    <row r="202" customFormat="false" ht="15" hidden="false" customHeight="true" outlineLevel="0" collapsed="false">
      <c r="A202" s="18"/>
      <c r="B202" s="18"/>
      <c r="C202" s="18"/>
      <c r="D202" s="19"/>
      <c r="E202" s="19"/>
      <c r="F202" s="20" t="str">
        <f aca="false">IF($B202="","",$E202-$D202)</f>
        <v/>
      </c>
      <c r="G202" s="21" t="str">
        <f aca="false">IF(OR($B202="",N($D202)=0),"",$F202/$D202)</f>
        <v/>
      </c>
      <c r="H202" s="22"/>
      <c r="I202" s="22"/>
      <c r="J202" s="21" t="str">
        <f aca="false">IF(OR($H202="",$I202=""),"",$H202-$I202)</f>
        <v/>
      </c>
      <c r="K202" s="23" t="str">
        <f aca="false">IF($B202="","",IF($H202="","Data Pending",IF($H202&gt;=$J$4,"Best Fund",IF($H202&gt;=$J$5,"Need to Improve","Not Performing"))))</f>
        <v/>
      </c>
      <c r="L202" s="24" t="str">
        <f aca="false">IF($K202="","",IF($K202="Data Pending","Enter the 3Y return",IF($K202="Best Fund","Hold / consider top-up",IF($K202="Need to Improve","Watch 2 quarters, then decide","Review with client - switch or exit"))))</f>
        <v/>
      </c>
      <c r="M202" s="18"/>
    </row>
    <row r="203" customFormat="false" ht="15" hidden="false" customHeight="true" outlineLevel="0" collapsed="false">
      <c r="A203" s="18"/>
      <c r="B203" s="18"/>
      <c r="C203" s="18"/>
      <c r="D203" s="19"/>
      <c r="E203" s="19"/>
      <c r="F203" s="20" t="str">
        <f aca="false">IF($B203="","",$E203-$D203)</f>
        <v/>
      </c>
      <c r="G203" s="21" t="str">
        <f aca="false">IF(OR($B203="",N($D203)=0),"",$F203/$D203)</f>
        <v/>
      </c>
      <c r="H203" s="22"/>
      <c r="I203" s="22"/>
      <c r="J203" s="21" t="str">
        <f aca="false">IF(OR($H203="",$I203=""),"",$H203-$I203)</f>
        <v/>
      </c>
      <c r="K203" s="23" t="str">
        <f aca="false">IF($B203="","",IF($H203="","Data Pending",IF($H203&gt;=$J$4,"Best Fund",IF($H203&gt;=$J$5,"Need to Improve","Not Performing"))))</f>
        <v/>
      </c>
      <c r="L203" s="24" t="str">
        <f aca="false">IF($K203="","",IF($K203="Data Pending","Enter the 3Y return",IF($K203="Best Fund","Hold / consider top-up",IF($K203="Need to Improve","Watch 2 quarters, then decide","Review with client - switch or exit"))))</f>
        <v/>
      </c>
      <c r="M203" s="18"/>
    </row>
    <row r="204" customFormat="false" ht="15" hidden="false" customHeight="true" outlineLevel="0" collapsed="false">
      <c r="A204" s="18"/>
      <c r="B204" s="18"/>
      <c r="C204" s="18"/>
      <c r="D204" s="19"/>
      <c r="E204" s="19"/>
      <c r="F204" s="20" t="str">
        <f aca="false">IF($B204="","",$E204-$D204)</f>
        <v/>
      </c>
      <c r="G204" s="21" t="str">
        <f aca="false">IF(OR($B204="",N($D204)=0),"",$F204/$D204)</f>
        <v/>
      </c>
      <c r="H204" s="22"/>
      <c r="I204" s="22"/>
      <c r="J204" s="21" t="str">
        <f aca="false">IF(OR($H204="",$I204=""),"",$H204-$I204)</f>
        <v/>
      </c>
      <c r="K204" s="23" t="str">
        <f aca="false">IF($B204="","",IF($H204="","Data Pending",IF($H204&gt;=$J$4,"Best Fund",IF($H204&gt;=$J$5,"Need to Improve","Not Performing"))))</f>
        <v/>
      </c>
      <c r="L204" s="24" t="str">
        <f aca="false">IF($K204="","",IF($K204="Data Pending","Enter the 3Y return",IF($K204="Best Fund","Hold / consider top-up",IF($K204="Need to Improve","Watch 2 quarters, then decide","Review with client - switch or exit"))))</f>
        <v/>
      </c>
      <c r="M204" s="18"/>
    </row>
    <row r="205" customFormat="false" ht="15" hidden="false" customHeight="true" outlineLevel="0" collapsed="false">
      <c r="A205" s="18"/>
      <c r="B205" s="18"/>
      <c r="C205" s="18"/>
      <c r="D205" s="19"/>
      <c r="E205" s="19"/>
      <c r="F205" s="20" t="str">
        <f aca="false">IF($B205="","",$E205-$D205)</f>
        <v/>
      </c>
      <c r="G205" s="21" t="str">
        <f aca="false">IF(OR($B205="",N($D205)=0),"",$F205/$D205)</f>
        <v/>
      </c>
      <c r="H205" s="22"/>
      <c r="I205" s="22"/>
      <c r="J205" s="21" t="str">
        <f aca="false">IF(OR($H205="",$I205=""),"",$H205-$I205)</f>
        <v/>
      </c>
      <c r="K205" s="23" t="str">
        <f aca="false">IF($B205="","",IF($H205="","Data Pending",IF($H205&gt;=$J$4,"Best Fund",IF($H205&gt;=$J$5,"Need to Improve","Not Performing"))))</f>
        <v/>
      </c>
      <c r="L205" s="24" t="str">
        <f aca="false">IF($K205="","",IF($K205="Data Pending","Enter the 3Y return",IF($K205="Best Fund","Hold / consider top-up",IF($K205="Need to Improve","Watch 2 quarters, then decide","Review with client - switch or exit"))))</f>
        <v/>
      </c>
      <c r="M205" s="18"/>
    </row>
    <row r="206" customFormat="false" ht="15" hidden="false" customHeight="true" outlineLevel="0" collapsed="false">
      <c r="A206" s="18"/>
      <c r="B206" s="18"/>
      <c r="C206" s="18"/>
      <c r="D206" s="19"/>
      <c r="E206" s="19"/>
      <c r="F206" s="20" t="str">
        <f aca="false">IF($B206="","",$E206-$D206)</f>
        <v/>
      </c>
      <c r="G206" s="21" t="str">
        <f aca="false">IF(OR($B206="",N($D206)=0),"",$F206/$D206)</f>
        <v/>
      </c>
      <c r="H206" s="22"/>
      <c r="I206" s="22"/>
      <c r="J206" s="21" t="str">
        <f aca="false">IF(OR($H206="",$I206=""),"",$H206-$I206)</f>
        <v/>
      </c>
      <c r="K206" s="23" t="str">
        <f aca="false">IF($B206="","",IF($H206="","Data Pending",IF($H206&gt;=$J$4,"Best Fund",IF($H206&gt;=$J$5,"Need to Improve","Not Performing"))))</f>
        <v/>
      </c>
      <c r="L206" s="24" t="str">
        <f aca="false">IF($K206="","",IF($K206="Data Pending","Enter the 3Y return",IF($K206="Best Fund","Hold / consider top-up",IF($K206="Need to Improve","Watch 2 quarters, then decide","Review with client - switch or exit"))))</f>
        <v/>
      </c>
      <c r="M206" s="18"/>
    </row>
    <row r="207" customFormat="false" ht="15" hidden="false" customHeight="true" outlineLevel="0" collapsed="false">
      <c r="A207" s="18"/>
      <c r="B207" s="18"/>
      <c r="C207" s="18"/>
      <c r="D207" s="19"/>
      <c r="E207" s="19"/>
      <c r="F207" s="20" t="str">
        <f aca="false">IF($B207="","",$E207-$D207)</f>
        <v/>
      </c>
      <c r="G207" s="21" t="str">
        <f aca="false">IF(OR($B207="",N($D207)=0),"",$F207/$D207)</f>
        <v/>
      </c>
      <c r="H207" s="22"/>
      <c r="I207" s="22"/>
      <c r="J207" s="21" t="str">
        <f aca="false">IF(OR($H207="",$I207=""),"",$H207-$I207)</f>
        <v/>
      </c>
      <c r="K207" s="23" t="str">
        <f aca="false">IF($B207="","",IF($H207="","Data Pending",IF($H207&gt;=$J$4,"Best Fund",IF($H207&gt;=$J$5,"Need to Improve","Not Performing"))))</f>
        <v/>
      </c>
      <c r="L207" s="24" t="str">
        <f aca="false">IF($K207="","",IF($K207="Data Pending","Enter the 3Y return",IF($K207="Best Fund","Hold / consider top-up",IF($K207="Need to Improve","Watch 2 quarters, then decide","Review with client - switch or exit"))))</f>
        <v/>
      </c>
      <c r="M207" s="18"/>
    </row>
    <row r="208" customFormat="false" ht="15" hidden="false" customHeight="true" outlineLevel="0" collapsed="false">
      <c r="A208" s="18"/>
      <c r="B208" s="18"/>
      <c r="C208" s="18"/>
      <c r="D208" s="19"/>
      <c r="E208" s="19"/>
      <c r="F208" s="20" t="str">
        <f aca="false">IF($B208="","",$E208-$D208)</f>
        <v/>
      </c>
      <c r="G208" s="21" t="str">
        <f aca="false">IF(OR($B208="",N($D208)=0),"",$F208/$D208)</f>
        <v/>
      </c>
      <c r="H208" s="22"/>
      <c r="I208" s="22"/>
      <c r="J208" s="21" t="str">
        <f aca="false">IF(OR($H208="",$I208=""),"",$H208-$I208)</f>
        <v/>
      </c>
      <c r="K208" s="23" t="str">
        <f aca="false">IF($B208="","",IF($H208="","Data Pending",IF($H208&gt;=$J$4,"Best Fund",IF($H208&gt;=$J$5,"Need to Improve","Not Performing"))))</f>
        <v/>
      </c>
      <c r="L208" s="24" t="str">
        <f aca="false">IF($K208="","",IF($K208="Data Pending","Enter the 3Y return",IF($K208="Best Fund","Hold / consider top-up",IF($K208="Need to Improve","Watch 2 quarters, then decide","Review with client - switch or exit"))))</f>
        <v/>
      </c>
      <c r="M208" s="18"/>
    </row>
    <row r="209" customFormat="false" ht="15" hidden="false" customHeight="true" outlineLevel="0" collapsed="false">
      <c r="A209" s="18"/>
      <c r="B209" s="18"/>
      <c r="C209" s="18"/>
      <c r="D209" s="19"/>
      <c r="E209" s="19"/>
      <c r="F209" s="20" t="str">
        <f aca="false">IF($B209="","",$E209-$D209)</f>
        <v/>
      </c>
      <c r="G209" s="21" t="str">
        <f aca="false">IF(OR($B209="",N($D209)=0),"",$F209/$D209)</f>
        <v/>
      </c>
      <c r="H209" s="22"/>
      <c r="I209" s="22"/>
      <c r="J209" s="21" t="str">
        <f aca="false">IF(OR($H209="",$I209=""),"",$H209-$I209)</f>
        <v/>
      </c>
      <c r="K209" s="23" t="str">
        <f aca="false">IF($B209="","",IF($H209="","Data Pending",IF($H209&gt;=$J$4,"Best Fund",IF($H209&gt;=$J$5,"Need to Improve","Not Performing"))))</f>
        <v/>
      </c>
      <c r="L209" s="24" t="str">
        <f aca="false">IF($K209="","",IF($K209="Data Pending","Enter the 3Y return",IF($K209="Best Fund","Hold / consider top-up",IF($K209="Need to Improve","Watch 2 quarters, then decide","Review with client - switch or exit"))))</f>
        <v/>
      </c>
      <c r="M209" s="18"/>
    </row>
    <row r="210" customFormat="false" ht="15" hidden="false" customHeight="true" outlineLevel="0" collapsed="false">
      <c r="A210" s="18"/>
      <c r="B210" s="18"/>
      <c r="C210" s="18"/>
      <c r="D210" s="19"/>
      <c r="E210" s="19"/>
      <c r="F210" s="20" t="str">
        <f aca="false">IF($B210="","",$E210-$D210)</f>
        <v/>
      </c>
      <c r="G210" s="21" t="str">
        <f aca="false">IF(OR($B210="",N($D210)=0),"",$F210/$D210)</f>
        <v/>
      </c>
      <c r="H210" s="22"/>
      <c r="I210" s="22"/>
      <c r="J210" s="21" t="str">
        <f aca="false">IF(OR($H210="",$I210=""),"",$H210-$I210)</f>
        <v/>
      </c>
      <c r="K210" s="23" t="str">
        <f aca="false">IF($B210="","",IF($H210="","Data Pending",IF($H210&gt;=$J$4,"Best Fund",IF($H210&gt;=$J$5,"Need to Improve","Not Performing"))))</f>
        <v/>
      </c>
      <c r="L210" s="24" t="str">
        <f aca="false">IF($K210="","",IF($K210="Data Pending","Enter the 3Y return",IF($K210="Best Fund","Hold / consider top-up",IF($K210="Need to Improve","Watch 2 quarters, then decide","Review with client - switch or exit"))))</f>
        <v/>
      </c>
      <c r="M210" s="18"/>
    </row>
    <row r="211" customFormat="false" ht="15" hidden="false" customHeight="true" outlineLevel="0" collapsed="false">
      <c r="A211" s="18"/>
      <c r="B211" s="18"/>
      <c r="C211" s="18"/>
      <c r="D211" s="19"/>
      <c r="E211" s="19"/>
      <c r="F211" s="20" t="str">
        <f aca="false">IF($B211="","",$E211-$D211)</f>
        <v/>
      </c>
      <c r="G211" s="21" t="str">
        <f aca="false">IF(OR($B211="",N($D211)=0),"",$F211/$D211)</f>
        <v/>
      </c>
      <c r="H211" s="22"/>
      <c r="I211" s="22"/>
      <c r="J211" s="21" t="str">
        <f aca="false">IF(OR($H211="",$I211=""),"",$H211-$I211)</f>
        <v/>
      </c>
      <c r="K211" s="23" t="str">
        <f aca="false">IF($B211="","",IF($H211="","Data Pending",IF($H211&gt;=$J$4,"Best Fund",IF($H211&gt;=$J$5,"Need to Improve","Not Performing"))))</f>
        <v/>
      </c>
      <c r="L211" s="24" t="str">
        <f aca="false">IF($K211="","",IF($K211="Data Pending","Enter the 3Y return",IF($K211="Best Fund","Hold / consider top-up",IF($K211="Need to Improve","Watch 2 quarters, then decide","Review with client - switch or exit"))))</f>
        <v/>
      </c>
      <c r="M211" s="18"/>
    </row>
    <row r="212" customFormat="false" ht="15" hidden="false" customHeight="true" outlineLevel="0" collapsed="false">
      <c r="A212" s="18"/>
      <c r="B212" s="18"/>
      <c r="C212" s="18"/>
      <c r="D212" s="19"/>
      <c r="E212" s="19"/>
      <c r="F212" s="20" t="str">
        <f aca="false">IF($B212="","",$E212-$D212)</f>
        <v/>
      </c>
      <c r="G212" s="21" t="str">
        <f aca="false">IF(OR($B212="",N($D212)=0),"",$F212/$D212)</f>
        <v/>
      </c>
      <c r="H212" s="22"/>
      <c r="I212" s="22"/>
      <c r="J212" s="21" t="str">
        <f aca="false">IF(OR($H212="",$I212=""),"",$H212-$I212)</f>
        <v/>
      </c>
      <c r="K212" s="23" t="str">
        <f aca="false">IF($B212="","",IF($H212="","Data Pending",IF($H212&gt;=$J$4,"Best Fund",IF($H212&gt;=$J$5,"Need to Improve","Not Performing"))))</f>
        <v/>
      </c>
      <c r="L212" s="24" t="str">
        <f aca="false">IF($K212="","",IF($K212="Data Pending","Enter the 3Y return",IF($K212="Best Fund","Hold / consider top-up",IF($K212="Need to Improve","Watch 2 quarters, then decide","Review with client - switch or exit"))))</f>
        <v/>
      </c>
      <c r="M212" s="18"/>
    </row>
    <row r="213" customFormat="false" ht="15" hidden="false" customHeight="true" outlineLevel="0" collapsed="false">
      <c r="A213" s="18"/>
      <c r="B213" s="18"/>
      <c r="C213" s="18"/>
      <c r="D213" s="19"/>
      <c r="E213" s="19"/>
      <c r="F213" s="20" t="str">
        <f aca="false">IF($B213="","",$E213-$D213)</f>
        <v/>
      </c>
      <c r="G213" s="21" t="str">
        <f aca="false">IF(OR($B213="",N($D213)=0),"",$F213/$D213)</f>
        <v/>
      </c>
      <c r="H213" s="22"/>
      <c r="I213" s="22"/>
      <c r="J213" s="21" t="str">
        <f aca="false">IF(OR($H213="",$I213=""),"",$H213-$I213)</f>
        <v/>
      </c>
      <c r="K213" s="23" t="str">
        <f aca="false">IF($B213="","",IF($H213="","Data Pending",IF($H213&gt;=$J$4,"Best Fund",IF($H213&gt;=$J$5,"Need to Improve","Not Performing"))))</f>
        <v/>
      </c>
      <c r="L213" s="24" t="str">
        <f aca="false">IF($K213="","",IF($K213="Data Pending","Enter the 3Y return",IF($K213="Best Fund","Hold / consider top-up",IF($K213="Need to Improve","Watch 2 quarters, then decide","Review with client - switch or exit"))))</f>
        <v/>
      </c>
      <c r="M213" s="18"/>
    </row>
    <row r="214" customFormat="false" ht="15" hidden="false" customHeight="true" outlineLevel="0" collapsed="false">
      <c r="A214" s="18"/>
      <c r="B214" s="18"/>
      <c r="C214" s="18"/>
      <c r="D214" s="19"/>
      <c r="E214" s="19"/>
      <c r="F214" s="20" t="str">
        <f aca="false">IF($B214="","",$E214-$D214)</f>
        <v/>
      </c>
      <c r="G214" s="21" t="str">
        <f aca="false">IF(OR($B214="",N($D214)=0),"",$F214/$D214)</f>
        <v/>
      </c>
      <c r="H214" s="22"/>
      <c r="I214" s="22"/>
      <c r="J214" s="21" t="str">
        <f aca="false">IF(OR($H214="",$I214=""),"",$H214-$I214)</f>
        <v/>
      </c>
      <c r="K214" s="23" t="str">
        <f aca="false">IF($B214="","",IF($H214="","Data Pending",IF($H214&gt;=$J$4,"Best Fund",IF($H214&gt;=$J$5,"Need to Improve","Not Performing"))))</f>
        <v/>
      </c>
      <c r="L214" s="24" t="str">
        <f aca="false">IF($K214="","",IF($K214="Data Pending","Enter the 3Y return",IF($K214="Best Fund","Hold / consider top-up",IF($K214="Need to Improve","Watch 2 quarters, then decide","Review with client - switch or exit"))))</f>
        <v/>
      </c>
      <c r="M214" s="18"/>
    </row>
    <row r="215" customFormat="false" ht="15" hidden="false" customHeight="true" outlineLevel="0" collapsed="false">
      <c r="A215" s="18"/>
      <c r="B215" s="18"/>
      <c r="C215" s="18"/>
      <c r="D215" s="19"/>
      <c r="E215" s="19"/>
      <c r="F215" s="20" t="str">
        <f aca="false">IF($B215="","",$E215-$D215)</f>
        <v/>
      </c>
      <c r="G215" s="21" t="str">
        <f aca="false">IF(OR($B215="",N($D215)=0),"",$F215/$D215)</f>
        <v/>
      </c>
      <c r="H215" s="22"/>
      <c r="I215" s="22"/>
      <c r="J215" s="21" t="str">
        <f aca="false">IF(OR($H215="",$I215=""),"",$H215-$I215)</f>
        <v/>
      </c>
      <c r="K215" s="23" t="str">
        <f aca="false">IF($B215="","",IF($H215="","Data Pending",IF($H215&gt;=$J$4,"Best Fund",IF($H215&gt;=$J$5,"Need to Improve","Not Performing"))))</f>
        <v/>
      </c>
      <c r="L215" s="24" t="str">
        <f aca="false">IF($K215="","",IF($K215="Data Pending","Enter the 3Y return",IF($K215="Best Fund","Hold / consider top-up",IF($K215="Need to Improve","Watch 2 quarters, then decide","Review with client - switch or exit"))))</f>
        <v/>
      </c>
      <c r="M215" s="18"/>
    </row>
    <row r="216" customFormat="false" ht="15" hidden="false" customHeight="true" outlineLevel="0" collapsed="false">
      <c r="A216" s="18"/>
      <c r="B216" s="18"/>
      <c r="C216" s="18"/>
      <c r="D216" s="19"/>
      <c r="E216" s="19"/>
      <c r="F216" s="20" t="str">
        <f aca="false">IF($B216="","",$E216-$D216)</f>
        <v/>
      </c>
      <c r="G216" s="21" t="str">
        <f aca="false">IF(OR($B216="",N($D216)=0),"",$F216/$D216)</f>
        <v/>
      </c>
      <c r="H216" s="22"/>
      <c r="I216" s="22"/>
      <c r="J216" s="21" t="str">
        <f aca="false">IF(OR($H216="",$I216=""),"",$H216-$I216)</f>
        <v/>
      </c>
      <c r="K216" s="23" t="str">
        <f aca="false">IF($B216="","",IF($H216="","Data Pending",IF($H216&gt;=$J$4,"Best Fund",IF($H216&gt;=$J$5,"Need to Improve","Not Performing"))))</f>
        <v/>
      </c>
      <c r="L216" s="24" t="str">
        <f aca="false">IF($K216="","",IF($K216="Data Pending","Enter the 3Y return",IF($K216="Best Fund","Hold / consider top-up",IF($K216="Need to Improve","Watch 2 quarters, then decide","Review with client - switch or exit"))))</f>
        <v/>
      </c>
      <c r="M216" s="18"/>
    </row>
    <row r="217" customFormat="false" ht="15" hidden="false" customHeight="true" outlineLevel="0" collapsed="false">
      <c r="A217" s="18"/>
      <c r="B217" s="18"/>
      <c r="C217" s="18"/>
      <c r="D217" s="19"/>
      <c r="E217" s="19"/>
      <c r="F217" s="20" t="str">
        <f aca="false">IF($B217="","",$E217-$D217)</f>
        <v/>
      </c>
      <c r="G217" s="21" t="str">
        <f aca="false">IF(OR($B217="",N($D217)=0),"",$F217/$D217)</f>
        <v/>
      </c>
      <c r="H217" s="22"/>
      <c r="I217" s="22"/>
      <c r="J217" s="21" t="str">
        <f aca="false">IF(OR($H217="",$I217=""),"",$H217-$I217)</f>
        <v/>
      </c>
      <c r="K217" s="23" t="str">
        <f aca="false">IF($B217="","",IF($H217="","Data Pending",IF($H217&gt;=$J$4,"Best Fund",IF($H217&gt;=$J$5,"Need to Improve","Not Performing"))))</f>
        <v/>
      </c>
      <c r="L217" s="24" t="str">
        <f aca="false">IF($K217="","",IF($K217="Data Pending","Enter the 3Y return",IF($K217="Best Fund","Hold / consider top-up",IF($K217="Need to Improve","Watch 2 quarters, then decide","Review with client - switch or exit"))))</f>
        <v/>
      </c>
      <c r="M217" s="18"/>
    </row>
    <row r="218" customFormat="false" ht="15" hidden="false" customHeight="true" outlineLevel="0" collapsed="false">
      <c r="A218" s="18"/>
      <c r="B218" s="18"/>
      <c r="C218" s="18"/>
      <c r="D218" s="19"/>
      <c r="E218" s="19"/>
      <c r="F218" s="20" t="str">
        <f aca="false">IF($B218="","",$E218-$D218)</f>
        <v/>
      </c>
      <c r="G218" s="21" t="str">
        <f aca="false">IF(OR($B218="",N($D218)=0),"",$F218/$D218)</f>
        <v/>
      </c>
      <c r="H218" s="22"/>
      <c r="I218" s="22"/>
      <c r="J218" s="21" t="str">
        <f aca="false">IF(OR($H218="",$I218=""),"",$H218-$I218)</f>
        <v/>
      </c>
      <c r="K218" s="23" t="str">
        <f aca="false">IF($B218="","",IF($H218="","Data Pending",IF($H218&gt;=$J$4,"Best Fund",IF($H218&gt;=$J$5,"Need to Improve","Not Performing"))))</f>
        <v/>
      </c>
      <c r="L218" s="24" t="str">
        <f aca="false">IF($K218="","",IF($K218="Data Pending","Enter the 3Y return",IF($K218="Best Fund","Hold / consider top-up",IF($K218="Need to Improve","Watch 2 quarters, then decide","Review with client - switch or exit"))))</f>
        <v/>
      </c>
      <c r="M218" s="18"/>
    </row>
    <row r="219" customFormat="false" ht="15" hidden="false" customHeight="true" outlineLevel="0" collapsed="false">
      <c r="A219" s="18"/>
      <c r="B219" s="18"/>
      <c r="C219" s="18"/>
      <c r="D219" s="19"/>
      <c r="E219" s="19"/>
      <c r="F219" s="20" t="str">
        <f aca="false">IF($B219="","",$E219-$D219)</f>
        <v/>
      </c>
      <c r="G219" s="21" t="str">
        <f aca="false">IF(OR($B219="",N($D219)=0),"",$F219/$D219)</f>
        <v/>
      </c>
      <c r="H219" s="22"/>
      <c r="I219" s="22"/>
      <c r="J219" s="21" t="str">
        <f aca="false">IF(OR($H219="",$I219=""),"",$H219-$I219)</f>
        <v/>
      </c>
      <c r="K219" s="23" t="str">
        <f aca="false">IF($B219="","",IF($H219="","Data Pending",IF($H219&gt;=$J$4,"Best Fund",IF($H219&gt;=$J$5,"Need to Improve","Not Performing"))))</f>
        <v/>
      </c>
      <c r="L219" s="24" t="str">
        <f aca="false">IF($K219="","",IF($K219="Data Pending","Enter the 3Y return",IF($K219="Best Fund","Hold / consider top-up",IF($K219="Need to Improve","Watch 2 quarters, then decide","Review with client - switch or exit"))))</f>
        <v/>
      </c>
      <c r="M219" s="18"/>
    </row>
    <row r="220" customFormat="false" ht="15" hidden="false" customHeight="true" outlineLevel="0" collapsed="false">
      <c r="A220" s="18"/>
      <c r="B220" s="18"/>
      <c r="C220" s="18"/>
      <c r="D220" s="19"/>
      <c r="E220" s="19"/>
      <c r="F220" s="20" t="str">
        <f aca="false">IF($B220="","",$E220-$D220)</f>
        <v/>
      </c>
      <c r="G220" s="21" t="str">
        <f aca="false">IF(OR($B220="",N($D220)=0),"",$F220/$D220)</f>
        <v/>
      </c>
      <c r="H220" s="22"/>
      <c r="I220" s="22"/>
      <c r="J220" s="21" t="str">
        <f aca="false">IF(OR($H220="",$I220=""),"",$H220-$I220)</f>
        <v/>
      </c>
      <c r="K220" s="23" t="str">
        <f aca="false">IF($B220="","",IF($H220="","Data Pending",IF($H220&gt;=$J$4,"Best Fund",IF($H220&gt;=$J$5,"Need to Improve","Not Performing"))))</f>
        <v/>
      </c>
      <c r="L220" s="24" t="str">
        <f aca="false">IF($K220="","",IF($K220="Data Pending","Enter the 3Y return",IF($K220="Best Fund","Hold / consider top-up",IF($K220="Need to Improve","Watch 2 quarters, then decide","Review with client - switch or exit"))))</f>
        <v/>
      </c>
      <c r="M220" s="18"/>
    </row>
    <row r="221" customFormat="false" ht="15" hidden="false" customHeight="true" outlineLevel="0" collapsed="false">
      <c r="A221" s="18"/>
      <c r="B221" s="18"/>
      <c r="C221" s="18"/>
      <c r="D221" s="19"/>
      <c r="E221" s="19"/>
      <c r="F221" s="20" t="str">
        <f aca="false">IF($B221="","",$E221-$D221)</f>
        <v/>
      </c>
      <c r="G221" s="21" t="str">
        <f aca="false">IF(OR($B221="",N($D221)=0),"",$F221/$D221)</f>
        <v/>
      </c>
      <c r="H221" s="22"/>
      <c r="I221" s="22"/>
      <c r="J221" s="21" t="str">
        <f aca="false">IF(OR($H221="",$I221=""),"",$H221-$I221)</f>
        <v/>
      </c>
      <c r="K221" s="23" t="str">
        <f aca="false">IF($B221="","",IF($H221="","Data Pending",IF($H221&gt;=$J$4,"Best Fund",IF($H221&gt;=$J$5,"Need to Improve","Not Performing"))))</f>
        <v/>
      </c>
      <c r="L221" s="24" t="str">
        <f aca="false">IF($K221="","",IF($K221="Data Pending","Enter the 3Y return",IF($K221="Best Fund","Hold / consider top-up",IF($K221="Need to Improve","Watch 2 quarters, then decide","Review with client - switch or exit"))))</f>
        <v/>
      </c>
      <c r="M221" s="18"/>
    </row>
    <row r="222" customFormat="false" ht="15" hidden="false" customHeight="true" outlineLevel="0" collapsed="false">
      <c r="A222" s="18"/>
      <c r="B222" s="18"/>
      <c r="C222" s="18"/>
      <c r="D222" s="19"/>
      <c r="E222" s="19"/>
      <c r="F222" s="20" t="str">
        <f aca="false">IF($B222="","",$E222-$D222)</f>
        <v/>
      </c>
      <c r="G222" s="21" t="str">
        <f aca="false">IF(OR($B222="",N($D222)=0),"",$F222/$D222)</f>
        <v/>
      </c>
      <c r="H222" s="22"/>
      <c r="I222" s="22"/>
      <c r="J222" s="21" t="str">
        <f aca="false">IF(OR($H222="",$I222=""),"",$H222-$I222)</f>
        <v/>
      </c>
      <c r="K222" s="23" t="str">
        <f aca="false">IF($B222="","",IF($H222="","Data Pending",IF($H222&gt;=$J$4,"Best Fund",IF($H222&gt;=$J$5,"Need to Improve","Not Performing"))))</f>
        <v/>
      </c>
      <c r="L222" s="24" t="str">
        <f aca="false">IF($K222="","",IF($K222="Data Pending","Enter the 3Y return",IF($K222="Best Fund","Hold / consider top-up",IF($K222="Need to Improve","Watch 2 quarters, then decide","Review with client - switch or exit"))))</f>
        <v/>
      </c>
      <c r="M222" s="18"/>
    </row>
    <row r="223" customFormat="false" ht="15" hidden="false" customHeight="true" outlineLevel="0" collapsed="false">
      <c r="A223" s="18"/>
      <c r="B223" s="18"/>
      <c r="C223" s="18"/>
      <c r="D223" s="19"/>
      <c r="E223" s="19"/>
      <c r="F223" s="20" t="str">
        <f aca="false">IF($B223="","",$E223-$D223)</f>
        <v/>
      </c>
      <c r="G223" s="21" t="str">
        <f aca="false">IF(OR($B223="",N($D223)=0),"",$F223/$D223)</f>
        <v/>
      </c>
      <c r="H223" s="22"/>
      <c r="I223" s="22"/>
      <c r="J223" s="21" t="str">
        <f aca="false">IF(OR($H223="",$I223=""),"",$H223-$I223)</f>
        <v/>
      </c>
      <c r="K223" s="23" t="str">
        <f aca="false">IF($B223="","",IF($H223="","Data Pending",IF($H223&gt;=$J$4,"Best Fund",IF($H223&gt;=$J$5,"Need to Improve","Not Performing"))))</f>
        <v/>
      </c>
      <c r="L223" s="24" t="str">
        <f aca="false">IF($K223="","",IF($K223="Data Pending","Enter the 3Y return",IF($K223="Best Fund","Hold / consider top-up",IF($K223="Need to Improve","Watch 2 quarters, then decide","Review with client - switch or exit"))))</f>
        <v/>
      </c>
      <c r="M223" s="18"/>
    </row>
    <row r="224" customFormat="false" ht="15" hidden="false" customHeight="true" outlineLevel="0" collapsed="false">
      <c r="A224" s="18"/>
      <c r="B224" s="18"/>
      <c r="C224" s="18"/>
      <c r="D224" s="19"/>
      <c r="E224" s="19"/>
      <c r="F224" s="20" t="str">
        <f aca="false">IF($B224="","",$E224-$D224)</f>
        <v/>
      </c>
      <c r="G224" s="21" t="str">
        <f aca="false">IF(OR($B224="",N($D224)=0),"",$F224/$D224)</f>
        <v/>
      </c>
      <c r="H224" s="22"/>
      <c r="I224" s="22"/>
      <c r="J224" s="21" t="str">
        <f aca="false">IF(OR($H224="",$I224=""),"",$H224-$I224)</f>
        <v/>
      </c>
      <c r="K224" s="23" t="str">
        <f aca="false">IF($B224="","",IF($H224="","Data Pending",IF($H224&gt;=$J$4,"Best Fund",IF($H224&gt;=$J$5,"Need to Improve","Not Performing"))))</f>
        <v/>
      </c>
      <c r="L224" s="24" t="str">
        <f aca="false">IF($K224="","",IF($K224="Data Pending","Enter the 3Y return",IF($K224="Best Fund","Hold / consider top-up",IF($K224="Need to Improve","Watch 2 quarters, then decide","Review with client - switch or exit"))))</f>
        <v/>
      </c>
      <c r="M224" s="18"/>
    </row>
    <row r="225" customFormat="false" ht="15" hidden="false" customHeight="true" outlineLevel="0" collapsed="false">
      <c r="A225" s="18"/>
      <c r="B225" s="18"/>
      <c r="C225" s="18"/>
      <c r="D225" s="19"/>
      <c r="E225" s="19"/>
      <c r="F225" s="20" t="str">
        <f aca="false">IF($B225="","",$E225-$D225)</f>
        <v/>
      </c>
      <c r="G225" s="21" t="str">
        <f aca="false">IF(OR($B225="",N($D225)=0),"",$F225/$D225)</f>
        <v/>
      </c>
      <c r="H225" s="22"/>
      <c r="I225" s="22"/>
      <c r="J225" s="21" t="str">
        <f aca="false">IF(OR($H225="",$I225=""),"",$H225-$I225)</f>
        <v/>
      </c>
      <c r="K225" s="23" t="str">
        <f aca="false">IF($B225="","",IF($H225="","Data Pending",IF($H225&gt;=$J$4,"Best Fund",IF($H225&gt;=$J$5,"Need to Improve","Not Performing"))))</f>
        <v/>
      </c>
      <c r="L225" s="24" t="str">
        <f aca="false">IF($K225="","",IF($K225="Data Pending","Enter the 3Y return",IF($K225="Best Fund","Hold / consider top-up",IF($K225="Need to Improve","Watch 2 quarters, then decide","Review with client - switch or exit"))))</f>
        <v/>
      </c>
      <c r="M225" s="18"/>
    </row>
    <row r="226" customFormat="false" ht="15" hidden="false" customHeight="true" outlineLevel="0" collapsed="false">
      <c r="A226" s="18"/>
      <c r="B226" s="18"/>
      <c r="C226" s="18"/>
      <c r="D226" s="19"/>
      <c r="E226" s="19"/>
      <c r="F226" s="20" t="str">
        <f aca="false">IF($B226="","",$E226-$D226)</f>
        <v/>
      </c>
      <c r="G226" s="21" t="str">
        <f aca="false">IF(OR($B226="",N($D226)=0),"",$F226/$D226)</f>
        <v/>
      </c>
      <c r="H226" s="22"/>
      <c r="I226" s="22"/>
      <c r="J226" s="21" t="str">
        <f aca="false">IF(OR($H226="",$I226=""),"",$H226-$I226)</f>
        <v/>
      </c>
      <c r="K226" s="23" t="str">
        <f aca="false">IF($B226="","",IF($H226="","Data Pending",IF($H226&gt;=$J$4,"Best Fund",IF($H226&gt;=$J$5,"Need to Improve","Not Performing"))))</f>
        <v/>
      </c>
      <c r="L226" s="24" t="str">
        <f aca="false">IF($K226="","",IF($K226="Data Pending","Enter the 3Y return",IF($K226="Best Fund","Hold / consider top-up",IF($K226="Need to Improve","Watch 2 quarters, then decide","Review with client - switch or exit"))))</f>
        <v/>
      </c>
      <c r="M226" s="18"/>
    </row>
    <row r="227" customFormat="false" ht="15" hidden="false" customHeight="true" outlineLevel="0" collapsed="false">
      <c r="A227" s="18"/>
      <c r="B227" s="18"/>
      <c r="C227" s="18"/>
      <c r="D227" s="19"/>
      <c r="E227" s="19"/>
      <c r="F227" s="20" t="str">
        <f aca="false">IF($B227="","",$E227-$D227)</f>
        <v/>
      </c>
      <c r="G227" s="21" t="str">
        <f aca="false">IF(OR($B227="",N($D227)=0),"",$F227/$D227)</f>
        <v/>
      </c>
      <c r="H227" s="22"/>
      <c r="I227" s="22"/>
      <c r="J227" s="21" t="str">
        <f aca="false">IF(OR($H227="",$I227=""),"",$H227-$I227)</f>
        <v/>
      </c>
      <c r="K227" s="23" t="str">
        <f aca="false">IF($B227="","",IF($H227="","Data Pending",IF($H227&gt;=$J$4,"Best Fund",IF($H227&gt;=$J$5,"Need to Improve","Not Performing"))))</f>
        <v/>
      </c>
      <c r="L227" s="24" t="str">
        <f aca="false">IF($K227="","",IF($K227="Data Pending","Enter the 3Y return",IF($K227="Best Fund","Hold / consider top-up",IF($K227="Need to Improve","Watch 2 quarters, then decide","Review with client - switch or exit"))))</f>
        <v/>
      </c>
      <c r="M227" s="18"/>
    </row>
    <row r="228" customFormat="false" ht="15" hidden="false" customHeight="true" outlineLevel="0" collapsed="false">
      <c r="A228" s="18"/>
      <c r="B228" s="18"/>
      <c r="C228" s="18"/>
      <c r="D228" s="19"/>
      <c r="E228" s="19"/>
      <c r="F228" s="20" t="str">
        <f aca="false">IF($B228="","",$E228-$D228)</f>
        <v/>
      </c>
      <c r="G228" s="21" t="str">
        <f aca="false">IF(OR($B228="",N($D228)=0),"",$F228/$D228)</f>
        <v/>
      </c>
      <c r="H228" s="22"/>
      <c r="I228" s="22"/>
      <c r="J228" s="21" t="str">
        <f aca="false">IF(OR($H228="",$I228=""),"",$H228-$I228)</f>
        <v/>
      </c>
      <c r="K228" s="23" t="str">
        <f aca="false">IF($B228="","",IF($H228="","Data Pending",IF($H228&gt;=$J$4,"Best Fund",IF($H228&gt;=$J$5,"Need to Improve","Not Performing"))))</f>
        <v/>
      </c>
      <c r="L228" s="24" t="str">
        <f aca="false">IF($K228="","",IF($K228="Data Pending","Enter the 3Y return",IF($K228="Best Fund","Hold / consider top-up",IF($K228="Need to Improve","Watch 2 quarters, then decide","Review with client - switch or exit"))))</f>
        <v/>
      </c>
      <c r="M228" s="18"/>
    </row>
    <row r="229" customFormat="false" ht="15" hidden="false" customHeight="true" outlineLevel="0" collapsed="false">
      <c r="A229" s="18"/>
      <c r="B229" s="18"/>
      <c r="C229" s="18"/>
      <c r="D229" s="19"/>
      <c r="E229" s="19"/>
      <c r="F229" s="20" t="str">
        <f aca="false">IF($B229="","",$E229-$D229)</f>
        <v/>
      </c>
      <c r="G229" s="21" t="str">
        <f aca="false">IF(OR($B229="",N($D229)=0),"",$F229/$D229)</f>
        <v/>
      </c>
      <c r="H229" s="22"/>
      <c r="I229" s="22"/>
      <c r="J229" s="21" t="str">
        <f aca="false">IF(OR($H229="",$I229=""),"",$H229-$I229)</f>
        <v/>
      </c>
      <c r="K229" s="23" t="str">
        <f aca="false">IF($B229="","",IF($H229="","Data Pending",IF($H229&gt;=$J$4,"Best Fund",IF($H229&gt;=$J$5,"Need to Improve","Not Performing"))))</f>
        <v/>
      </c>
      <c r="L229" s="24" t="str">
        <f aca="false">IF($K229="","",IF($K229="Data Pending","Enter the 3Y return",IF($K229="Best Fund","Hold / consider top-up",IF($K229="Need to Improve","Watch 2 quarters, then decide","Review with client - switch or exit"))))</f>
        <v/>
      </c>
      <c r="M229" s="18"/>
    </row>
    <row r="230" customFormat="false" ht="15" hidden="false" customHeight="true" outlineLevel="0" collapsed="false">
      <c r="A230" s="18"/>
      <c r="B230" s="18"/>
      <c r="C230" s="18"/>
      <c r="D230" s="19"/>
      <c r="E230" s="19"/>
      <c r="F230" s="20" t="str">
        <f aca="false">IF($B230="","",$E230-$D230)</f>
        <v/>
      </c>
      <c r="G230" s="21" t="str">
        <f aca="false">IF(OR($B230="",N($D230)=0),"",$F230/$D230)</f>
        <v/>
      </c>
      <c r="H230" s="22"/>
      <c r="I230" s="22"/>
      <c r="J230" s="21" t="str">
        <f aca="false">IF(OR($H230="",$I230=""),"",$H230-$I230)</f>
        <v/>
      </c>
      <c r="K230" s="23" t="str">
        <f aca="false">IF($B230="","",IF($H230="","Data Pending",IF($H230&gt;=$J$4,"Best Fund",IF($H230&gt;=$J$5,"Need to Improve","Not Performing"))))</f>
        <v/>
      </c>
      <c r="L230" s="24" t="str">
        <f aca="false">IF($K230="","",IF($K230="Data Pending","Enter the 3Y return",IF($K230="Best Fund","Hold / consider top-up",IF($K230="Need to Improve","Watch 2 quarters, then decide","Review with client - switch or exit"))))</f>
        <v/>
      </c>
      <c r="M230" s="18"/>
    </row>
    <row r="231" customFormat="false" ht="15" hidden="false" customHeight="true" outlineLevel="0" collapsed="false">
      <c r="A231" s="18"/>
      <c r="B231" s="18"/>
      <c r="C231" s="18"/>
      <c r="D231" s="19"/>
      <c r="E231" s="19"/>
      <c r="F231" s="20" t="str">
        <f aca="false">IF($B231="","",$E231-$D231)</f>
        <v/>
      </c>
      <c r="G231" s="21" t="str">
        <f aca="false">IF(OR($B231="",N($D231)=0),"",$F231/$D231)</f>
        <v/>
      </c>
      <c r="H231" s="22"/>
      <c r="I231" s="22"/>
      <c r="J231" s="21" t="str">
        <f aca="false">IF(OR($H231="",$I231=""),"",$H231-$I231)</f>
        <v/>
      </c>
      <c r="K231" s="23" t="str">
        <f aca="false">IF($B231="","",IF($H231="","Data Pending",IF($H231&gt;=$J$4,"Best Fund",IF($H231&gt;=$J$5,"Need to Improve","Not Performing"))))</f>
        <v/>
      </c>
      <c r="L231" s="24" t="str">
        <f aca="false">IF($K231="","",IF($K231="Data Pending","Enter the 3Y return",IF($K231="Best Fund","Hold / consider top-up",IF($K231="Need to Improve","Watch 2 quarters, then decide","Review with client - switch or exit"))))</f>
        <v/>
      </c>
      <c r="M231" s="18"/>
    </row>
    <row r="232" customFormat="false" ht="15" hidden="false" customHeight="true" outlineLevel="0" collapsed="false">
      <c r="A232" s="18"/>
      <c r="B232" s="18"/>
      <c r="C232" s="18"/>
      <c r="D232" s="19"/>
      <c r="E232" s="19"/>
      <c r="F232" s="20" t="str">
        <f aca="false">IF($B232="","",$E232-$D232)</f>
        <v/>
      </c>
      <c r="G232" s="21" t="str">
        <f aca="false">IF(OR($B232="",N($D232)=0),"",$F232/$D232)</f>
        <v/>
      </c>
      <c r="H232" s="22"/>
      <c r="I232" s="22"/>
      <c r="J232" s="21" t="str">
        <f aca="false">IF(OR($H232="",$I232=""),"",$H232-$I232)</f>
        <v/>
      </c>
      <c r="K232" s="23" t="str">
        <f aca="false">IF($B232="","",IF($H232="","Data Pending",IF($H232&gt;=$J$4,"Best Fund",IF($H232&gt;=$J$5,"Need to Improve","Not Performing"))))</f>
        <v/>
      </c>
      <c r="L232" s="24" t="str">
        <f aca="false">IF($K232="","",IF($K232="Data Pending","Enter the 3Y return",IF($K232="Best Fund","Hold / consider top-up",IF($K232="Need to Improve","Watch 2 quarters, then decide","Review with client - switch or exit"))))</f>
        <v/>
      </c>
      <c r="M232" s="18"/>
    </row>
    <row r="233" customFormat="false" ht="15" hidden="false" customHeight="true" outlineLevel="0" collapsed="false">
      <c r="A233" s="18"/>
      <c r="B233" s="18"/>
      <c r="C233" s="18"/>
      <c r="D233" s="19"/>
      <c r="E233" s="19"/>
      <c r="F233" s="20" t="str">
        <f aca="false">IF($B233="","",$E233-$D233)</f>
        <v/>
      </c>
      <c r="G233" s="21" t="str">
        <f aca="false">IF(OR($B233="",N($D233)=0),"",$F233/$D233)</f>
        <v/>
      </c>
      <c r="H233" s="22"/>
      <c r="I233" s="22"/>
      <c r="J233" s="21" t="str">
        <f aca="false">IF(OR($H233="",$I233=""),"",$H233-$I233)</f>
        <v/>
      </c>
      <c r="K233" s="23" t="str">
        <f aca="false">IF($B233="","",IF($H233="","Data Pending",IF($H233&gt;=$J$4,"Best Fund",IF($H233&gt;=$J$5,"Need to Improve","Not Performing"))))</f>
        <v/>
      </c>
      <c r="L233" s="24" t="str">
        <f aca="false">IF($K233="","",IF($K233="Data Pending","Enter the 3Y return",IF($K233="Best Fund","Hold / consider top-up",IF($K233="Need to Improve","Watch 2 quarters, then decide","Review with client - switch or exit"))))</f>
        <v/>
      </c>
      <c r="M233" s="18"/>
    </row>
    <row r="234" customFormat="false" ht="15" hidden="false" customHeight="true" outlineLevel="0" collapsed="false">
      <c r="A234" s="18"/>
      <c r="B234" s="18"/>
      <c r="C234" s="18"/>
      <c r="D234" s="19"/>
      <c r="E234" s="19"/>
      <c r="F234" s="20" t="str">
        <f aca="false">IF($B234="","",$E234-$D234)</f>
        <v/>
      </c>
      <c r="G234" s="21" t="str">
        <f aca="false">IF(OR($B234="",N($D234)=0),"",$F234/$D234)</f>
        <v/>
      </c>
      <c r="H234" s="22"/>
      <c r="I234" s="22"/>
      <c r="J234" s="21" t="str">
        <f aca="false">IF(OR($H234="",$I234=""),"",$H234-$I234)</f>
        <v/>
      </c>
      <c r="K234" s="23" t="str">
        <f aca="false">IF($B234="","",IF($H234="","Data Pending",IF($H234&gt;=$J$4,"Best Fund",IF($H234&gt;=$J$5,"Need to Improve","Not Performing"))))</f>
        <v/>
      </c>
      <c r="L234" s="24" t="str">
        <f aca="false">IF($K234="","",IF($K234="Data Pending","Enter the 3Y return",IF($K234="Best Fund","Hold / consider top-up",IF($K234="Need to Improve","Watch 2 quarters, then decide","Review with client - switch or exit"))))</f>
        <v/>
      </c>
      <c r="M234" s="18"/>
    </row>
    <row r="235" customFormat="false" ht="15" hidden="false" customHeight="true" outlineLevel="0" collapsed="false">
      <c r="A235" s="18"/>
      <c r="B235" s="18"/>
      <c r="C235" s="18"/>
      <c r="D235" s="19"/>
      <c r="E235" s="19"/>
      <c r="F235" s="20" t="str">
        <f aca="false">IF($B235="","",$E235-$D235)</f>
        <v/>
      </c>
      <c r="G235" s="21" t="str">
        <f aca="false">IF(OR($B235="",N($D235)=0),"",$F235/$D235)</f>
        <v/>
      </c>
      <c r="H235" s="22"/>
      <c r="I235" s="22"/>
      <c r="J235" s="21" t="str">
        <f aca="false">IF(OR($H235="",$I235=""),"",$H235-$I235)</f>
        <v/>
      </c>
      <c r="K235" s="23" t="str">
        <f aca="false">IF($B235="","",IF($H235="","Data Pending",IF($H235&gt;=$J$4,"Best Fund",IF($H235&gt;=$J$5,"Need to Improve","Not Performing"))))</f>
        <v/>
      </c>
      <c r="L235" s="24" t="str">
        <f aca="false">IF($K235="","",IF($K235="Data Pending","Enter the 3Y return",IF($K235="Best Fund","Hold / consider top-up",IF($K235="Need to Improve","Watch 2 quarters, then decide","Review with client - switch or exit"))))</f>
        <v/>
      </c>
      <c r="M235" s="18"/>
    </row>
    <row r="236" customFormat="false" ht="15" hidden="false" customHeight="true" outlineLevel="0" collapsed="false">
      <c r="A236" s="18"/>
      <c r="B236" s="18"/>
      <c r="C236" s="18"/>
      <c r="D236" s="19"/>
      <c r="E236" s="19"/>
      <c r="F236" s="20" t="str">
        <f aca="false">IF($B236="","",$E236-$D236)</f>
        <v/>
      </c>
      <c r="G236" s="21" t="str">
        <f aca="false">IF(OR($B236="",N($D236)=0),"",$F236/$D236)</f>
        <v/>
      </c>
      <c r="H236" s="22"/>
      <c r="I236" s="22"/>
      <c r="J236" s="21" t="str">
        <f aca="false">IF(OR($H236="",$I236=""),"",$H236-$I236)</f>
        <v/>
      </c>
      <c r="K236" s="23" t="str">
        <f aca="false">IF($B236="","",IF($H236="","Data Pending",IF($H236&gt;=$J$4,"Best Fund",IF($H236&gt;=$J$5,"Need to Improve","Not Performing"))))</f>
        <v/>
      </c>
      <c r="L236" s="24" t="str">
        <f aca="false">IF($K236="","",IF($K236="Data Pending","Enter the 3Y return",IF($K236="Best Fund","Hold / consider top-up",IF($K236="Need to Improve","Watch 2 quarters, then decide","Review with client - switch or exit"))))</f>
        <v/>
      </c>
      <c r="M236" s="18"/>
    </row>
    <row r="237" customFormat="false" ht="15" hidden="false" customHeight="true" outlineLevel="0" collapsed="false">
      <c r="A237" s="18"/>
      <c r="B237" s="18"/>
      <c r="C237" s="18"/>
      <c r="D237" s="19"/>
      <c r="E237" s="19"/>
      <c r="F237" s="20" t="str">
        <f aca="false">IF($B237="","",$E237-$D237)</f>
        <v/>
      </c>
      <c r="G237" s="21" t="str">
        <f aca="false">IF(OR($B237="",N($D237)=0),"",$F237/$D237)</f>
        <v/>
      </c>
      <c r="H237" s="22"/>
      <c r="I237" s="22"/>
      <c r="J237" s="21" t="str">
        <f aca="false">IF(OR($H237="",$I237=""),"",$H237-$I237)</f>
        <v/>
      </c>
      <c r="K237" s="23" t="str">
        <f aca="false">IF($B237="","",IF($H237="","Data Pending",IF($H237&gt;=$J$4,"Best Fund",IF($H237&gt;=$J$5,"Need to Improve","Not Performing"))))</f>
        <v/>
      </c>
      <c r="L237" s="24" t="str">
        <f aca="false">IF($K237="","",IF($K237="Data Pending","Enter the 3Y return",IF($K237="Best Fund","Hold / consider top-up",IF($K237="Need to Improve","Watch 2 quarters, then decide","Review with client - switch or exit"))))</f>
        <v/>
      </c>
      <c r="M237" s="18"/>
    </row>
    <row r="238" customFormat="false" ht="15" hidden="false" customHeight="true" outlineLevel="0" collapsed="false">
      <c r="A238" s="18"/>
      <c r="B238" s="18"/>
      <c r="C238" s="18"/>
      <c r="D238" s="19"/>
      <c r="E238" s="19"/>
      <c r="F238" s="20" t="str">
        <f aca="false">IF($B238="","",$E238-$D238)</f>
        <v/>
      </c>
      <c r="G238" s="21" t="str">
        <f aca="false">IF(OR($B238="",N($D238)=0),"",$F238/$D238)</f>
        <v/>
      </c>
      <c r="H238" s="22"/>
      <c r="I238" s="22"/>
      <c r="J238" s="21" t="str">
        <f aca="false">IF(OR($H238="",$I238=""),"",$H238-$I238)</f>
        <v/>
      </c>
      <c r="K238" s="23" t="str">
        <f aca="false">IF($B238="","",IF($H238="","Data Pending",IF($H238&gt;=$J$4,"Best Fund",IF($H238&gt;=$J$5,"Need to Improve","Not Performing"))))</f>
        <v/>
      </c>
      <c r="L238" s="24" t="str">
        <f aca="false">IF($K238="","",IF($K238="Data Pending","Enter the 3Y return",IF($K238="Best Fund","Hold / consider top-up",IF($K238="Need to Improve","Watch 2 quarters, then decide","Review with client - switch or exit"))))</f>
        <v/>
      </c>
      <c r="M238" s="18"/>
    </row>
    <row r="239" customFormat="false" ht="15" hidden="false" customHeight="true" outlineLevel="0" collapsed="false">
      <c r="A239" s="18"/>
      <c r="B239" s="18"/>
      <c r="C239" s="18"/>
      <c r="D239" s="19"/>
      <c r="E239" s="19"/>
      <c r="F239" s="20" t="str">
        <f aca="false">IF($B239="","",$E239-$D239)</f>
        <v/>
      </c>
      <c r="G239" s="21" t="str">
        <f aca="false">IF(OR($B239="",N($D239)=0),"",$F239/$D239)</f>
        <v/>
      </c>
      <c r="H239" s="22"/>
      <c r="I239" s="22"/>
      <c r="J239" s="21" t="str">
        <f aca="false">IF(OR($H239="",$I239=""),"",$H239-$I239)</f>
        <v/>
      </c>
      <c r="K239" s="23" t="str">
        <f aca="false">IF($B239="","",IF($H239="","Data Pending",IF($H239&gt;=$J$4,"Best Fund",IF($H239&gt;=$J$5,"Need to Improve","Not Performing"))))</f>
        <v/>
      </c>
      <c r="L239" s="24" t="str">
        <f aca="false">IF($K239="","",IF($K239="Data Pending","Enter the 3Y return",IF($K239="Best Fund","Hold / consider top-up",IF($K239="Need to Improve","Watch 2 quarters, then decide","Review with client - switch or exit"))))</f>
        <v/>
      </c>
      <c r="M239" s="18"/>
    </row>
    <row r="240" customFormat="false" ht="15" hidden="false" customHeight="true" outlineLevel="0" collapsed="false">
      <c r="A240" s="18"/>
      <c r="B240" s="18"/>
      <c r="C240" s="18"/>
      <c r="D240" s="19"/>
      <c r="E240" s="19"/>
      <c r="F240" s="20" t="str">
        <f aca="false">IF($B240="","",$E240-$D240)</f>
        <v/>
      </c>
      <c r="G240" s="21" t="str">
        <f aca="false">IF(OR($B240="",N($D240)=0),"",$F240/$D240)</f>
        <v/>
      </c>
      <c r="H240" s="22"/>
      <c r="I240" s="22"/>
      <c r="J240" s="21" t="str">
        <f aca="false">IF(OR($H240="",$I240=""),"",$H240-$I240)</f>
        <v/>
      </c>
      <c r="K240" s="23" t="str">
        <f aca="false">IF($B240="","",IF($H240="","Data Pending",IF($H240&gt;=$J$4,"Best Fund",IF($H240&gt;=$J$5,"Need to Improve","Not Performing"))))</f>
        <v/>
      </c>
      <c r="L240" s="24" t="str">
        <f aca="false">IF($K240="","",IF($K240="Data Pending","Enter the 3Y return",IF($K240="Best Fund","Hold / consider top-up",IF($K240="Need to Improve","Watch 2 quarters, then decide","Review with client - switch or exit"))))</f>
        <v/>
      </c>
      <c r="M240" s="18"/>
    </row>
    <row r="241" customFormat="false" ht="15" hidden="false" customHeight="true" outlineLevel="0" collapsed="false">
      <c r="A241" s="18"/>
      <c r="B241" s="18"/>
      <c r="C241" s="18"/>
      <c r="D241" s="19"/>
      <c r="E241" s="19"/>
      <c r="F241" s="20" t="str">
        <f aca="false">IF($B241="","",$E241-$D241)</f>
        <v/>
      </c>
      <c r="G241" s="21" t="str">
        <f aca="false">IF(OR($B241="",N($D241)=0),"",$F241/$D241)</f>
        <v/>
      </c>
      <c r="H241" s="22"/>
      <c r="I241" s="22"/>
      <c r="J241" s="21" t="str">
        <f aca="false">IF(OR($H241="",$I241=""),"",$H241-$I241)</f>
        <v/>
      </c>
      <c r="K241" s="23" t="str">
        <f aca="false">IF($B241="","",IF($H241="","Data Pending",IF($H241&gt;=$J$4,"Best Fund",IF($H241&gt;=$J$5,"Need to Improve","Not Performing"))))</f>
        <v/>
      </c>
      <c r="L241" s="24" t="str">
        <f aca="false">IF($K241="","",IF($K241="Data Pending","Enter the 3Y return",IF($K241="Best Fund","Hold / consider top-up",IF($K241="Need to Improve","Watch 2 quarters, then decide","Review with client - switch or exit"))))</f>
        <v/>
      </c>
      <c r="M241" s="18"/>
    </row>
    <row r="242" customFormat="false" ht="15" hidden="false" customHeight="true" outlineLevel="0" collapsed="false">
      <c r="A242" s="18"/>
      <c r="B242" s="18"/>
      <c r="C242" s="18"/>
      <c r="D242" s="19"/>
      <c r="E242" s="19"/>
      <c r="F242" s="20" t="str">
        <f aca="false">IF($B242="","",$E242-$D242)</f>
        <v/>
      </c>
      <c r="G242" s="21" t="str">
        <f aca="false">IF(OR($B242="",N($D242)=0),"",$F242/$D242)</f>
        <v/>
      </c>
      <c r="H242" s="22"/>
      <c r="I242" s="22"/>
      <c r="J242" s="21" t="str">
        <f aca="false">IF(OR($H242="",$I242=""),"",$H242-$I242)</f>
        <v/>
      </c>
      <c r="K242" s="23" t="str">
        <f aca="false">IF($B242="","",IF($H242="","Data Pending",IF($H242&gt;=$J$4,"Best Fund",IF($H242&gt;=$J$5,"Need to Improve","Not Performing"))))</f>
        <v/>
      </c>
      <c r="L242" s="24" t="str">
        <f aca="false">IF($K242="","",IF($K242="Data Pending","Enter the 3Y return",IF($K242="Best Fund","Hold / consider top-up",IF($K242="Need to Improve","Watch 2 quarters, then decide","Review with client - switch or exit"))))</f>
        <v/>
      </c>
      <c r="M242" s="18"/>
    </row>
    <row r="243" customFormat="false" ht="15" hidden="false" customHeight="true" outlineLevel="0" collapsed="false">
      <c r="A243" s="18"/>
      <c r="B243" s="18"/>
      <c r="C243" s="18"/>
      <c r="D243" s="19"/>
      <c r="E243" s="19"/>
      <c r="F243" s="20" t="str">
        <f aca="false">IF($B243="","",$E243-$D243)</f>
        <v/>
      </c>
      <c r="G243" s="21" t="str">
        <f aca="false">IF(OR($B243="",N($D243)=0),"",$F243/$D243)</f>
        <v/>
      </c>
      <c r="H243" s="22"/>
      <c r="I243" s="22"/>
      <c r="J243" s="21" t="str">
        <f aca="false">IF(OR($H243="",$I243=""),"",$H243-$I243)</f>
        <v/>
      </c>
      <c r="K243" s="23" t="str">
        <f aca="false">IF($B243="","",IF($H243="","Data Pending",IF($H243&gt;=$J$4,"Best Fund",IF($H243&gt;=$J$5,"Need to Improve","Not Performing"))))</f>
        <v/>
      </c>
      <c r="L243" s="24" t="str">
        <f aca="false">IF($K243="","",IF($K243="Data Pending","Enter the 3Y return",IF($K243="Best Fund","Hold / consider top-up",IF($K243="Need to Improve","Watch 2 quarters, then decide","Review with client - switch or exit"))))</f>
        <v/>
      </c>
      <c r="M243" s="18"/>
    </row>
    <row r="244" customFormat="false" ht="15" hidden="false" customHeight="true" outlineLevel="0" collapsed="false">
      <c r="A244" s="18"/>
      <c r="B244" s="18"/>
      <c r="C244" s="18"/>
      <c r="D244" s="19"/>
      <c r="E244" s="19"/>
      <c r="F244" s="20" t="str">
        <f aca="false">IF($B244="","",$E244-$D244)</f>
        <v/>
      </c>
      <c r="G244" s="21" t="str">
        <f aca="false">IF(OR($B244="",N($D244)=0),"",$F244/$D244)</f>
        <v/>
      </c>
      <c r="H244" s="22"/>
      <c r="I244" s="22"/>
      <c r="J244" s="21" t="str">
        <f aca="false">IF(OR($H244="",$I244=""),"",$H244-$I244)</f>
        <v/>
      </c>
      <c r="K244" s="23" t="str">
        <f aca="false">IF($B244="","",IF($H244="","Data Pending",IF($H244&gt;=$J$4,"Best Fund",IF($H244&gt;=$J$5,"Need to Improve","Not Performing"))))</f>
        <v/>
      </c>
      <c r="L244" s="24" t="str">
        <f aca="false">IF($K244="","",IF($K244="Data Pending","Enter the 3Y return",IF($K244="Best Fund","Hold / consider top-up",IF($K244="Need to Improve","Watch 2 quarters, then decide","Review with client - switch or exit"))))</f>
        <v/>
      </c>
      <c r="M244" s="18"/>
    </row>
    <row r="245" customFormat="false" ht="15" hidden="false" customHeight="true" outlineLevel="0" collapsed="false">
      <c r="A245" s="18"/>
      <c r="B245" s="18"/>
      <c r="C245" s="18"/>
      <c r="D245" s="19"/>
      <c r="E245" s="19"/>
      <c r="F245" s="20" t="str">
        <f aca="false">IF($B245="","",$E245-$D245)</f>
        <v/>
      </c>
      <c r="G245" s="21" t="str">
        <f aca="false">IF(OR($B245="",N($D245)=0),"",$F245/$D245)</f>
        <v/>
      </c>
      <c r="H245" s="22"/>
      <c r="I245" s="22"/>
      <c r="J245" s="21" t="str">
        <f aca="false">IF(OR($H245="",$I245=""),"",$H245-$I245)</f>
        <v/>
      </c>
      <c r="K245" s="23" t="str">
        <f aca="false">IF($B245="","",IF($H245="","Data Pending",IF($H245&gt;=$J$4,"Best Fund",IF($H245&gt;=$J$5,"Need to Improve","Not Performing"))))</f>
        <v/>
      </c>
      <c r="L245" s="24" t="str">
        <f aca="false">IF($K245="","",IF($K245="Data Pending","Enter the 3Y return",IF($K245="Best Fund","Hold / consider top-up",IF($K245="Need to Improve","Watch 2 quarters, then decide","Review with client - switch or exit"))))</f>
        <v/>
      </c>
      <c r="M245" s="18"/>
    </row>
    <row r="246" customFormat="false" ht="15" hidden="false" customHeight="true" outlineLevel="0" collapsed="false">
      <c r="A246" s="18"/>
      <c r="B246" s="18"/>
      <c r="C246" s="18"/>
      <c r="D246" s="19"/>
      <c r="E246" s="19"/>
      <c r="F246" s="20" t="str">
        <f aca="false">IF($B246="","",$E246-$D246)</f>
        <v/>
      </c>
      <c r="G246" s="21" t="str">
        <f aca="false">IF(OR($B246="",N($D246)=0),"",$F246/$D246)</f>
        <v/>
      </c>
      <c r="H246" s="22"/>
      <c r="I246" s="22"/>
      <c r="J246" s="21" t="str">
        <f aca="false">IF(OR($H246="",$I246=""),"",$H246-$I246)</f>
        <v/>
      </c>
      <c r="K246" s="23" t="str">
        <f aca="false">IF($B246="","",IF($H246="","Data Pending",IF($H246&gt;=$J$4,"Best Fund",IF($H246&gt;=$J$5,"Need to Improve","Not Performing"))))</f>
        <v/>
      </c>
      <c r="L246" s="24" t="str">
        <f aca="false">IF($K246="","",IF($K246="Data Pending","Enter the 3Y return",IF($K246="Best Fund","Hold / consider top-up",IF($K246="Need to Improve","Watch 2 quarters, then decide","Review with client - switch or exit"))))</f>
        <v/>
      </c>
      <c r="M246" s="18"/>
    </row>
    <row r="247" customFormat="false" ht="15" hidden="false" customHeight="true" outlineLevel="0" collapsed="false">
      <c r="A247" s="18"/>
      <c r="B247" s="18"/>
      <c r="C247" s="18"/>
      <c r="D247" s="19"/>
      <c r="E247" s="19"/>
      <c r="F247" s="20" t="str">
        <f aca="false">IF($B247="","",$E247-$D247)</f>
        <v/>
      </c>
      <c r="G247" s="21" t="str">
        <f aca="false">IF(OR($B247="",N($D247)=0),"",$F247/$D247)</f>
        <v/>
      </c>
      <c r="H247" s="22"/>
      <c r="I247" s="22"/>
      <c r="J247" s="21" t="str">
        <f aca="false">IF(OR($H247="",$I247=""),"",$H247-$I247)</f>
        <v/>
      </c>
      <c r="K247" s="23" t="str">
        <f aca="false">IF($B247="","",IF($H247="","Data Pending",IF($H247&gt;=$J$4,"Best Fund",IF($H247&gt;=$J$5,"Need to Improve","Not Performing"))))</f>
        <v/>
      </c>
      <c r="L247" s="24" t="str">
        <f aca="false">IF($K247="","",IF($K247="Data Pending","Enter the 3Y return",IF($K247="Best Fund","Hold / consider top-up",IF($K247="Need to Improve","Watch 2 quarters, then decide","Review with client - switch or exit"))))</f>
        <v/>
      </c>
      <c r="M247" s="18"/>
    </row>
    <row r="248" customFormat="false" ht="15" hidden="false" customHeight="true" outlineLevel="0" collapsed="false">
      <c r="A248" s="18"/>
      <c r="B248" s="18"/>
      <c r="C248" s="18"/>
      <c r="D248" s="19"/>
      <c r="E248" s="19"/>
      <c r="F248" s="20" t="str">
        <f aca="false">IF($B248="","",$E248-$D248)</f>
        <v/>
      </c>
      <c r="G248" s="21" t="str">
        <f aca="false">IF(OR($B248="",N($D248)=0),"",$F248/$D248)</f>
        <v/>
      </c>
      <c r="H248" s="22"/>
      <c r="I248" s="22"/>
      <c r="J248" s="21" t="str">
        <f aca="false">IF(OR($H248="",$I248=""),"",$H248-$I248)</f>
        <v/>
      </c>
      <c r="K248" s="23" t="str">
        <f aca="false">IF($B248="","",IF($H248="","Data Pending",IF($H248&gt;=$J$4,"Best Fund",IF($H248&gt;=$J$5,"Need to Improve","Not Performing"))))</f>
        <v/>
      </c>
      <c r="L248" s="24" t="str">
        <f aca="false">IF($K248="","",IF($K248="Data Pending","Enter the 3Y return",IF($K248="Best Fund","Hold / consider top-up",IF($K248="Need to Improve","Watch 2 quarters, then decide","Review with client - switch or exit"))))</f>
        <v/>
      </c>
      <c r="M248" s="18"/>
    </row>
    <row r="249" customFormat="false" ht="15" hidden="false" customHeight="true" outlineLevel="0" collapsed="false">
      <c r="A249" s="18"/>
      <c r="B249" s="18"/>
      <c r="C249" s="18"/>
      <c r="D249" s="19"/>
      <c r="E249" s="19"/>
      <c r="F249" s="20" t="str">
        <f aca="false">IF($B249="","",$E249-$D249)</f>
        <v/>
      </c>
      <c r="G249" s="21" t="str">
        <f aca="false">IF(OR($B249="",N($D249)=0),"",$F249/$D249)</f>
        <v/>
      </c>
      <c r="H249" s="22"/>
      <c r="I249" s="22"/>
      <c r="J249" s="21" t="str">
        <f aca="false">IF(OR($H249="",$I249=""),"",$H249-$I249)</f>
        <v/>
      </c>
      <c r="K249" s="23" t="str">
        <f aca="false">IF($B249="","",IF($H249="","Data Pending",IF($H249&gt;=$J$4,"Best Fund",IF($H249&gt;=$J$5,"Need to Improve","Not Performing"))))</f>
        <v/>
      </c>
      <c r="L249" s="24" t="str">
        <f aca="false">IF($K249="","",IF($K249="Data Pending","Enter the 3Y return",IF($K249="Best Fund","Hold / consider top-up",IF($K249="Need to Improve","Watch 2 quarters, then decide","Review with client - switch or exit"))))</f>
        <v/>
      </c>
      <c r="M249" s="18"/>
    </row>
    <row r="250" customFormat="false" ht="15" hidden="false" customHeight="true" outlineLevel="0" collapsed="false">
      <c r="A250" s="18"/>
      <c r="B250" s="18"/>
      <c r="C250" s="18"/>
      <c r="D250" s="19"/>
      <c r="E250" s="19"/>
      <c r="F250" s="20" t="str">
        <f aca="false">IF($B250="","",$E250-$D250)</f>
        <v/>
      </c>
      <c r="G250" s="21" t="str">
        <f aca="false">IF(OR($B250="",N($D250)=0),"",$F250/$D250)</f>
        <v/>
      </c>
      <c r="H250" s="22"/>
      <c r="I250" s="22"/>
      <c r="J250" s="21" t="str">
        <f aca="false">IF(OR($H250="",$I250=""),"",$H250-$I250)</f>
        <v/>
      </c>
      <c r="K250" s="23" t="str">
        <f aca="false">IF($B250="","",IF($H250="","Data Pending",IF($H250&gt;=$J$4,"Best Fund",IF($H250&gt;=$J$5,"Need to Improve","Not Performing"))))</f>
        <v/>
      </c>
      <c r="L250" s="24" t="str">
        <f aca="false">IF($K250="","",IF($K250="Data Pending","Enter the 3Y return",IF($K250="Best Fund","Hold / consider top-up",IF($K250="Need to Improve","Watch 2 quarters, then decide","Review with client - switch or exit"))))</f>
        <v/>
      </c>
      <c r="M250" s="18"/>
    </row>
    <row r="251" customFormat="false" ht="15" hidden="false" customHeight="true" outlineLevel="0" collapsed="false">
      <c r="A251" s="18"/>
      <c r="B251" s="18"/>
      <c r="C251" s="18"/>
      <c r="D251" s="19"/>
      <c r="E251" s="19"/>
      <c r="F251" s="20" t="str">
        <f aca="false">IF($B251="","",$E251-$D251)</f>
        <v/>
      </c>
      <c r="G251" s="21" t="str">
        <f aca="false">IF(OR($B251="",N($D251)=0),"",$F251/$D251)</f>
        <v/>
      </c>
      <c r="H251" s="22"/>
      <c r="I251" s="22"/>
      <c r="J251" s="21" t="str">
        <f aca="false">IF(OR($H251="",$I251=""),"",$H251-$I251)</f>
        <v/>
      </c>
      <c r="K251" s="23" t="str">
        <f aca="false">IF($B251="","",IF($H251="","Data Pending",IF($H251&gt;=$J$4,"Best Fund",IF($H251&gt;=$J$5,"Need to Improve","Not Performing"))))</f>
        <v/>
      </c>
      <c r="L251" s="24" t="str">
        <f aca="false">IF($K251="","",IF($K251="Data Pending","Enter the 3Y return",IF($K251="Best Fund","Hold / consider top-up",IF($K251="Need to Improve","Watch 2 quarters, then decide","Review with client - switch or exit"))))</f>
        <v/>
      </c>
      <c r="M251" s="18"/>
    </row>
    <row r="252" customFormat="false" ht="15" hidden="false" customHeight="true" outlineLevel="0" collapsed="false">
      <c r="A252" s="18"/>
      <c r="B252" s="18"/>
      <c r="C252" s="18"/>
      <c r="D252" s="19"/>
      <c r="E252" s="19"/>
      <c r="F252" s="20" t="str">
        <f aca="false">IF($B252="","",$E252-$D252)</f>
        <v/>
      </c>
      <c r="G252" s="21" t="str">
        <f aca="false">IF(OR($B252="",N($D252)=0),"",$F252/$D252)</f>
        <v/>
      </c>
      <c r="H252" s="22"/>
      <c r="I252" s="22"/>
      <c r="J252" s="21" t="str">
        <f aca="false">IF(OR($H252="",$I252=""),"",$H252-$I252)</f>
        <v/>
      </c>
      <c r="K252" s="23" t="str">
        <f aca="false">IF($B252="","",IF($H252="","Data Pending",IF($H252&gt;=$J$4,"Best Fund",IF($H252&gt;=$J$5,"Need to Improve","Not Performing"))))</f>
        <v/>
      </c>
      <c r="L252" s="24" t="str">
        <f aca="false">IF($K252="","",IF($K252="Data Pending","Enter the 3Y return",IF($K252="Best Fund","Hold / consider top-up",IF($K252="Need to Improve","Watch 2 quarters, then decide","Review with client - switch or exit"))))</f>
        <v/>
      </c>
      <c r="M252" s="18"/>
    </row>
    <row r="253" customFormat="false" ht="15" hidden="false" customHeight="true" outlineLevel="0" collapsed="false">
      <c r="A253" s="18"/>
      <c r="B253" s="18"/>
      <c r="C253" s="18"/>
      <c r="D253" s="19"/>
      <c r="E253" s="19"/>
      <c r="F253" s="20" t="str">
        <f aca="false">IF($B253="","",$E253-$D253)</f>
        <v/>
      </c>
      <c r="G253" s="21" t="str">
        <f aca="false">IF(OR($B253="",N($D253)=0),"",$F253/$D253)</f>
        <v/>
      </c>
      <c r="H253" s="22"/>
      <c r="I253" s="22"/>
      <c r="J253" s="21" t="str">
        <f aca="false">IF(OR($H253="",$I253=""),"",$H253-$I253)</f>
        <v/>
      </c>
      <c r="K253" s="23" t="str">
        <f aca="false">IF($B253="","",IF($H253="","Data Pending",IF($H253&gt;=$J$4,"Best Fund",IF($H253&gt;=$J$5,"Need to Improve","Not Performing"))))</f>
        <v/>
      </c>
      <c r="L253" s="24" t="str">
        <f aca="false">IF($K253="","",IF($K253="Data Pending","Enter the 3Y return",IF($K253="Best Fund","Hold / consider top-up",IF($K253="Need to Improve","Watch 2 quarters, then decide","Review with client - switch or exit"))))</f>
        <v/>
      </c>
      <c r="M253" s="18"/>
    </row>
    <row r="254" customFormat="false" ht="15" hidden="false" customHeight="true" outlineLevel="0" collapsed="false">
      <c r="A254" s="18"/>
      <c r="B254" s="18"/>
      <c r="C254" s="18"/>
      <c r="D254" s="19"/>
      <c r="E254" s="19"/>
      <c r="F254" s="20" t="str">
        <f aca="false">IF($B254="","",$E254-$D254)</f>
        <v/>
      </c>
      <c r="G254" s="21" t="str">
        <f aca="false">IF(OR($B254="",N($D254)=0),"",$F254/$D254)</f>
        <v/>
      </c>
      <c r="H254" s="22"/>
      <c r="I254" s="22"/>
      <c r="J254" s="21" t="str">
        <f aca="false">IF(OR($H254="",$I254=""),"",$H254-$I254)</f>
        <v/>
      </c>
      <c r="K254" s="23" t="str">
        <f aca="false">IF($B254="","",IF($H254="","Data Pending",IF($H254&gt;=$J$4,"Best Fund",IF($H254&gt;=$J$5,"Need to Improve","Not Performing"))))</f>
        <v/>
      </c>
      <c r="L254" s="24" t="str">
        <f aca="false">IF($K254="","",IF($K254="Data Pending","Enter the 3Y return",IF($K254="Best Fund","Hold / consider top-up",IF($K254="Need to Improve","Watch 2 quarters, then decide","Review with client - switch or exit"))))</f>
        <v/>
      </c>
      <c r="M254" s="18"/>
    </row>
    <row r="255" customFormat="false" ht="15" hidden="false" customHeight="true" outlineLevel="0" collapsed="false">
      <c r="A255" s="18"/>
      <c r="B255" s="18"/>
      <c r="C255" s="18"/>
      <c r="D255" s="19"/>
      <c r="E255" s="19"/>
      <c r="F255" s="20" t="str">
        <f aca="false">IF($B255="","",$E255-$D255)</f>
        <v/>
      </c>
      <c r="G255" s="21" t="str">
        <f aca="false">IF(OR($B255="",N($D255)=0),"",$F255/$D255)</f>
        <v/>
      </c>
      <c r="H255" s="22"/>
      <c r="I255" s="22"/>
      <c r="J255" s="21" t="str">
        <f aca="false">IF(OR($H255="",$I255=""),"",$H255-$I255)</f>
        <v/>
      </c>
      <c r="K255" s="23" t="str">
        <f aca="false">IF($B255="","",IF($H255="","Data Pending",IF($H255&gt;=$J$4,"Best Fund",IF($H255&gt;=$J$5,"Need to Improve","Not Performing"))))</f>
        <v/>
      </c>
      <c r="L255" s="24" t="str">
        <f aca="false">IF($K255="","",IF($K255="Data Pending","Enter the 3Y return",IF($K255="Best Fund","Hold / consider top-up",IF($K255="Need to Improve","Watch 2 quarters, then decide","Review with client - switch or exit"))))</f>
        <v/>
      </c>
      <c r="M255" s="18"/>
    </row>
    <row r="256" customFormat="false" ht="15" hidden="false" customHeight="true" outlineLevel="0" collapsed="false">
      <c r="A256" s="18"/>
      <c r="B256" s="18"/>
      <c r="C256" s="18"/>
      <c r="D256" s="19"/>
      <c r="E256" s="19"/>
      <c r="F256" s="20" t="str">
        <f aca="false">IF($B256="","",$E256-$D256)</f>
        <v/>
      </c>
      <c r="G256" s="21" t="str">
        <f aca="false">IF(OR($B256="",N($D256)=0),"",$F256/$D256)</f>
        <v/>
      </c>
      <c r="H256" s="22"/>
      <c r="I256" s="22"/>
      <c r="J256" s="21" t="str">
        <f aca="false">IF(OR($H256="",$I256=""),"",$H256-$I256)</f>
        <v/>
      </c>
      <c r="K256" s="23" t="str">
        <f aca="false">IF($B256="","",IF($H256="","Data Pending",IF($H256&gt;=$J$4,"Best Fund",IF($H256&gt;=$J$5,"Need to Improve","Not Performing"))))</f>
        <v/>
      </c>
      <c r="L256" s="24" t="str">
        <f aca="false">IF($K256="","",IF($K256="Data Pending","Enter the 3Y return",IF($K256="Best Fund","Hold / consider top-up",IF($K256="Need to Improve","Watch 2 quarters, then decide","Review with client - switch or exit"))))</f>
        <v/>
      </c>
      <c r="M256" s="18"/>
    </row>
    <row r="257" customFormat="false" ht="15" hidden="false" customHeight="true" outlineLevel="0" collapsed="false">
      <c r="A257" s="18"/>
      <c r="B257" s="18"/>
      <c r="C257" s="18"/>
      <c r="D257" s="19"/>
      <c r="E257" s="19"/>
      <c r="F257" s="20" t="str">
        <f aca="false">IF($B257="","",$E257-$D257)</f>
        <v/>
      </c>
      <c r="G257" s="21" t="str">
        <f aca="false">IF(OR($B257="",N($D257)=0),"",$F257/$D257)</f>
        <v/>
      </c>
      <c r="H257" s="22"/>
      <c r="I257" s="22"/>
      <c r="J257" s="21" t="str">
        <f aca="false">IF(OR($H257="",$I257=""),"",$H257-$I257)</f>
        <v/>
      </c>
      <c r="K257" s="23" t="str">
        <f aca="false">IF($B257="","",IF($H257="","Data Pending",IF($H257&gt;=$J$4,"Best Fund",IF($H257&gt;=$J$5,"Need to Improve","Not Performing"))))</f>
        <v/>
      </c>
      <c r="L257" s="24" t="str">
        <f aca="false">IF($K257="","",IF($K257="Data Pending","Enter the 3Y return",IF($K257="Best Fund","Hold / consider top-up",IF($K257="Need to Improve","Watch 2 quarters, then decide","Review with client - switch or exit"))))</f>
        <v/>
      </c>
      <c r="M257" s="18"/>
    </row>
    <row r="258" customFormat="false" ht="15" hidden="false" customHeight="true" outlineLevel="0" collapsed="false">
      <c r="A258" s="18"/>
      <c r="B258" s="18"/>
      <c r="C258" s="18"/>
      <c r="D258" s="19"/>
      <c r="E258" s="19"/>
      <c r="F258" s="20" t="str">
        <f aca="false">IF($B258="","",$E258-$D258)</f>
        <v/>
      </c>
      <c r="G258" s="21" t="str">
        <f aca="false">IF(OR($B258="",N($D258)=0),"",$F258/$D258)</f>
        <v/>
      </c>
      <c r="H258" s="22"/>
      <c r="I258" s="22"/>
      <c r="J258" s="21" t="str">
        <f aca="false">IF(OR($H258="",$I258=""),"",$H258-$I258)</f>
        <v/>
      </c>
      <c r="K258" s="23" t="str">
        <f aca="false">IF($B258="","",IF($H258="","Data Pending",IF($H258&gt;=$J$4,"Best Fund",IF($H258&gt;=$J$5,"Need to Improve","Not Performing"))))</f>
        <v/>
      </c>
      <c r="L258" s="24" t="str">
        <f aca="false">IF($K258="","",IF($K258="Data Pending","Enter the 3Y return",IF($K258="Best Fund","Hold / consider top-up",IF($K258="Need to Improve","Watch 2 quarters, then decide","Review with client - switch or exit"))))</f>
        <v/>
      </c>
      <c r="M258" s="18"/>
    </row>
    <row r="259" customFormat="false" ht="15" hidden="false" customHeight="true" outlineLevel="0" collapsed="false">
      <c r="A259" s="18"/>
      <c r="B259" s="18"/>
      <c r="C259" s="18"/>
      <c r="D259" s="19"/>
      <c r="E259" s="19"/>
      <c r="F259" s="20" t="str">
        <f aca="false">IF($B259="","",$E259-$D259)</f>
        <v/>
      </c>
      <c r="G259" s="21" t="str">
        <f aca="false">IF(OR($B259="",N($D259)=0),"",$F259/$D259)</f>
        <v/>
      </c>
      <c r="H259" s="22"/>
      <c r="I259" s="22"/>
      <c r="J259" s="21" t="str">
        <f aca="false">IF(OR($H259="",$I259=""),"",$H259-$I259)</f>
        <v/>
      </c>
      <c r="K259" s="23" t="str">
        <f aca="false">IF($B259="","",IF($H259="","Data Pending",IF($H259&gt;=$J$4,"Best Fund",IF($H259&gt;=$J$5,"Need to Improve","Not Performing"))))</f>
        <v/>
      </c>
      <c r="L259" s="24" t="str">
        <f aca="false">IF($K259="","",IF($K259="Data Pending","Enter the 3Y return",IF($K259="Best Fund","Hold / consider top-up",IF($K259="Need to Improve","Watch 2 quarters, then decide","Review with client - switch or exit"))))</f>
        <v/>
      </c>
      <c r="M259" s="18"/>
    </row>
    <row r="260" customFormat="false" ht="15" hidden="false" customHeight="true" outlineLevel="0" collapsed="false">
      <c r="A260" s="18"/>
      <c r="B260" s="18"/>
      <c r="C260" s="18"/>
      <c r="D260" s="19"/>
      <c r="E260" s="19"/>
      <c r="F260" s="20" t="str">
        <f aca="false">IF($B260="","",$E260-$D260)</f>
        <v/>
      </c>
      <c r="G260" s="21" t="str">
        <f aca="false">IF(OR($B260="",N($D260)=0),"",$F260/$D260)</f>
        <v/>
      </c>
      <c r="H260" s="22"/>
      <c r="I260" s="22"/>
      <c r="J260" s="21" t="str">
        <f aca="false">IF(OR($H260="",$I260=""),"",$H260-$I260)</f>
        <v/>
      </c>
      <c r="K260" s="23" t="str">
        <f aca="false">IF($B260="","",IF($H260="","Data Pending",IF($H260&gt;=$J$4,"Best Fund",IF($H260&gt;=$J$5,"Need to Improve","Not Performing"))))</f>
        <v/>
      </c>
      <c r="L260" s="24" t="str">
        <f aca="false">IF($K260="","",IF($K260="Data Pending","Enter the 3Y return",IF($K260="Best Fund","Hold / consider top-up",IF($K260="Need to Improve","Watch 2 quarters, then decide","Review with client - switch or exit"))))</f>
        <v/>
      </c>
      <c r="M260" s="18"/>
    </row>
    <row r="261" customFormat="false" ht="15" hidden="false" customHeight="true" outlineLevel="0" collapsed="false">
      <c r="A261" s="18"/>
      <c r="B261" s="18"/>
      <c r="C261" s="18"/>
      <c r="D261" s="19"/>
      <c r="E261" s="19"/>
      <c r="F261" s="20" t="str">
        <f aca="false">IF($B261="","",$E261-$D261)</f>
        <v/>
      </c>
      <c r="G261" s="21" t="str">
        <f aca="false">IF(OR($B261="",N($D261)=0),"",$F261/$D261)</f>
        <v/>
      </c>
      <c r="H261" s="22"/>
      <c r="I261" s="22"/>
      <c r="J261" s="21" t="str">
        <f aca="false">IF(OR($H261="",$I261=""),"",$H261-$I261)</f>
        <v/>
      </c>
      <c r="K261" s="23" t="str">
        <f aca="false">IF($B261="","",IF($H261="","Data Pending",IF($H261&gt;=$J$4,"Best Fund",IF($H261&gt;=$J$5,"Need to Improve","Not Performing"))))</f>
        <v/>
      </c>
      <c r="L261" s="24" t="str">
        <f aca="false">IF($K261="","",IF($K261="Data Pending","Enter the 3Y return",IF($K261="Best Fund","Hold / consider top-up",IF($K261="Need to Improve","Watch 2 quarters, then decide","Review with client - switch or exit"))))</f>
        <v/>
      </c>
      <c r="M261" s="18"/>
    </row>
    <row r="262" customFormat="false" ht="15" hidden="false" customHeight="true" outlineLevel="0" collapsed="false">
      <c r="A262" s="18"/>
      <c r="B262" s="18"/>
      <c r="C262" s="18"/>
      <c r="D262" s="19"/>
      <c r="E262" s="19"/>
      <c r="F262" s="20" t="str">
        <f aca="false">IF($B262="","",$E262-$D262)</f>
        <v/>
      </c>
      <c r="G262" s="21" t="str">
        <f aca="false">IF(OR($B262="",N($D262)=0),"",$F262/$D262)</f>
        <v/>
      </c>
      <c r="H262" s="22"/>
      <c r="I262" s="22"/>
      <c r="J262" s="21" t="str">
        <f aca="false">IF(OR($H262="",$I262=""),"",$H262-$I262)</f>
        <v/>
      </c>
      <c r="K262" s="23" t="str">
        <f aca="false">IF($B262="","",IF($H262="","Data Pending",IF($H262&gt;=$J$4,"Best Fund",IF($H262&gt;=$J$5,"Need to Improve","Not Performing"))))</f>
        <v/>
      </c>
      <c r="L262" s="24" t="str">
        <f aca="false">IF($K262="","",IF($K262="Data Pending","Enter the 3Y return",IF($K262="Best Fund","Hold / consider top-up",IF($K262="Need to Improve","Watch 2 quarters, then decide","Review with client - switch or exit"))))</f>
        <v/>
      </c>
      <c r="M262" s="18"/>
    </row>
    <row r="263" customFormat="false" ht="15" hidden="false" customHeight="true" outlineLevel="0" collapsed="false">
      <c r="A263" s="18"/>
      <c r="B263" s="18"/>
      <c r="C263" s="18"/>
      <c r="D263" s="19"/>
      <c r="E263" s="19"/>
      <c r="F263" s="20" t="str">
        <f aca="false">IF($B263="","",$E263-$D263)</f>
        <v/>
      </c>
      <c r="G263" s="21" t="str">
        <f aca="false">IF(OR($B263="",N($D263)=0),"",$F263/$D263)</f>
        <v/>
      </c>
      <c r="H263" s="22"/>
      <c r="I263" s="22"/>
      <c r="J263" s="21" t="str">
        <f aca="false">IF(OR($H263="",$I263=""),"",$H263-$I263)</f>
        <v/>
      </c>
      <c r="K263" s="23" t="str">
        <f aca="false">IF($B263="","",IF($H263="","Data Pending",IF($H263&gt;=$J$4,"Best Fund",IF($H263&gt;=$J$5,"Need to Improve","Not Performing"))))</f>
        <v/>
      </c>
      <c r="L263" s="24" t="str">
        <f aca="false">IF($K263="","",IF($K263="Data Pending","Enter the 3Y return",IF($K263="Best Fund","Hold / consider top-up",IF($K263="Need to Improve","Watch 2 quarters, then decide","Review with client - switch or exit"))))</f>
        <v/>
      </c>
      <c r="M263" s="18"/>
    </row>
    <row r="264" customFormat="false" ht="15" hidden="false" customHeight="true" outlineLevel="0" collapsed="false">
      <c r="A264" s="18"/>
      <c r="B264" s="18"/>
      <c r="C264" s="18"/>
      <c r="D264" s="19"/>
      <c r="E264" s="19"/>
      <c r="F264" s="20" t="str">
        <f aca="false">IF($B264="","",$E264-$D264)</f>
        <v/>
      </c>
      <c r="G264" s="21" t="str">
        <f aca="false">IF(OR($B264="",N($D264)=0),"",$F264/$D264)</f>
        <v/>
      </c>
      <c r="H264" s="22"/>
      <c r="I264" s="22"/>
      <c r="J264" s="21" t="str">
        <f aca="false">IF(OR($H264="",$I264=""),"",$H264-$I264)</f>
        <v/>
      </c>
      <c r="K264" s="23" t="str">
        <f aca="false">IF($B264="","",IF($H264="","Data Pending",IF($H264&gt;=$J$4,"Best Fund",IF($H264&gt;=$J$5,"Need to Improve","Not Performing"))))</f>
        <v/>
      </c>
      <c r="L264" s="24" t="str">
        <f aca="false">IF($K264="","",IF($K264="Data Pending","Enter the 3Y return",IF($K264="Best Fund","Hold / consider top-up",IF($K264="Need to Improve","Watch 2 quarters, then decide","Review with client - switch or exit"))))</f>
        <v/>
      </c>
      <c r="M264" s="18"/>
    </row>
    <row r="265" customFormat="false" ht="15" hidden="false" customHeight="true" outlineLevel="0" collapsed="false">
      <c r="A265" s="18"/>
      <c r="B265" s="18"/>
      <c r="C265" s="18"/>
      <c r="D265" s="19"/>
      <c r="E265" s="19"/>
      <c r="F265" s="20" t="str">
        <f aca="false">IF($B265="","",$E265-$D265)</f>
        <v/>
      </c>
      <c r="G265" s="21" t="str">
        <f aca="false">IF(OR($B265="",N($D265)=0),"",$F265/$D265)</f>
        <v/>
      </c>
      <c r="H265" s="22"/>
      <c r="I265" s="22"/>
      <c r="J265" s="21" t="str">
        <f aca="false">IF(OR($H265="",$I265=""),"",$H265-$I265)</f>
        <v/>
      </c>
      <c r="K265" s="23" t="str">
        <f aca="false">IF($B265="","",IF($H265="","Data Pending",IF($H265&gt;=$J$4,"Best Fund",IF($H265&gt;=$J$5,"Need to Improve","Not Performing"))))</f>
        <v/>
      </c>
      <c r="L265" s="24" t="str">
        <f aca="false">IF($K265="","",IF($K265="Data Pending","Enter the 3Y return",IF($K265="Best Fund","Hold / consider top-up",IF($K265="Need to Improve","Watch 2 quarters, then decide","Review with client - switch or exit"))))</f>
        <v/>
      </c>
      <c r="M265" s="18"/>
    </row>
    <row r="266" customFormat="false" ht="15" hidden="false" customHeight="true" outlineLevel="0" collapsed="false">
      <c r="A266" s="18"/>
      <c r="B266" s="18"/>
      <c r="C266" s="18"/>
      <c r="D266" s="19"/>
      <c r="E266" s="19"/>
      <c r="F266" s="20" t="str">
        <f aca="false">IF($B266="","",$E266-$D266)</f>
        <v/>
      </c>
      <c r="G266" s="21" t="str">
        <f aca="false">IF(OR($B266="",N($D266)=0),"",$F266/$D266)</f>
        <v/>
      </c>
      <c r="H266" s="22"/>
      <c r="I266" s="22"/>
      <c r="J266" s="21" t="str">
        <f aca="false">IF(OR($H266="",$I266=""),"",$H266-$I266)</f>
        <v/>
      </c>
      <c r="K266" s="23" t="str">
        <f aca="false">IF($B266="","",IF($H266="","Data Pending",IF($H266&gt;=$J$4,"Best Fund",IF($H266&gt;=$J$5,"Need to Improve","Not Performing"))))</f>
        <v/>
      </c>
      <c r="L266" s="24" t="str">
        <f aca="false">IF($K266="","",IF($K266="Data Pending","Enter the 3Y return",IF($K266="Best Fund","Hold / consider top-up",IF($K266="Need to Improve","Watch 2 quarters, then decide","Review with client - switch or exit"))))</f>
        <v/>
      </c>
      <c r="M266" s="18"/>
    </row>
    <row r="267" customFormat="false" ht="15" hidden="false" customHeight="true" outlineLevel="0" collapsed="false">
      <c r="A267" s="18"/>
      <c r="B267" s="18"/>
      <c r="C267" s="18"/>
      <c r="D267" s="19"/>
      <c r="E267" s="19"/>
      <c r="F267" s="20" t="str">
        <f aca="false">IF($B267="","",$E267-$D267)</f>
        <v/>
      </c>
      <c r="G267" s="21" t="str">
        <f aca="false">IF(OR($B267="",N($D267)=0),"",$F267/$D267)</f>
        <v/>
      </c>
      <c r="H267" s="22"/>
      <c r="I267" s="22"/>
      <c r="J267" s="21" t="str">
        <f aca="false">IF(OR($H267="",$I267=""),"",$H267-$I267)</f>
        <v/>
      </c>
      <c r="K267" s="23" t="str">
        <f aca="false">IF($B267="","",IF($H267="","Data Pending",IF($H267&gt;=$J$4,"Best Fund",IF($H267&gt;=$J$5,"Need to Improve","Not Performing"))))</f>
        <v/>
      </c>
      <c r="L267" s="24" t="str">
        <f aca="false">IF($K267="","",IF($K267="Data Pending","Enter the 3Y return",IF($K267="Best Fund","Hold / consider top-up",IF($K267="Need to Improve","Watch 2 quarters, then decide","Review with client - switch or exit"))))</f>
        <v/>
      </c>
      <c r="M267" s="18"/>
    </row>
    <row r="268" customFormat="false" ht="15" hidden="false" customHeight="true" outlineLevel="0" collapsed="false">
      <c r="A268" s="18"/>
      <c r="B268" s="18"/>
      <c r="C268" s="18"/>
      <c r="D268" s="19"/>
      <c r="E268" s="19"/>
      <c r="F268" s="20" t="str">
        <f aca="false">IF($B268="","",$E268-$D268)</f>
        <v/>
      </c>
      <c r="G268" s="21" t="str">
        <f aca="false">IF(OR($B268="",N($D268)=0),"",$F268/$D268)</f>
        <v/>
      </c>
      <c r="H268" s="22"/>
      <c r="I268" s="22"/>
      <c r="J268" s="21" t="str">
        <f aca="false">IF(OR($H268="",$I268=""),"",$H268-$I268)</f>
        <v/>
      </c>
      <c r="K268" s="23" t="str">
        <f aca="false">IF($B268="","",IF($H268="","Data Pending",IF($H268&gt;=$J$4,"Best Fund",IF($H268&gt;=$J$5,"Need to Improve","Not Performing"))))</f>
        <v/>
      </c>
      <c r="L268" s="24" t="str">
        <f aca="false">IF($K268="","",IF($K268="Data Pending","Enter the 3Y return",IF($K268="Best Fund","Hold / consider top-up",IF($K268="Need to Improve","Watch 2 quarters, then decide","Review with client - switch or exit"))))</f>
        <v/>
      </c>
      <c r="M268" s="18"/>
    </row>
    <row r="269" customFormat="false" ht="15" hidden="false" customHeight="true" outlineLevel="0" collapsed="false">
      <c r="A269" s="18"/>
      <c r="B269" s="18"/>
      <c r="C269" s="18"/>
      <c r="D269" s="19"/>
      <c r="E269" s="19"/>
      <c r="F269" s="20" t="str">
        <f aca="false">IF($B269="","",$E269-$D269)</f>
        <v/>
      </c>
      <c r="G269" s="21" t="str">
        <f aca="false">IF(OR($B269="",N($D269)=0),"",$F269/$D269)</f>
        <v/>
      </c>
      <c r="H269" s="22"/>
      <c r="I269" s="22"/>
      <c r="J269" s="21" t="str">
        <f aca="false">IF(OR($H269="",$I269=""),"",$H269-$I269)</f>
        <v/>
      </c>
      <c r="K269" s="23" t="str">
        <f aca="false">IF($B269="","",IF($H269="","Data Pending",IF($H269&gt;=$J$4,"Best Fund",IF($H269&gt;=$J$5,"Need to Improve","Not Performing"))))</f>
        <v/>
      </c>
      <c r="L269" s="24" t="str">
        <f aca="false">IF($K269="","",IF($K269="Data Pending","Enter the 3Y return",IF($K269="Best Fund","Hold / consider top-up",IF($K269="Need to Improve","Watch 2 quarters, then decide","Review with client - switch or exit"))))</f>
        <v/>
      </c>
      <c r="M269" s="18"/>
    </row>
    <row r="270" customFormat="false" ht="15" hidden="false" customHeight="true" outlineLevel="0" collapsed="false">
      <c r="A270" s="18"/>
      <c r="B270" s="18"/>
      <c r="C270" s="18"/>
      <c r="D270" s="19"/>
      <c r="E270" s="19"/>
      <c r="F270" s="20" t="str">
        <f aca="false">IF($B270="","",$E270-$D270)</f>
        <v/>
      </c>
      <c r="G270" s="21" t="str">
        <f aca="false">IF(OR($B270="",N($D270)=0),"",$F270/$D270)</f>
        <v/>
      </c>
      <c r="H270" s="22"/>
      <c r="I270" s="22"/>
      <c r="J270" s="21" t="str">
        <f aca="false">IF(OR($H270="",$I270=""),"",$H270-$I270)</f>
        <v/>
      </c>
      <c r="K270" s="23" t="str">
        <f aca="false">IF($B270="","",IF($H270="","Data Pending",IF($H270&gt;=$J$4,"Best Fund",IF($H270&gt;=$J$5,"Need to Improve","Not Performing"))))</f>
        <v/>
      </c>
      <c r="L270" s="24" t="str">
        <f aca="false">IF($K270="","",IF($K270="Data Pending","Enter the 3Y return",IF($K270="Best Fund","Hold / consider top-up",IF($K270="Need to Improve","Watch 2 quarters, then decide","Review with client - switch or exit"))))</f>
        <v/>
      </c>
      <c r="M270" s="18"/>
    </row>
    <row r="271" customFormat="false" ht="15" hidden="false" customHeight="true" outlineLevel="0" collapsed="false">
      <c r="A271" s="18"/>
      <c r="B271" s="18"/>
      <c r="C271" s="18"/>
      <c r="D271" s="19"/>
      <c r="E271" s="19"/>
      <c r="F271" s="20" t="str">
        <f aca="false">IF($B271="","",$E271-$D271)</f>
        <v/>
      </c>
      <c r="G271" s="21" t="str">
        <f aca="false">IF(OR($B271="",N($D271)=0),"",$F271/$D271)</f>
        <v/>
      </c>
      <c r="H271" s="22"/>
      <c r="I271" s="22"/>
      <c r="J271" s="21" t="str">
        <f aca="false">IF(OR($H271="",$I271=""),"",$H271-$I271)</f>
        <v/>
      </c>
      <c r="K271" s="23" t="str">
        <f aca="false">IF($B271="","",IF($H271="","Data Pending",IF($H271&gt;=$J$4,"Best Fund",IF($H271&gt;=$J$5,"Need to Improve","Not Performing"))))</f>
        <v/>
      </c>
      <c r="L271" s="24" t="str">
        <f aca="false">IF($K271="","",IF($K271="Data Pending","Enter the 3Y return",IF($K271="Best Fund","Hold / consider top-up",IF($K271="Need to Improve","Watch 2 quarters, then decide","Review with client - switch or exit"))))</f>
        <v/>
      </c>
      <c r="M271" s="18"/>
    </row>
    <row r="272" customFormat="false" ht="15" hidden="false" customHeight="true" outlineLevel="0" collapsed="false">
      <c r="A272" s="18"/>
      <c r="B272" s="18"/>
      <c r="C272" s="18"/>
      <c r="D272" s="19"/>
      <c r="E272" s="19"/>
      <c r="F272" s="20" t="str">
        <f aca="false">IF($B272="","",$E272-$D272)</f>
        <v/>
      </c>
      <c r="G272" s="21" t="str">
        <f aca="false">IF(OR($B272="",N($D272)=0),"",$F272/$D272)</f>
        <v/>
      </c>
      <c r="H272" s="22"/>
      <c r="I272" s="22"/>
      <c r="J272" s="21" t="str">
        <f aca="false">IF(OR($H272="",$I272=""),"",$H272-$I272)</f>
        <v/>
      </c>
      <c r="K272" s="23" t="str">
        <f aca="false">IF($B272="","",IF($H272="","Data Pending",IF($H272&gt;=$J$4,"Best Fund",IF($H272&gt;=$J$5,"Need to Improve","Not Performing"))))</f>
        <v/>
      </c>
      <c r="L272" s="24" t="str">
        <f aca="false">IF($K272="","",IF($K272="Data Pending","Enter the 3Y return",IF($K272="Best Fund","Hold / consider top-up",IF($K272="Need to Improve","Watch 2 quarters, then decide","Review with client - switch or exit"))))</f>
        <v/>
      </c>
      <c r="M272" s="18"/>
    </row>
    <row r="273" customFormat="false" ht="15" hidden="false" customHeight="true" outlineLevel="0" collapsed="false">
      <c r="A273" s="18"/>
      <c r="B273" s="18"/>
      <c r="C273" s="18"/>
      <c r="D273" s="19"/>
      <c r="E273" s="19"/>
      <c r="F273" s="20" t="str">
        <f aca="false">IF($B273="","",$E273-$D273)</f>
        <v/>
      </c>
      <c r="G273" s="21" t="str">
        <f aca="false">IF(OR($B273="",N($D273)=0),"",$F273/$D273)</f>
        <v/>
      </c>
      <c r="H273" s="22"/>
      <c r="I273" s="22"/>
      <c r="J273" s="21" t="str">
        <f aca="false">IF(OR($H273="",$I273=""),"",$H273-$I273)</f>
        <v/>
      </c>
      <c r="K273" s="23" t="str">
        <f aca="false">IF($B273="","",IF($H273="","Data Pending",IF($H273&gt;=$J$4,"Best Fund",IF($H273&gt;=$J$5,"Need to Improve","Not Performing"))))</f>
        <v/>
      </c>
      <c r="L273" s="24" t="str">
        <f aca="false">IF($K273="","",IF($K273="Data Pending","Enter the 3Y return",IF($K273="Best Fund","Hold / consider top-up",IF($K273="Need to Improve","Watch 2 quarters, then decide","Review with client - switch or exit"))))</f>
        <v/>
      </c>
      <c r="M273" s="18"/>
    </row>
    <row r="274" customFormat="false" ht="15" hidden="false" customHeight="true" outlineLevel="0" collapsed="false">
      <c r="A274" s="18"/>
      <c r="B274" s="18"/>
      <c r="C274" s="18"/>
      <c r="D274" s="19"/>
      <c r="E274" s="19"/>
      <c r="F274" s="20" t="str">
        <f aca="false">IF($B274="","",$E274-$D274)</f>
        <v/>
      </c>
      <c r="G274" s="21" t="str">
        <f aca="false">IF(OR($B274="",N($D274)=0),"",$F274/$D274)</f>
        <v/>
      </c>
      <c r="H274" s="22"/>
      <c r="I274" s="22"/>
      <c r="J274" s="21" t="str">
        <f aca="false">IF(OR($H274="",$I274=""),"",$H274-$I274)</f>
        <v/>
      </c>
      <c r="K274" s="23" t="str">
        <f aca="false">IF($B274="","",IF($H274="","Data Pending",IF($H274&gt;=$J$4,"Best Fund",IF($H274&gt;=$J$5,"Need to Improve","Not Performing"))))</f>
        <v/>
      </c>
      <c r="L274" s="24" t="str">
        <f aca="false">IF($K274="","",IF($K274="Data Pending","Enter the 3Y return",IF($K274="Best Fund","Hold / consider top-up",IF($K274="Need to Improve","Watch 2 quarters, then decide","Review with client - switch or exit"))))</f>
        <v/>
      </c>
      <c r="M274" s="18"/>
    </row>
    <row r="275" customFormat="false" ht="15" hidden="false" customHeight="true" outlineLevel="0" collapsed="false">
      <c r="A275" s="18"/>
      <c r="B275" s="18"/>
      <c r="C275" s="18"/>
      <c r="D275" s="19"/>
      <c r="E275" s="19"/>
      <c r="F275" s="20" t="str">
        <f aca="false">IF($B275="","",$E275-$D275)</f>
        <v/>
      </c>
      <c r="G275" s="21" t="str">
        <f aca="false">IF(OR($B275="",N($D275)=0),"",$F275/$D275)</f>
        <v/>
      </c>
      <c r="H275" s="22"/>
      <c r="I275" s="22"/>
      <c r="J275" s="21" t="str">
        <f aca="false">IF(OR($H275="",$I275=""),"",$H275-$I275)</f>
        <v/>
      </c>
      <c r="K275" s="23" t="str">
        <f aca="false">IF($B275="","",IF($H275="","Data Pending",IF($H275&gt;=$J$4,"Best Fund",IF($H275&gt;=$J$5,"Need to Improve","Not Performing"))))</f>
        <v/>
      </c>
      <c r="L275" s="24" t="str">
        <f aca="false">IF($K275="","",IF($K275="Data Pending","Enter the 3Y return",IF($K275="Best Fund","Hold / consider top-up",IF($K275="Need to Improve","Watch 2 quarters, then decide","Review with client - switch or exit"))))</f>
        <v/>
      </c>
      <c r="M275" s="18"/>
    </row>
    <row r="276" customFormat="false" ht="15" hidden="false" customHeight="true" outlineLevel="0" collapsed="false">
      <c r="A276" s="18"/>
      <c r="B276" s="18"/>
      <c r="C276" s="18"/>
      <c r="D276" s="19"/>
      <c r="E276" s="19"/>
      <c r="F276" s="20" t="str">
        <f aca="false">IF($B276="","",$E276-$D276)</f>
        <v/>
      </c>
      <c r="G276" s="21" t="str">
        <f aca="false">IF(OR($B276="",N($D276)=0),"",$F276/$D276)</f>
        <v/>
      </c>
      <c r="H276" s="22"/>
      <c r="I276" s="22"/>
      <c r="J276" s="21" t="str">
        <f aca="false">IF(OR($H276="",$I276=""),"",$H276-$I276)</f>
        <v/>
      </c>
      <c r="K276" s="23" t="str">
        <f aca="false">IF($B276="","",IF($H276="","Data Pending",IF($H276&gt;=$J$4,"Best Fund",IF($H276&gt;=$J$5,"Need to Improve","Not Performing"))))</f>
        <v/>
      </c>
      <c r="L276" s="24" t="str">
        <f aca="false">IF($K276="","",IF($K276="Data Pending","Enter the 3Y return",IF($K276="Best Fund","Hold / consider top-up",IF($K276="Need to Improve","Watch 2 quarters, then decide","Review with client - switch or exit"))))</f>
        <v/>
      </c>
      <c r="M276" s="18"/>
    </row>
    <row r="277" customFormat="false" ht="15" hidden="false" customHeight="true" outlineLevel="0" collapsed="false">
      <c r="A277" s="18"/>
      <c r="B277" s="18"/>
      <c r="C277" s="18"/>
      <c r="D277" s="19"/>
      <c r="E277" s="19"/>
      <c r="F277" s="20" t="str">
        <f aca="false">IF($B277="","",$E277-$D277)</f>
        <v/>
      </c>
      <c r="G277" s="21" t="str">
        <f aca="false">IF(OR($B277="",N($D277)=0),"",$F277/$D277)</f>
        <v/>
      </c>
      <c r="H277" s="22"/>
      <c r="I277" s="22"/>
      <c r="J277" s="21" t="str">
        <f aca="false">IF(OR($H277="",$I277=""),"",$H277-$I277)</f>
        <v/>
      </c>
      <c r="K277" s="23" t="str">
        <f aca="false">IF($B277="","",IF($H277="","Data Pending",IF($H277&gt;=$J$4,"Best Fund",IF($H277&gt;=$J$5,"Need to Improve","Not Performing"))))</f>
        <v/>
      </c>
      <c r="L277" s="24" t="str">
        <f aca="false">IF($K277="","",IF($K277="Data Pending","Enter the 3Y return",IF($K277="Best Fund","Hold / consider top-up",IF($K277="Need to Improve","Watch 2 quarters, then decide","Review with client - switch or exit"))))</f>
        <v/>
      </c>
      <c r="M277" s="18"/>
    </row>
    <row r="278" customFormat="false" ht="15" hidden="false" customHeight="true" outlineLevel="0" collapsed="false">
      <c r="A278" s="18"/>
      <c r="B278" s="18"/>
      <c r="C278" s="18"/>
      <c r="D278" s="19"/>
      <c r="E278" s="19"/>
      <c r="F278" s="20" t="str">
        <f aca="false">IF($B278="","",$E278-$D278)</f>
        <v/>
      </c>
      <c r="G278" s="21" t="str">
        <f aca="false">IF(OR($B278="",N($D278)=0),"",$F278/$D278)</f>
        <v/>
      </c>
      <c r="H278" s="22"/>
      <c r="I278" s="22"/>
      <c r="J278" s="21" t="str">
        <f aca="false">IF(OR($H278="",$I278=""),"",$H278-$I278)</f>
        <v/>
      </c>
      <c r="K278" s="23" t="str">
        <f aca="false">IF($B278="","",IF($H278="","Data Pending",IF($H278&gt;=$J$4,"Best Fund",IF($H278&gt;=$J$5,"Need to Improve","Not Performing"))))</f>
        <v/>
      </c>
      <c r="L278" s="24" t="str">
        <f aca="false">IF($K278="","",IF($K278="Data Pending","Enter the 3Y return",IF($K278="Best Fund","Hold / consider top-up",IF($K278="Need to Improve","Watch 2 quarters, then decide","Review with client - switch or exit"))))</f>
        <v/>
      </c>
      <c r="M278" s="18"/>
    </row>
    <row r="279" customFormat="false" ht="15" hidden="false" customHeight="true" outlineLevel="0" collapsed="false">
      <c r="A279" s="18"/>
      <c r="B279" s="18"/>
      <c r="C279" s="18"/>
      <c r="D279" s="19"/>
      <c r="E279" s="19"/>
      <c r="F279" s="20" t="str">
        <f aca="false">IF($B279="","",$E279-$D279)</f>
        <v/>
      </c>
      <c r="G279" s="21" t="str">
        <f aca="false">IF(OR($B279="",N($D279)=0),"",$F279/$D279)</f>
        <v/>
      </c>
      <c r="H279" s="22"/>
      <c r="I279" s="22"/>
      <c r="J279" s="21" t="str">
        <f aca="false">IF(OR($H279="",$I279=""),"",$H279-$I279)</f>
        <v/>
      </c>
      <c r="K279" s="23" t="str">
        <f aca="false">IF($B279="","",IF($H279="","Data Pending",IF($H279&gt;=$J$4,"Best Fund",IF($H279&gt;=$J$5,"Need to Improve","Not Performing"))))</f>
        <v/>
      </c>
      <c r="L279" s="24" t="str">
        <f aca="false">IF($K279="","",IF($K279="Data Pending","Enter the 3Y return",IF($K279="Best Fund","Hold / consider top-up",IF($K279="Need to Improve","Watch 2 quarters, then decide","Review with client - switch or exit"))))</f>
        <v/>
      </c>
      <c r="M279" s="18"/>
    </row>
    <row r="280" customFormat="false" ht="15" hidden="false" customHeight="true" outlineLevel="0" collapsed="false">
      <c r="A280" s="18"/>
      <c r="B280" s="18"/>
      <c r="C280" s="18"/>
      <c r="D280" s="19"/>
      <c r="E280" s="19"/>
      <c r="F280" s="20" t="str">
        <f aca="false">IF($B280="","",$E280-$D280)</f>
        <v/>
      </c>
      <c r="G280" s="21" t="str">
        <f aca="false">IF(OR($B280="",N($D280)=0),"",$F280/$D280)</f>
        <v/>
      </c>
      <c r="H280" s="22"/>
      <c r="I280" s="22"/>
      <c r="J280" s="21" t="str">
        <f aca="false">IF(OR($H280="",$I280=""),"",$H280-$I280)</f>
        <v/>
      </c>
      <c r="K280" s="23" t="str">
        <f aca="false">IF($B280="","",IF($H280="","Data Pending",IF($H280&gt;=$J$4,"Best Fund",IF($H280&gt;=$J$5,"Need to Improve","Not Performing"))))</f>
        <v/>
      </c>
      <c r="L280" s="24" t="str">
        <f aca="false">IF($K280="","",IF($K280="Data Pending","Enter the 3Y return",IF($K280="Best Fund","Hold / consider top-up",IF($K280="Need to Improve","Watch 2 quarters, then decide","Review with client - switch or exit"))))</f>
        <v/>
      </c>
      <c r="M280" s="18"/>
    </row>
    <row r="281" customFormat="false" ht="15" hidden="false" customHeight="true" outlineLevel="0" collapsed="false">
      <c r="A281" s="18"/>
      <c r="B281" s="18"/>
      <c r="C281" s="18"/>
      <c r="D281" s="19"/>
      <c r="E281" s="19"/>
      <c r="F281" s="20" t="str">
        <f aca="false">IF($B281="","",$E281-$D281)</f>
        <v/>
      </c>
      <c r="G281" s="21" t="str">
        <f aca="false">IF(OR($B281="",N($D281)=0),"",$F281/$D281)</f>
        <v/>
      </c>
      <c r="H281" s="22"/>
      <c r="I281" s="22"/>
      <c r="J281" s="21" t="str">
        <f aca="false">IF(OR($H281="",$I281=""),"",$H281-$I281)</f>
        <v/>
      </c>
      <c r="K281" s="23" t="str">
        <f aca="false">IF($B281="","",IF($H281="","Data Pending",IF($H281&gt;=$J$4,"Best Fund",IF($H281&gt;=$J$5,"Need to Improve","Not Performing"))))</f>
        <v/>
      </c>
      <c r="L281" s="24" t="str">
        <f aca="false">IF($K281="","",IF($K281="Data Pending","Enter the 3Y return",IF($K281="Best Fund","Hold / consider top-up",IF($K281="Need to Improve","Watch 2 quarters, then decide","Review with client - switch or exit"))))</f>
        <v/>
      </c>
      <c r="M281" s="18"/>
    </row>
    <row r="282" customFormat="false" ht="15" hidden="false" customHeight="true" outlineLevel="0" collapsed="false">
      <c r="A282" s="18"/>
      <c r="B282" s="18"/>
      <c r="C282" s="18"/>
      <c r="D282" s="19"/>
      <c r="E282" s="19"/>
      <c r="F282" s="20" t="str">
        <f aca="false">IF($B282="","",$E282-$D282)</f>
        <v/>
      </c>
      <c r="G282" s="21" t="str">
        <f aca="false">IF(OR($B282="",N($D282)=0),"",$F282/$D282)</f>
        <v/>
      </c>
      <c r="H282" s="22"/>
      <c r="I282" s="22"/>
      <c r="J282" s="21" t="str">
        <f aca="false">IF(OR($H282="",$I282=""),"",$H282-$I282)</f>
        <v/>
      </c>
      <c r="K282" s="23" t="str">
        <f aca="false">IF($B282="","",IF($H282="","Data Pending",IF($H282&gt;=$J$4,"Best Fund",IF($H282&gt;=$J$5,"Need to Improve","Not Performing"))))</f>
        <v/>
      </c>
      <c r="L282" s="24" t="str">
        <f aca="false">IF($K282="","",IF($K282="Data Pending","Enter the 3Y return",IF($K282="Best Fund","Hold / consider top-up",IF($K282="Need to Improve","Watch 2 quarters, then decide","Review with client - switch or exit"))))</f>
        <v/>
      </c>
      <c r="M282" s="18"/>
    </row>
    <row r="283" customFormat="false" ht="15" hidden="false" customHeight="true" outlineLevel="0" collapsed="false">
      <c r="A283" s="18"/>
      <c r="B283" s="18"/>
      <c r="C283" s="18"/>
      <c r="D283" s="19"/>
      <c r="E283" s="19"/>
      <c r="F283" s="20" t="str">
        <f aca="false">IF($B283="","",$E283-$D283)</f>
        <v/>
      </c>
      <c r="G283" s="21" t="str">
        <f aca="false">IF(OR($B283="",N($D283)=0),"",$F283/$D283)</f>
        <v/>
      </c>
      <c r="H283" s="22"/>
      <c r="I283" s="22"/>
      <c r="J283" s="21" t="str">
        <f aca="false">IF(OR($H283="",$I283=""),"",$H283-$I283)</f>
        <v/>
      </c>
      <c r="K283" s="23" t="str">
        <f aca="false">IF($B283="","",IF($H283="","Data Pending",IF($H283&gt;=$J$4,"Best Fund",IF($H283&gt;=$J$5,"Need to Improve","Not Performing"))))</f>
        <v/>
      </c>
      <c r="L283" s="24" t="str">
        <f aca="false">IF($K283="","",IF($K283="Data Pending","Enter the 3Y return",IF($K283="Best Fund","Hold / consider top-up",IF($K283="Need to Improve","Watch 2 quarters, then decide","Review with client - switch or exit"))))</f>
        <v/>
      </c>
      <c r="M283" s="18"/>
    </row>
    <row r="284" customFormat="false" ht="15" hidden="false" customHeight="true" outlineLevel="0" collapsed="false">
      <c r="A284" s="18"/>
      <c r="B284" s="18"/>
      <c r="C284" s="18"/>
      <c r="D284" s="19"/>
      <c r="E284" s="19"/>
      <c r="F284" s="20" t="str">
        <f aca="false">IF($B284="","",$E284-$D284)</f>
        <v/>
      </c>
      <c r="G284" s="21" t="str">
        <f aca="false">IF(OR($B284="",N($D284)=0),"",$F284/$D284)</f>
        <v/>
      </c>
      <c r="H284" s="22"/>
      <c r="I284" s="22"/>
      <c r="J284" s="21" t="str">
        <f aca="false">IF(OR($H284="",$I284=""),"",$H284-$I284)</f>
        <v/>
      </c>
      <c r="K284" s="23" t="str">
        <f aca="false">IF($B284="","",IF($H284="","Data Pending",IF($H284&gt;=$J$4,"Best Fund",IF($H284&gt;=$J$5,"Need to Improve","Not Performing"))))</f>
        <v/>
      </c>
      <c r="L284" s="24" t="str">
        <f aca="false">IF($K284="","",IF($K284="Data Pending","Enter the 3Y return",IF($K284="Best Fund","Hold / consider top-up",IF($K284="Need to Improve","Watch 2 quarters, then decide","Review with client - switch or exit"))))</f>
        <v/>
      </c>
      <c r="M284" s="18"/>
    </row>
    <row r="285" customFormat="false" ht="15" hidden="false" customHeight="true" outlineLevel="0" collapsed="false">
      <c r="A285" s="18"/>
      <c r="B285" s="18"/>
      <c r="C285" s="18"/>
      <c r="D285" s="19"/>
      <c r="E285" s="19"/>
      <c r="F285" s="20" t="str">
        <f aca="false">IF($B285="","",$E285-$D285)</f>
        <v/>
      </c>
      <c r="G285" s="21" t="str">
        <f aca="false">IF(OR($B285="",N($D285)=0),"",$F285/$D285)</f>
        <v/>
      </c>
      <c r="H285" s="22"/>
      <c r="I285" s="22"/>
      <c r="J285" s="21" t="str">
        <f aca="false">IF(OR($H285="",$I285=""),"",$H285-$I285)</f>
        <v/>
      </c>
      <c r="K285" s="23" t="str">
        <f aca="false">IF($B285="","",IF($H285="","Data Pending",IF($H285&gt;=$J$4,"Best Fund",IF($H285&gt;=$J$5,"Need to Improve","Not Performing"))))</f>
        <v/>
      </c>
      <c r="L285" s="24" t="str">
        <f aca="false">IF($K285="","",IF($K285="Data Pending","Enter the 3Y return",IF($K285="Best Fund","Hold / consider top-up",IF($K285="Need to Improve","Watch 2 quarters, then decide","Review with client - switch or exit"))))</f>
        <v/>
      </c>
      <c r="M285" s="18"/>
    </row>
    <row r="286" customFormat="false" ht="15" hidden="false" customHeight="true" outlineLevel="0" collapsed="false">
      <c r="A286" s="18"/>
      <c r="B286" s="18"/>
      <c r="C286" s="18"/>
      <c r="D286" s="19"/>
      <c r="E286" s="19"/>
      <c r="F286" s="20" t="str">
        <f aca="false">IF($B286="","",$E286-$D286)</f>
        <v/>
      </c>
      <c r="G286" s="21" t="str">
        <f aca="false">IF(OR($B286="",N($D286)=0),"",$F286/$D286)</f>
        <v/>
      </c>
      <c r="H286" s="22"/>
      <c r="I286" s="22"/>
      <c r="J286" s="21" t="str">
        <f aca="false">IF(OR($H286="",$I286=""),"",$H286-$I286)</f>
        <v/>
      </c>
      <c r="K286" s="23" t="str">
        <f aca="false">IF($B286="","",IF($H286="","Data Pending",IF($H286&gt;=$J$4,"Best Fund",IF($H286&gt;=$J$5,"Need to Improve","Not Performing"))))</f>
        <v/>
      </c>
      <c r="L286" s="24" t="str">
        <f aca="false">IF($K286="","",IF($K286="Data Pending","Enter the 3Y return",IF($K286="Best Fund","Hold / consider top-up",IF($K286="Need to Improve","Watch 2 quarters, then decide","Review with client - switch or exit"))))</f>
        <v/>
      </c>
      <c r="M286" s="18"/>
    </row>
    <row r="287" customFormat="false" ht="15" hidden="false" customHeight="true" outlineLevel="0" collapsed="false">
      <c r="A287" s="18"/>
      <c r="B287" s="18"/>
      <c r="C287" s="18"/>
      <c r="D287" s="19"/>
      <c r="E287" s="19"/>
      <c r="F287" s="20" t="str">
        <f aca="false">IF($B287="","",$E287-$D287)</f>
        <v/>
      </c>
      <c r="G287" s="21" t="str">
        <f aca="false">IF(OR($B287="",N($D287)=0),"",$F287/$D287)</f>
        <v/>
      </c>
      <c r="H287" s="22"/>
      <c r="I287" s="22"/>
      <c r="J287" s="21" t="str">
        <f aca="false">IF(OR($H287="",$I287=""),"",$H287-$I287)</f>
        <v/>
      </c>
      <c r="K287" s="23" t="str">
        <f aca="false">IF($B287="","",IF($H287="","Data Pending",IF($H287&gt;=$J$4,"Best Fund",IF($H287&gt;=$J$5,"Need to Improve","Not Performing"))))</f>
        <v/>
      </c>
      <c r="L287" s="24" t="str">
        <f aca="false">IF($K287="","",IF($K287="Data Pending","Enter the 3Y return",IF($K287="Best Fund","Hold / consider top-up",IF($K287="Need to Improve","Watch 2 quarters, then decide","Review with client - switch or exit"))))</f>
        <v/>
      </c>
      <c r="M287" s="18"/>
    </row>
    <row r="288" customFormat="false" ht="15" hidden="false" customHeight="true" outlineLevel="0" collapsed="false">
      <c r="A288" s="18"/>
      <c r="B288" s="18"/>
      <c r="C288" s="18"/>
      <c r="D288" s="19"/>
      <c r="E288" s="19"/>
      <c r="F288" s="20" t="str">
        <f aca="false">IF($B288="","",$E288-$D288)</f>
        <v/>
      </c>
      <c r="G288" s="21" t="str">
        <f aca="false">IF(OR($B288="",N($D288)=0),"",$F288/$D288)</f>
        <v/>
      </c>
      <c r="H288" s="22"/>
      <c r="I288" s="22"/>
      <c r="J288" s="21" t="str">
        <f aca="false">IF(OR($H288="",$I288=""),"",$H288-$I288)</f>
        <v/>
      </c>
      <c r="K288" s="23" t="str">
        <f aca="false">IF($B288="","",IF($H288="","Data Pending",IF($H288&gt;=$J$4,"Best Fund",IF($H288&gt;=$J$5,"Need to Improve","Not Performing"))))</f>
        <v/>
      </c>
      <c r="L288" s="24" t="str">
        <f aca="false">IF($K288="","",IF($K288="Data Pending","Enter the 3Y return",IF($K288="Best Fund","Hold / consider top-up",IF($K288="Need to Improve","Watch 2 quarters, then decide","Review with client - switch or exit"))))</f>
        <v/>
      </c>
      <c r="M288" s="18"/>
    </row>
    <row r="289" customFormat="false" ht="15" hidden="false" customHeight="true" outlineLevel="0" collapsed="false">
      <c r="A289" s="18"/>
      <c r="B289" s="18"/>
      <c r="C289" s="18"/>
      <c r="D289" s="19"/>
      <c r="E289" s="19"/>
      <c r="F289" s="20" t="str">
        <f aca="false">IF($B289="","",$E289-$D289)</f>
        <v/>
      </c>
      <c r="G289" s="21" t="str">
        <f aca="false">IF(OR($B289="",N($D289)=0),"",$F289/$D289)</f>
        <v/>
      </c>
      <c r="H289" s="22"/>
      <c r="I289" s="22"/>
      <c r="J289" s="21" t="str">
        <f aca="false">IF(OR($H289="",$I289=""),"",$H289-$I289)</f>
        <v/>
      </c>
      <c r="K289" s="23" t="str">
        <f aca="false">IF($B289="","",IF($H289="","Data Pending",IF($H289&gt;=$J$4,"Best Fund",IF($H289&gt;=$J$5,"Need to Improve","Not Performing"))))</f>
        <v/>
      </c>
      <c r="L289" s="24" t="str">
        <f aca="false">IF($K289="","",IF($K289="Data Pending","Enter the 3Y return",IF($K289="Best Fund","Hold / consider top-up",IF($K289="Need to Improve","Watch 2 quarters, then decide","Review with client - switch or exit"))))</f>
        <v/>
      </c>
      <c r="M289" s="18"/>
    </row>
    <row r="290" customFormat="false" ht="15" hidden="false" customHeight="true" outlineLevel="0" collapsed="false">
      <c r="A290" s="18"/>
      <c r="B290" s="18"/>
      <c r="C290" s="18"/>
      <c r="D290" s="19"/>
      <c r="E290" s="19"/>
      <c r="F290" s="20" t="str">
        <f aca="false">IF($B290="","",$E290-$D290)</f>
        <v/>
      </c>
      <c r="G290" s="21" t="str">
        <f aca="false">IF(OR($B290="",N($D290)=0),"",$F290/$D290)</f>
        <v/>
      </c>
      <c r="H290" s="22"/>
      <c r="I290" s="22"/>
      <c r="J290" s="21" t="str">
        <f aca="false">IF(OR($H290="",$I290=""),"",$H290-$I290)</f>
        <v/>
      </c>
      <c r="K290" s="23" t="str">
        <f aca="false">IF($B290="","",IF($H290="","Data Pending",IF($H290&gt;=$J$4,"Best Fund",IF($H290&gt;=$J$5,"Need to Improve","Not Performing"))))</f>
        <v/>
      </c>
      <c r="L290" s="24" t="str">
        <f aca="false">IF($K290="","",IF($K290="Data Pending","Enter the 3Y return",IF($K290="Best Fund","Hold / consider top-up",IF($K290="Need to Improve","Watch 2 quarters, then decide","Review with client - switch or exit"))))</f>
        <v/>
      </c>
      <c r="M290" s="18"/>
    </row>
    <row r="291" customFormat="false" ht="15" hidden="false" customHeight="true" outlineLevel="0" collapsed="false">
      <c r="A291" s="18"/>
      <c r="B291" s="18"/>
      <c r="C291" s="18"/>
      <c r="D291" s="19"/>
      <c r="E291" s="19"/>
      <c r="F291" s="20" t="str">
        <f aca="false">IF($B291="","",$E291-$D291)</f>
        <v/>
      </c>
      <c r="G291" s="21" t="str">
        <f aca="false">IF(OR($B291="",N($D291)=0),"",$F291/$D291)</f>
        <v/>
      </c>
      <c r="H291" s="22"/>
      <c r="I291" s="22"/>
      <c r="J291" s="21" t="str">
        <f aca="false">IF(OR($H291="",$I291=""),"",$H291-$I291)</f>
        <v/>
      </c>
      <c r="K291" s="23" t="str">
        <f aca="false">IF($B291="","",IF($H291="","Data Pending",IF($H291&gt;=$J$4,"Best Fund",IF($H291&gt;=$J$5,"Need to Improve","Not Performing"))))</f>
        <v/>
      </c>
      <c r="L291" s="24" t="str">
        <f aca="false">IF($K291="","",IF($K291="Data Pending","Enter the 3Y return",IF($K291="Best Fund","Hold / consider top-up",IF($K291="Need to Improve","Watch 2 quarters, then decide","Review with client - switch or exit"))))</f>
        <v/>
      </c>
      <c r="M291" s="18"/>
    </row>
    <row r="292" customFormat="false" ht="15" hidden="false" customHeight="true" outlineLevel="0" collapsed="false">
      <c r="A292" s="18"/>
      <c r="B292" s="18"/>
      <c r="C292" s="18"/>
      <c r="D292" s="19"/>
      <c r="E292" s="19"/>
      <c r="F292" s="20" t="str">
        <f aca="false">IF($B292="","",$E292-$D292)</f>
        <v/>
      </c>
      <c r="G292" s="21" t="str">
        <f aca="false">IF(OR($B292="",N($D292)=0),"",$F292/$D292)</f>
        <v/>
      </c>
      <c r="H292" s="22"/>
      <c r="I292" s="22"/>
      <c r="J292" s="21" t="str">
        <f aca="false">IF(OR($H292="",$I292=""),"",$H292-$I292)</f>
        <v/>
      </c>
      <c r="K292" s="23" t="str">
        <f aca="false">IF($B292="","",IF($H292="","Data Pending",IF($H292&gt;=$J$4,"Best Fund",IF($H292&gt;=$J$5,"Need to Improve","Not Performing"))))</f>
        <v/>
      </c>
      <c r="L292" s="24" t="str">
        <f aca="false">IF($K292="","",IF($K292="Data Pending","Enter the 3Y return",IF($K292="Best Fund","Hold / consider top-up",IF($K292="Need to Improve","Watch 2 quarters, then decide","Review with client - switch or exit"))))</f>
        <v/>
      </c>
      <c r="M292" s="18"/>
    </row>
    <row r="293" customFormat="false" ht="15" hidden="false" customHeight="true" outlineLevel="0" collapsed="false">
      <c r="A293" s="18"/>
      <c r="B293" s="18"/>
      <c r="C293" s="18"/>
      <c r="D293" s="19"/>
      <c r="E293" s="19"/>
      <c r="F293" s="20" t="str">
        <f aca="false">IF($B293="","",$E293-$D293)</f>
        <v/>
      </c>
      <c r="G293" s="21" t="str">
        <f aca="false">IF(OR($B293="",N($D293)=0),"",$F293/$D293)</f>
        <v/>
      </c>
      <c r="H293" s="22"/>
      <c r="I293" s="22"/>
      <c r="J293" s="21" t="str">
        <f aca="false">IF(OR($H293="",$I293=""),"",$H293-$I293)</f>
        <v/>
      </c>
      <c r="K293" s="23" t="str">
        <f aca="false">IF($B293="","",IF($H293="","Data Pending",IF($H293&gt;=$J$4,"Best Fund",IF($H293&gt;=$J$5,"Need to Improve","Not Performing"))))</f>
        <v/>
      </c>
      <c r="L293" s="24" t="str">
        <f aca="false">IF($K293="","",IF($K293="Data Pending","Enter the 3Y return",IF($K293="Best Fund","Hold / consider top-up",IF($K293="Need to Improve","Watch 2 quarters, then decide","Review with client - switch or exit"))))</f>
        <v/>
      </c>
      <c r="M293" s="18"/>
    </row>
    <row r="294" customFormat="false" ht="15" hidden="false" customHeight="true" outlineLevel="0" collapsed="false">
      <c r="A294" s="18"/>
      <c r="B294" s="18"/>
      <c r="C294" s="18"/>
      <c r="D294" s="19"/>
      <c r="E294" s="19"/>
      <c r="F294" s="20" t="str">
        <f aca="false">IF($B294="","",$E294-$D294)</f>
        <v/>
      </c>
      <c r="G294" s="21" t="str">
        <f aca="false">IF(OR($B294="",N($D294)=0),"",$F294/$D294)</f>
        <v/>
      </c>
      <c r="H294" s="22"/>
      <c r="I294" s="22"/>
      <c r="J294" s="21" t="str">
        <f aca="false">IF(OR($H294="",$I294=""),"",$H294-$I294)</f>
        <v/>
      </c>
      <c r="K294" s="23" t="str">
        <f aca="false">IF($B294="","",IF($H294="","Data Pending",IF($H294&gt;=$J$4,"Best Fund",IF($H294&gt;=$J$5,"Need to Improve","Not Performing"))))</f>
        <v/>
      </c>
      <c r="L294" s="24" t="str">
        <f aca="false">IF($K294="","",IF($K294="Data Pending","Enter the 3Y return",IF($K294="Best Fund","Hold / consider top-up",IF($K294="Need to Improve","Watch 2 quarters, then decide","Review with client - switch or exit"))))</f>
        <v/>
      </c>
      <c r="M294" s="18"/>
    </row>
    <row r="295" customFormat="false" ht="15" hidden="false" customHeight="true" outlineLevel="0" collapsed="false">
      <c r="A295" s="18"/>
      <c r="B295" s="18"/>
      <c r="C295" s="18"/>
      <c r="D295" s="19"/>
      <c r="E295" s="19"/>
      <c r="F295" s="20" t="str">
        <f aca="false">IF($B295="","",$E295-$D295)</f>
        <v/>
      </c>
      <c r="G295" s="21" t="str">
        <f aca="false">IF(OR($B295="",N($D295)=0),"",$F295/$D295)</f>
        <v/>
      </c>
      <c r="H295" s="22"/>
      <c r="I295" s="22"/>
      <c r="J295" s="21" t="str">
        <f aca="false">IF(OR($H295="",$I295=""),"",$H295-$I295)</f>
        <v/>
      </c>
      <c r="K295" s="23" t="str">
        <f aca="false">IF($B295="","",IF($H295="","Data Pending",IF($H295&gt;=$J$4,"Best Fund",IF($H295&gt;=$J$5,"Need to Improve","Not Performing"))))</f>
        <v/>
      </c>
      <c r="L295" s="24" t="str">
        <f aca="false">IF($K295="","",IF($K295="Data Pending","Enter the 3Y return",IF($K295="Best Fund","Hold / consider top-up",IF($K295="Need to Improve","Watch 2 quarters, then decide","Review with client - switch or exit"))))</f>
        <v/>
      </c>
      <c r="M295" s="18"/>
    </row>
    <row r="296" customFormat="false" ht="15" hidden="false" customHeight="true" outlineLevel="0" collapsed="false">
      <c r="A296" s="18"/>
      <c r="B296" s="18"/>
      <c r="C296" s="18"/>
      <c r="D296" s="19"/>
      <c r="E296" s="19"/>
      <c r="F296" s="20" t="str">
        <f aca="false">IF($B296="","",$E296-$D296)</f>
        <v/>
      </c>
      <c r="G296" s="21" t="str">
        <f aca="false">IF(OR($B296="",N($D296)=0),"",$F296/$D296)</f>
        <v/>
      </c>
      <c r="H296" s="22"/>
      <c r="I296" s="22"/>
      <c r="J296" s="21" t="str">
        <f aca="false">IF(OR($H296="",$I296=""),"",$H296-$I296)</f>
        <v/>
      </c>
      <c r="K296" s="23" t="str">
        <f aca="false">IF($B296="","",IF($H296="","Data Pending",IF($H296&gt;=$J$4,"Best Fund",IF($H296&gt;=$J$5,"Need to Improve","Not Performing"))))</f>
        <v/>
      </c>
      <c r="L296" s="24" t="str">
        <f aca="false">IF($K296="","",IF($K296="Data Pending","Enter the 3Y return",IF($K296="Best Fund","Hold / consider top-up",IF($K296="Need to Improve","Watch 2 quarters, then decide","Review with client - switch or exit"))))</f>
        <v/>
      </c>
      <c r="M296" s="18"/>
    </row>
    <row r="297" customFormat="false" ht="15" hidden="false" customHeight="true" outlineLevel="0" collapsed="false">
      <c r="A297" s="18"/>
      <c r="B297" s="18"/>
      <c r="C297" s="18"/>
      <c r="D297" s="19"/>
      <c r="E297" s="19"/>
      <c r="F297" s="20" t="str">
        <f aca="false">IF($B297="","",$E297-$D297)</f>
        <v/>
      </c>
      <c r="G297" s="21" t="str">
        <f aca="false">IF(OR($B297="",N($D297)=0),"",$F297/$D297)</f>
        <v/>
      </c>
      <c r="H297" s="22"/>
      <c r="I297" s="22"/>
      <c r="J297" s="21" t="str">
        <f aca="false">IF(OR($H297="",$I297=""),"",$H297-$I297)</f>
        <v/>
      </c>
      <c r="K297" s="23" t="str">
        <f aca="false">IF($B297="","",IF($H297="","Data Pending",IF($H297&gt;=$J$4,"Best Fund",IF($H297&gt;=$J$5,"Need to Improve","Not Performing"))))</f>
        <v/>
      </c>
      <c r="L297" s="24" t="str">
        <f aca="false">IF($K297="","",IF($K297="Data Pending","Enter the 3Y return",IF($K297="Best Fund","Hold / consider top-up",IF($K297="Need to Improve","Watch 2 quarters, then decide","Review with client - switch or exit"))))</f>
        <v/>
      </c>
      <c r="M297" s="18"/>
    </row>
    <row r="298" customFormat="false" ht="15" hidden="false" customHeight="true" outlineLevel="0" collapsed="false">
      <c r="A298" s="18"/>
      <c r="B298" s="18"/>
      <c r="C298" s="18"/>
      <c r="D298" s="19"/>
      <c r="E298" s="19"/>
      <c r="F298" s="20" t="str">
        <f aca="false">IF($B298="","",$E298-$D298)</f>
        <v/>
      </c>
      <c r="G298" s="21" t="str">
        <f aca="false">IF(OR($B298="",N($D298)=0),"",$F298/$D298)</f>
        <v/>
      </c>
      <c r="H298" s="22"/>
      <c r="I298" s="22"/>
      <c r="J298" s="21" t="str">
        <f aca="false">IF(OR($H298="",$I298=""),"",$H298-$I298)</f>
        <v/>
      </c>
      <c r="K298" s="23" t="str">
        <f aca="false">IF($B298="","",IF($H298="","Data Pending",IF($H298&gt;=$J$4,"Best Fund",IF($H298&gt;=$J$5,"Need to Improve","Not Performing"))))</f>
        <v/>
      </c>
      <c r="L298" s="24" t="str">
        <f aca="false">IF($K298="","",IF($K298="Data Pending","Enter the 3Y return",IF($K298="Best Fund","Hold / consider top-up",IF($K298="Need to Improve","Watch 2 quarters, then decide","Review with client - switch or exit"))))</f>
        <v/>
      </c>
      <c r="M298" s="18"/>
    </row>
    <row r="299" customFormat="false" ht="15" hidden="false" customHeight="true" outlineLevel="0" collapsed="false">
      <c r="A299" s="18"/>
      <c r="B299" s="18"/>
      <c r="C299" s="18"/>
      <c r="D299" s="19"/>
      <c r="E299" s="19"/>
      <c r="F299" s="20" t="str">
        <f aca="false">IF($B299="","",$E299-$D299)</f>
        <v/>
      </c>
      <c r="G299" s="21" t="str">
        <f aca="false">IF(OR($B299="",N($D299)=0),"",$F299/$D299)</f>
        <v/>
      </c>
      <c r="H299" s="22"/>
      <c r="I299" s="22"/>
      <c r="J299" s="21" t="str">
        <f aca="false">IF(OR($H299="",$I299=""),"",$H299-$I299)</f>
        <v/>
      </c>
      <c r="K299" s="23" t="str">
        <f aca="false">IF($B299="","",IF($H299="","Data Pending",IF($H299&gt;=$J$4,"Best Fund",IF($H299&gt;=$J$5,"Need to Improve","Not Performing"))))</f>
        <v/>
      </c>
      <c r="L299" s="24" t="str">
        <f aca="false">IF($K299="","",IF($K299="Data Pending","Enter the 3Y return",IF($K299="Best Fund","Hold / consider top-up",IF($K299="Need to Improve","Watch 2 quarters, then decide","Review with client - switch or exit"))))</f>
        <v/>
      </c>
      <c r="M299" s="18"/>
    </row>
    <row r="300" customFormat="false" ht="15" hidden="false" customHeight="true" outlineLevel="0" collapsed="false">
      <c r="A300" s="18"/>
      <c r="B300" s="18"/>
      <c r="C300" s="18"/>
      <c r="D300" s="19"/>
      <c r="E300" s="19"/>
      <c r="F300" s="20" t="str">
        <f aca="false">IF($B300="","",$E300-$D300)</f>
        <v/>
      </c>
      <c r="G300" s="21" t="str">
        <f aca="false">IF(OR($B300="",N($D300)=0),"",$F300/$D300)</f>
        <v/>
      </c>
      <c r="H300" s="22"/>
      <c r="I300" s="22"/>
      <c r="J300" s="21" t="str">
        <f aca="false">IF(OR($H300="",$I300=""),"",$H300-$I300)</f>
        <v/>
      </c>
      <c r="K300" s="23" t="str">
        <f aca="false">IF($B300="","",IF($H300="","Data Pending",IF($H300&gt;=$J$4,"Best Fund",IF($H300&gt;=$J$5,"Need to Improve","Not Performing"))))</f>
        <v/>
      </c>
      <c r="L300" s="24" t="str">
        <f aca="false">IF($K300="","",IF($K300="Data Pending","Enter the 3Y return",IF($K300="Best Fund","Hold / consider top-up",IF($K300="Need to Improve","Watch 2 quarters, then decide","Review with client - switch or exit"))))</f>
        <v/>
      </c>
      <c r="M300" s="18"/>
    </row>
    <row r="301" customFormat="false" ht="15" hidden="false" customHeight="true" outlineLevel="0" collapsed="false">
      <c r="A301" s="18"/>
      <c r="B301" s="18"/>
      <c r="C301" s="18"/>
      <c r="D301" s="19"/>
      <c r="E301" s="19"/>
      <c r="F301" s="20" t="str">
        <f aca="false">IF($B301="","",$E301-$D301)</f>
        <v/>
      </c>
      <c r="G301" s="21" t="str">
        <f aca="false">IF(OR($B301="",N($D301)=0),"",$F301/$D301)</f>
        <v/>
      </c>
      <c r="H301" s="22"/>
      <c r="I301" s="22"/>
      <c r="J301" s="21" t="str">
        <f aca="false">IF(OR($H301="",$I301=""),"",$H301-$I301)</f>
        <v/>
      </c>
      <c r="K301" s="23" t="str">
        <f aca="false">IF($B301="","",IF($H301="","Data Pending",IF($H301&gt;=$J$4,"Best Fund",IF($H301&gt;=$J$5,"Need to Improve","Not Performing"))))</f>
        <v/>
      </c>
      <c r="L301" s="24" t="str">
        <f aca="false">IF($K301="","",IF($K301="Data Pending","Enter the 3Y return",IF($K301="Best Fund","Hold / consider top-up",IF($K301="Need to Improve","Watch 2 quarters, then decide","Review with client - switch or exit"))))</f>
        <v/>
      </c>
      <c r="M301" s="18"/>
    </row>
    <row r="302" customFormat="false" ht="15" hidden="false" customHeight="true" outlineLevel="0" collapsed="false">
      <c r="A302" s="18"/>
      <c r="B302" s="18"/>
      <c r="C302" s="18"/>
      <c r="D302" s="19"/>
      <c r="E302" s="19"/>
      <c r="F302" s="20" t="str">
        <f aca="false">IF($B302="","",$E302-$D302)</f>
        <v/>
      </c>
      <c r="G302" s="21" t="str">
        <f aca="false">IF(OR($B302="",N($D302)=0),"",$F302/$D302)</f>
        <v/>
      </c>
      <c r="H302" s="22"/>
      <c r="I302" s="22"/>
      <c r="J302" s="21" t="str">
        <f aca="false">IF(OR($H302="",$I302=""),"",$H302-$I302)</f>
        <v/>
      </c>
      <c r="K302" s="23" t="str">
        <f aca="false">IF($B302="","",IF($H302="","Data Pending",IF($H302&gt;=$J$4,"Best Fund",IF($H302&gt;=$J$5,"Need to Improve","Not Performing"))))</f>
        <v/>
      </c>
      <c r="L302" s="24" t="str">
        <f aca="false">IF($K302="","",IF($K302="Data Pending","Enter the 3Y return",IF($K302="Best Fund","Hold / consider top-up",IF($K302="Need to Improve","Watch 2 quarters, then decide","Review with client - switch or exit"))))</f>
        <v/>
      </c>
      <c r="M302" s="18"/>
    </row>
    <row r="303" customFormat="false" ht="15" hidden="false" customHeight="true" outlineLevel="0" collapsed="false">
      <c r="A303" s="18"/>
      <c r="B303" s="18"/>
      <c r="C303" s="18"/>
      <c r="D303" s="19"/>
      <c r="E303" s="19"/>
      <c r="F303" s="20" t="str">
        <f aca="false">IF($B303="","",$E303-$D303)</f>
        <v/>
      </c>
      <c r="G303" s="21" t="str">
        <f aca="false">IF(OR($B303="",N($D303)=0),"",$F303/$D303)</f>
        <v/>
      </c>
      <c r="H303" s="22"/>
      <c r="I303" s="22"/>
      <c r="J303" s="21" t="str">
        <f aca="false">IF(OR($H303="",$I303=""),"",$H303-$I303)</f>
        <v/>
      </c>
      <c r="K303" s="23" t="str">
        <f aca="false">IF($B303="","",IF($H303="","Data Pending",IF($H303&gt;=$J$4,"Best Fund",IF($H303&gt;=$J$5,"Need to Improve","Not Performing"))))</f>
        <v/>
      </c>
      <c r="L303" s="24" t="str">
        <f aca="false">IF($K303="","",IF($K303="Data Pending","Enter the 3Y return",IF($K303="Best Fund","Hold / consider top-up",IF($K303="Need to Improve","Watch 2 quarters, then decide","Review with client - switch or exit"))))</f>
        <v/>
      </c>
      <c r="M303" s="18"/>
    </row>
    <row r="304" customFormat="false" ht="15" hidden="false" customHeight="true" outlineLevel="0" collapsed="false">
      <c r="A304" s="18"/>
      <c r="B304" s="18"/>
      <c r="C304" s="18"/>
      <c r="D304" s="19"/>
      <c r="E304" s="19"/>
      <c r="F304" s="20" t="str">
        <f aca="false">IF($B304="","",$E304-$D304)</f>
        <v/>
      </c>
      <c r="G304" s="21" t="str">
        <f aca="false">IF(OR($B304="",N($D304)=0),"",$F304/$D304)</f>
        <v/>
      </c>
      <c r="H304" s="22"/>
      <c r="I304" s="22"/>
      <c r="J304" s="21" t="str">
        <f aca="false">IF(OR($H304="",$I304=""),"",$H304-$I304)</f>
        <v/>
      </c>
      <c r="K304" s="23" t="str">
        <f aca="false">IF($B304="","",IF($H304="","Data Pending",IF($H304&gt;=$J$4,"Best Fund",IF($H304&gt;=$J$5,"Need to Improve","Not Performing"))))</f>
        <v/>
      </c>
      <c r="L304" s="24" t="str">
        <f aca="false">IF($K304="","",IF($K304="Data Pending","Enter the 3Y return",IF($K304="Best Fund","Hold / consider top-up",IF($K304="Need to Improve","Watch 2 quarters, then decide","Review with client - switch or exit"))))</f>
        <v/>
      </c>
      <c r="M304" s="18"/>
    </row>
    <row r="305" customFormat="false" ht="15" hidden="false" customHeight="true" outlineLevel="0" collapsed="false">
      <c r="A305" s="18"/>
      <c r="B305" s="18"/>
      <c r="C305" s="18"/>
      <c r="D305" s="19"/>
      <c r="E305" s="19"/>
      <c r="F305" s="20" t="str">
        <f aca="false">IF($B305="","",$E305-$D305)</f>
        <v/>
      </c>
      <c r="G305" s="21" t="str">
        <f aca="false">IF(OR($B305="",N($D305)=0),"",$F305/$D305)</f>
        <v/>
      </c>
      <c r="H305" s="22"/>
      <c r="I305" s="22"/>
      <c r="J305" s="21" t="str">
        <f aca="false">IF(OR($H305="",$I305=""),"",$H305-$I305)</f>
        <v/>
      </c>
      <c r="K305" s="23" t="str">
        <f aca="false">IF($B305="","",IF($H305="","Data Pending",IF($H305&gt;=$J$4,"Best Fund",IF($H305&gt;=$J$5,"Need to Improve","Not Performing"))))</f>
        <v/>
      </c>
      <c r="L305" s="24" t="str">
        <f aca="false">IF($K305="","",IF($K305="Data Pending","Enter the 3Y return",IF($K305="Best Fund","Hold / consider top-up",IF($K305="Need to Improve","Watch 2 quarters, then decide","Review with client - switch or exit"))))</f>
        <v/>
      </c>
      <c r="M305" s="18"/>
    </row>
    <row r="306" customFormat="false" ht="15" hidden="false" customHeight="true" outlineLevel="0" collapsed="false">
      <c r="A306" s="18"/>
      <c r="B306" s="18"/>
      <c r="C306" s="18"/>
      <c r="D306" s="19"/>
      <c r="E306" s="19"/>
      <c r="F306" s="20" t="str">
        <f aca="false">IF($B306="","",$E306-$D306)</f>
        <v/>
      </c>
      <c r="G306" s="21" t="str">
        <f aca="false">IF(OR($B306="",N($D306)=0),"",$F306/$D306)</f>
        <v/>
      </c>
      <c r="H306" s="22"/>
      <c r="I306" s="22"/>
      <c r="J306" s="21" t="str">
        <f aca="false">IF(OR($H306="",$I306=""),"",$H306-$I306)</f>
        <v/>
      </c>
      <c r="K306" s="23" t="str">
        <f aca="false">IF($B306="","",IF($H306="","Data Pending",IF($H306&gt;=$J$4,"Best Fund",IF($H306&gt;=$J$5,"Need to Improve","Not Performing"))))</f>
        <v/>
      </c>
      <c r="L306" s="24" t="str">
        <f aca="false">IF($K306="","",IF($K306="Data Pending","Enter the 3Y return",IF($K306="Best Fund","Hold / consider top-up",IF($K306="Need to Improve","Watch 2 quarters, then decide","Review with client - switch or exit"))))</f>
        <v/>
      </c>
      <c r="M306" s="18"/>
    </row>
    <row r="307" customFormat="false" ht="15" hidden="false" customHeight="true" outlineLevel="0" collapsed="false">
      <c r="A307" s="18"/>
      <c r="B307" s="18"/>
      <c r="C307" s="18"/>
      <c r="D307" s="19"/>
      <c r="E307" s="19"/>
      <c r="F307" s="20" t="str">
        <f aca="false">IF($B307="","",$E307-$D307)</f>
        <v/>
      </c>
      <c r="G307" s="21" t="str">
        <f aca="false">IF(OR($B307="",N($D307)=0),"",$F307/$D307)</f>
        <v/>
      </c>
      <c r="H307" s="22"/>
      <c r="I307" s="22"/>
      <c r="J307" s="21" t="str">
        <f aca="false">IF(OR($H307="",$I307=""),"",$H307-$I307)</f>
        <v/>
      </c>
      <c r="K307" s="23" t="str">
        <f aca="false">IF($B307="","",IF($H307="","Data Pending",IF($H307&gt;=$J$4,"Best Fund",IF($H307&gt;=$J$5,"Need to Improve","Not Performing"))))</f>
        <v/>
      </c>
      <c r="L307" s="24" t="str">
        <f aca="false">IF($K307="","",IF($K307="Data Pending","Enter the 3Y return",IF($K307="Best Fund","Hold / consider top-up",IF($K307="Need to Improve","Watch 2 quarters, then decide","Review with client - switch or exit"))))</f>
        <v/>
      </c>
      <c r="M307" s="18"/>
    </row>
    <row r="308" customFormat="false" ht="15" hidden="false" customHeight="true" outlineLevel="0" collapsed="false">
      <c r="A308" s="18"/>
      <c r="B308" s="18"/>
      <c r="C308" s="18"/>
      <c r="D308" s="19"/>
      <c r="E308" s="19"/>
      <c r="F308" s="20" t="str">
        <f aca="false">IF($B308="","",$E308-$D308)</f>
        <v/>
      </c>
      <c r="G308" s="21" t="str">
        <f aca="false">IF(OR($B308="",N($D308)=0),"",$F308/$D308)</f>
        <v/>
      </c>
      <c r="H308" s="22"/>
      <c r="I308" s="22"/>
      <c r="J308" s="21" t="str">
        <f aca="false">IF(OR($H308="",$I308=""),"",$H308-$I308)</f>
        <v/>
      </c>
      <c r="K308" s="23" t="str">
        <f aca="false">IF($B308="","",IF($H308="","Data Pending",IF($H308&gt;=$J$4,"Best Fund",IF($H308&gt;=$J$5,"Need to Improve","Not Performing"))))</f>
        <v/>
      </c>
      <c r="L308" s="24" t="str">
        <f aca="false">IF($K308="","",IF($K308="Data Pending","Enter the 3Y return",IF($K308="Best Fund","Hold / consider top-up",IF($K308="Need to Improve","Watch 2 quarters, then decide","Review with client - switch or exit"))))</f>
        <v/>
      </c>
      <c r="M308" s="18"/>
    </row>
    <row r="309" customFormat="false" ht="15" hidden="false" customHeight="true" outlineLevel="0" collapsed="false">
      <c r="A309" s="18"/>
      <c r="B309" s="18"/>
      <c r="C309" s="18"/>
      <c r="D309" s="19"/>
      <c r="E309" s="19"/>
      <c r="F309" s="20" t="str">
        <f aca="false">IF($B309="","",$E309-$D309)</f>
        <v/>
      </c>
      <c r="G309" s="21" t="str">
        <f aca="false">IF(OR($B309="",N($D309)=0),"",$F309/$D309)</f>
        <v/>
      </c>
      <c r="H309" s="22"/>
      <c r="I309" s="22"/>
      <c r="J309" s="21" t="str">
        <f aca="false">IF(OR($H309="",$I309=""),"",$H309-$I309)</f>
        <v/>
      </c>
      <c r="K309" s="23" t="str">
        <f aca="false">IF($B309="","",IF($H309="","Data Pending",IF($H309&gt;=$J$4,"Best Fund",IF($H309&gt;=$J$5,"Need to Improve","Not Performing"))))</f>
        <v/>
      </c>
      <c r="L309" s="24" t="str">
        <f aca="false">IF($K309="","",IF($K309="Data Pending","Enter the 3Y return",IF($K309="Best Fund","Hold / consider top-up",IF($K309="Need to Improve","Watch 2 quarters, then decide","Review with client - switch or exit"))))</f>
        <v/>
      </c>
      <c r="M309" s="18"/>
    </row>
    <row r="310" customFormat="false" ht="15" hidden="false" customHeight="true" outlineLevel="0" collapsed="false">
      <c r="A310" s="18"/>
      <c r="B310" s="18"/>
      <c r="C310" s="18"/>
      <c r="D310" s="19"/>
      <c r="E310" s="19"/>
      <c r="F310" s="20" t="str">
        <f aca="false">IF($B310="","",$E310-$D310)</f>
        <v/>
      </c>
      <c r="G310" s="21" t="str">
        <f aca="false">IF(OR($B310="",N($D310)=0),"",$F310/$D310)</f>
        <v/>
      </c>
      <c r="H310" s="22"/>
      <c r="I310" s="22"/>
      <c r="J310" s="21" t="str">
        <f aca="false">IF(OR($H310="",$I310=""),"",$H310-$I310)</f>
        <v/>
      </c>
      <c r="K310" s="23" t="str">
        <f aca="false">IF($B310="","",IF($H310="","Data Pending",IF($H310&gt;=$J$4,"Best Fund",IF($H310&gt;=$J$5,"Need to Improve","Not Performing"))))</f>
        <v/>
      </c>
      <c r="L310" s="24" t="str">
        <f aca="false">IF($K310="","",IF($K310="Data Pending","Enter the 3Y return",IF($K310="Best Fund","Hold / consider top-up",IF($K310="Need to Improve","Watch 2 quarters, then decide","Review with client - switch or exit"))))</f>
        <v/>
      </c>
      <c r="M310" s="18"/>
    </row>
  </sheetData>
  <autoFilter ref="A10:M310"/>
  <mergeCells count="13">
    <mergeCell ref="A1:M1"/>
    <mergeCell ref="A2:M2"/>
    <mergeCell ref="A3:B3"/>
    <mergeCell ref="G3:I3"/>
    <mergeCell ref="A4:B4"/>
    <mergeCell ref="G4:I4"/>
    <mergeCell ref="A5:B5"/>
    <mergeCell ref="G5:I5"/>
    <mergeCell ref="A6:B6"/>
    <mergeCell ref="G6:I6"/>
    <mergeCell ref="A7:B7"/>
    <mergeCell ref="G7:M8"/>
    <mergeCell ref="A8:B8"/>
  </mergeCells>
  <conditionalFormatting sqref="A11:M310">
    <cfRule type="expression" priority="2" aboveAverage="0" equalAverage="0" bottom="0" percent="0" rank="0" text="" dxfId="8">
      <formula>$K11="Best Fund"</formula>
    </cfRule>
    <cfRule type="expression" priority="3" aboveAverage="0" equalAverage="0" bottom="0" percent="0" rank="0" text="" dxfId="9">
      <formula>$K11="Need to Improve"</formula>
    </cfRule>
    <cfRule type="expression" priority="4" aboveAverage="0" equalAverage="0" bottom="0" percent="0" rank="0" text="" dxfId="10">
      <formula>$K11="Not Performing"</formula>
    </cfRule>
  </conditionalFormatting>
  <dataValidations count="1">
    <dataValidation allowBlank="true" errorStyle="stop" operator="between" showDropDown="false" showErrorMessage="false" showInputMessage="false" sqref="C11:C310" type="list">
      <formula1>$P$1:$P$35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2026-09-04T05:20:01Z</dcterms:created>
  <dc:creator>openpyxl</dc:creator>
  <dc:description/>
  <dc:language>en-US</dc:language>
  <cp:lastModifiedBy/>
  <dcterms:modified xsi:type="dcterms:W3CDTF">2026-09-04T05:20:01Z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