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sheetId="1" state="visible" r:id="rId3"/>
  </sheets>
  <definedNames>
    <definedName function="false" hidden="false" localSheetId="0" name="_xlnm.Print_Area" vbProcedure="false">Review!$A$1:$F$67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<sst xmlns="http://schemas.openxmlformats.org/spreadsheetml/2006/main" count="140" uniqueCount="93">
  <si>
    <t xml:space="preserve">PORTFOLIO CONCENTRATION REVIEW</t>
  </si>
  <si>
    <t xml:space="preserve">Nineteen funds, four decisions      |      As on 2 September 2026      |      19 holdings      |      Allocation basis 100.00%</t>
  </si>
  <si>
    <t xml:space="preserve">The portfolio holds nineteen funds but is not diversified. Four of them take 47.17% of the money, small-cap and thematic bets together run to 51.94%, and nine holdings at the tail contribute almost nothing. The fix is consolidation, not addition.</t>
  </si>
  <si>
    <t xml:space="preserve">CONCENTRATION AGAINST LIMITS</t>
  </si>
  <si>
    <t xml:space="preserve">Measure</t>
  </si>
  <si>
    <t xml:space="preserve">Holding</t>
  </si>
  <si>
    <t xml:space="preserve">Actual</t>
  </si>
  <si>
    <t xml:space="preserve">Limit</t>
  </si>
  <si>
    <t xml:space="preserve">Verdict</t>
  </si>
  <si>
    <t xml:space="preserve">Largest holding</t>
  </si>
  <si>
    <t xml:space="preserve">TRUSTMF Small Cap Fund</t>
  </si>
  <si>
    <t xml:space="preserve">max 10-12%</t>
  </si>
  <si>
    <t xml:space="preserve">Top 3 funds</t>
  </si>
  <si>
    <t xml:space="preserve">Three largest holdings</t>
  </si>
  <si>
    <t xml:space="preserve">max 25-30%</t>
  </si>
  <si>
    <t xml:space="preserve">Top 5 funds</t>
  </si>
  <si>
    <t xml:space="preserve">Five largest holdings</t>
  </si>
  <si>
    <t xml:space="preserve">healthy 40-45%</t>
  </si>
  <si>
    <t xml:space="preserve">WHERE THE MONEY SITS  -  ALL 19 HOLDINGS</t>
  </si>
  <si>
    <t xml:space="preserve">Bars are drawn to scale. Four blocks carry 47.17%; the nine smallest holdings carry 18.41% between them.</t>
  </si>
  <si>
    <t xml:space="preserve">#</t>
  </si>
  <si>
    <t xml:space="preserve">Fund</t>
  </si>
  <si>
    <t xml:space="preserve">Category</t>
  </si>
  <si>
    <t xml:space="preserve">Allocation</t>
  </si>
  <si>
    <t xml:space="preserve">Band</t>
  </si>
  <si>
    <t xml:space="preserve">Action</t>
  </si>
  <si>
    <t xml:space="preserve">TRUSTMF Small Cap Fund - Regular (G)</t>
  </si>
  <si>
    <t xml:space="preserve">Small Cap</t>
  </si>
  <si>
    <t xml:space="preserve">Over 10%</t>
  </si>
  <si>
    <t xml:space="preserve">Exit / consolidate</t>
  </si>
  <si>
    <t xml:space="preserve">Aditya Birla SL Quant Fund - Regular (G)</t>
  </si>
  <si>
    <t xml:space="preserve">Multi-Cap/Quant</t>
  </si>
  <si>
    <t xml:space="preserve">Bandhan Business Cycle Fund - Regular (G)</t>
  </si>
  <si>
    <t xml:space="preserve">Thematic</t>
  </si>
  <si>
    <t xml:space="preserve">Tata Business Cycle Fund (G)</t>
  </si>
  <si>
    <t xml:space="preserve">KEEP</t>
  </si>
  <si>
    <t xml:space="preserve">Mahindra Manulife Mid Cap Fund (G)</t>
  </si>
  <si>
    <t xml:space="preserve">Mid Cap</t>
  </si>
  <si>
    <t xml:space="preserve">5 - 7%</t>
  </si>
  <si>
    <t xml:space="preserve">Mahindra Manulife Large &amp; Mid Cap Fund-Reg (G)</t>
  </si>
  <si>
    <t xml:space="preserve">Large &amp; Mid Cap</t>
  </si>
  <si>
    <t xml:space="preserve">Mahindra Manulife Small Cap Fund - Regular (G)</t>
  </si>
  <si>
    <t xml:space="preserve">Mahindra Manulife Focused Fund (G)</t>
  </si>
  <si>
    <t xml:space="preserve">Focused/Multi-Cap</t>
  </si>
  <si>
    <t xml:space="preserve">Mahindra Manulife Business Cycle Fund - Reg (G)</t>
  </si>
  <si>
    <t xml:space="preserve">Tata India Innovation Fund - Regular (G)</t>
  </si>
  <si>
    <t xml:space="preserve">TRUSTMF Flexi Cap Fund - Regular (G)</t>
  </si>
  <si>
    <t xml:space="preserve">Flexi Cap</t>
  </si>
  <si>
    <t xml:space="preserve">Under 5%</t>
  </si>
  <si>
    <t xml:space="preserve">Aditya Birla SL Ultra Short to Short Term Fund-Reg (G)</t>
  </si>
  <si>
    <t xml:space="preserve">Debt/Short Term</t>
  </si>
  <si>
    <t xml:space="preserve">Bandhan Ultra Short Term Fund - Reg (G)</t>
  </si>
  <si>
    <t xml:space="preserve">Bandhan Flexi Cap Fund (G)</t>
  </si>
  <si>
    <t xml:space="preserve">Aditya Birla SL Flexi Cap Fund (G)</t>
  </si>
  <si>
    <t xml:space="preserve">Mahindra Manulife Flexi Cap Fund (G)</t>
  </si>
  <si>
    <t xml:space="preserve">Tata Ultra Short Term Fund - Regular (G)</t>
  </si>
  <si>
    <t xml:space="preserve">TRUSTMF Money Market Fund (G)</t>
  </si>
  <si>
    <t xml:space="preserve">Money Market</t>
  </si>
  <si>
    <t xml:space="preserve">Mahindra Manulife Value Fund - Regular (G)</t>
  </si>
  <si>
    <t xml:space="preserve">Value</t>
  </si>
  <si>
    <t xml:space="preserve">TOTAL</t>
  </si>
  <si>
    <t xml:space="preserve">WHAT IS WRONG</t>
  </si>
  <si>
    <t xml:space="preserve">Concentration</t>
  </si>
  <si>
    <t xml:space="preserve">One fund at 15.19% against a 10-12% ceiling, and the top five at 54.16%.</t>
  </si>
  <si>
    <t xml:space="preserve">The same bet, twice</t>
  </si>
  <si>
    <t xml:space="preserve">Bandhan and Tata Business Cycle hold 20.66% in one identical theme; with Mahindra Manulife BC and Tata Innovation, thematic exposure reaches 31.03%.</t>
  </si>
  <si>
    <t xml:space="preserve">Four flexi caps doing one job</t>
  </si>
  <si>
    <t xml:space="preserve">11.21% split across four overlapping funds - no fund large enough to matter.</t>
  </si>
  <si>
    <t xml:space="preserve">Small-cap doubling</t>
  </si>
  <si>
    <t xml:space="preserve">TRUSTMF and Mahindra Manulife Small Cap together hold 20.91%.</t>
  </si>
  <si>
    <t xml:space="preserve">A tail that earns nothing</t>
  </si>
  <si>
    <t xml:space="preserve">Three holdings below 1% - the smallest is 0.06% - add tracking work and no return.</t>
  </si>
  <si>
    <t xml:space="preserve">THE FIX  -  19 FUNDS DOWN TO 7</t>
  </si>
  <si>
    <t xml:space="preserve">Consolidate into seven holdings across three tiers. Keep one business-cycle bet, one flexi cap, one small cap. Exit the other twelve in phases over six months so capital-gains tax is managed rather than triggered at once. The seven funds to keep hold just 39.43% of the portfolio today, which is why the exit runs in phases and starts by redirecting fresh SIPs rather than selling.</t>
  </si>
  <si>
    <t xml:space="preserve">THE SEVEN TO KEEP</t>
  </si>
  <si>
    <t xml:space="preserve">Tier</t>
  </si>
  <si>
    <t xml:space="preserve">Now</t>
  </si>
  <si>
    <t xml:space="preserve">Target</t>
  </si>
  <si>
    <t xml:space="preserve">Change</t>
  </si>
  <si>
    <t xml:space="preserve">Aditya Birla SL Flexi Cap Fund</t>
  </si>
  <si>
    <t xml:space="preserve">CORE</t>
  </si>
  <si>
    <t xml:space="preserve">Mahindra Manulife Mid Cap Fund</t>
  </si>
  <si>
    <t xml:space="preserve">Mahindra Manulife Small Cap Fund</t>
  </si>
  <si>
    <t xml:space="preserve">Mahindra Manulife Large &amp; Mid Cap Fund</t>
  </si>
  <si>
    <t xml:space="preserve">BALANCED</t>
  </si>
  <si>
    <t xml:space="preserve">Mahindra Manulife Focused Fund</t>
  </si>
  <si>
    <t xml:space="preserve">Tata Business Cycle Fund</t>
  </si>
  <si>
    <t xml:space="preserve">DEFENSIVE</t>
  </si>
  <si>
    <t xml:space="preserve">Bandhan Ultra Short Term Fund</t>
  </si>
  <si>
    <t xml:space="preserve">Seven holdings</t>
  </si>
  <si>
    <t xml:space="preserve">FIRST MOVE, THIS MONTH:  stop every SIP going into the twelve funds being exited and redirect them to these seven. It rebalances with new money before a single unit is sold, so nothing is taxed.</t>
  </si>
  <si>
    <t xml:space="preserve">NOTE ON THE SOURCE FIGURES:  Three percentages in the underlying report do not reconcile against its own holdings table, so this summary uses figures recomputed from the nineteen allocations - top 3 is 37.16% (report states 36.16%), top 5 is 54.16% (report states 48.17%), and small cap is 20.91% (report states 26.90% in one place and 20.91% in another). The report also describes four holdings below 1%; there are three. Confirm against the source data before acting.</t>
  </si>
  <si>
    <t xml:space="preserve">This analysis is based on current allocation data and general investment principles. Before implementing any changes, consult your financial adviser and CA for tax planning and suitability assessment for your specific financial situation, goals, and time horizon. Mutual fund investments are subject to market risks; read all scheme-related documents carefully.</t>
  </si>
</sst>
</file>

<file path=xl/styles.xml><?xml version="1.0" encoding="utf-8"?>
<styleSheet xmlns="http://schemas.openxmlformats.org/spreadsheetml/2006/main">
  <numFmts count="5">
    <numFmt numFmtId="164" formatCode="General"/>
    <numFmt numFmtId="165" formatCode="0.00%;\(0.00%\);\-"/>
    <numFmt numFmtId="166" formatCode="#,##0;\(#,##0\);\-"/>
    <numFmt numFmtId="167" formatCode="0%;\(0%\);\-"/>
    <numFmt numFmtId="168" formatCode="\+0.00%;\-0.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404040"/>
      <name val="Arial"/>
      <family val="0"/>
      <charset val="1"/>
    </font>
    <font>
      <sz val="11"/>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000000"/>
      <name val="Arial"/>
      <family val="0"/>
      <charset val="1"/>
    </font>
    <font>
      <sz val="10"/>
      <color rgb="FF9C0006"/>
      <name val="Arial"/>
      <family val="0"/>
      <charset val="1"/>
    </font>
    <font>
      <sz val="10"/>
      <color rgb="FF0000FF"/>
      <name val="Arial"/>
      <family val="0"/>
      <charset val="1"/>
    </font>
    <font>
      <sz val="10"/>
      <color rgb="FF006100"/>
      <name val="Arial"/>
      <family val="0"/>
      <charset val="1"/>
    </font>
    <font>
      <sz val="10"/>
      <color rgb="FF9C5700"/>
      <name val="Arial"/>
      <family val="0"/>
      <charset val="1"/>
    </font>
    <font>
      <sz val="9"/>
      <color rgb="FF9C5700"/>
      <name val="Arial"/>
      <family val="0"/>
      <charset val="1"/>
    </font>
  </fonts>
  <fills count="10">
    <fill>
      <patternFill patternType="none"/>
    </fill>
    <fill>
      <patternFill patternType="gray125"/>
    </fill>
    <fill>
      <patternFill patternType="solid">
        <fgColor rgb="FF1F3864"/>
        <bgColor rgb="FF333399"/>
      </patternFill>
    </fill>
    <fill>
      <patternFill patternType="solid">
        <fgColor rgb="FFF2F2F2"/>
        <bgColor rgb="FFE7E9E8"/>
      </patternFill>
    </fill>
    <fill>
      <patternFill patternType="solid">
        <fgColor rgb="FF2E75B6"/>
        <bgColor rgb="FF0066CC"/>
      </patternFill>
    </fill>
    <fill>
      <patternFill patternType="solid">
        <fgColor rgb="FFFFC7CE"/>
        <bgColor rgb="FFE7E9E8"/>
      </patternFill>
    </fill>
    <fill>
      <patternFill patternType="solid">
        <fgColor rgb="FFC6EFCE"/>
        <bgColor rgb="FFE7E9E8"/>
      </patternFill>
    </fill>
    <fill>
      <patternFill patternType="solid">
        <fgColor rgb="FFFFEB9C"/>
        <bgColor rgb="FFFFF2CC"/>
      </patternFill>
    </fill>
    <fill>
      <patternFill patternType="solid">
        <fgColor rgb="FFE7E9E8"/>
        <bgColor rgb="FFF2F2F2"/>
      </patternFill>
    </fill>
    <fill>
      <patternFill patternType="solid">
        <fgColor rgb="FFFFF2CC"/>
        <bgColor rgb="FFF2F2F2"/>
      </patternFill>
    </fill>
  </fills>
  <borders count="4">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general" vertical="center" textRotation="0" wrapText="true" indent="0" shrinkToFit="false"/>
      <protection locked="true" hidden="false"/>
    </xf>
    <xf numFmtId="164" fontId="9"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7" fontId="13" fillId="6" borderId="1" xfId="0" applyFont="true" applyBorder="true" applyAlignment="true" applyProtection="false">
      <alignment horizontal="center" vertical="center" textRotation="0" wrapText="false" indent="0" shrinkToFit="false"/>
      <protection locked="true" hidden="false"/>
    </xf>
    <xf numFmtId="168" fontId="11" fillId="0" borderId="1" xfId="0" applyFont="true" applyBorder="true" applyAlignment="true" applyProtection="false">
      <alignment horizontal="center" vertical="center" textRotation="0" wrapText="false" indent="0" shrinkToFit="false"/>
      <protection locked="true" hidden="false"/>
    </xf>
    <xf numFmtId="167" fontId="8" fillId="2" borderId="1" xfId="0" applyFont="true" applyBorder="true" applyAlignment="true" applyProtection="false">
      <alignment horizontal="center" vertical="center" textRotation="0" wrapText="false" indent="0" shrinkToFit="false"/>
      <protection locked="true" hidden="false"/>
    </xf>
    <xf numFmtId="168" fontId="8" fillId="2" borderId="1" xfId="0" applyFont="true" applyBorder="true" applyAlignment="true" applyProtection="false">
      <alignment horizontal="center" vertical="center" textRotation="0" wrapText="false" indent="0" shrinkToFit="false"/>
      <protection locked="true" hidden="false"/>
    </xf>
    <xf numFmtId="164" fontId="14" fillId="6" borderId="3" xfId="0" applyFont="true" applyBorder="true" applyAlignment="true" applyProtection="false">
      <alignment horizontal="general" vertical="center" textRotation="0" wrapText="true" indent="0" shrinkToFit="false"/>
      <protection locked="true" hidden="false"/>
    </xf>
    <xf numFmtId="164" fontId="16" fillId="9" borderId="3"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9E8"/>
      <rgbColor rgb="FFC6EFCE"/>
      <rgbColor rgb="FFFFEB9C"/>
      <rgbColor rgb="FF99CCFF"/>
      <rgbColor rgb="FFFF99CC"/>
      <rgbColor rgb="FFCC99FF"/>
      <rgbColor rgb="FFFFC7CE"/>
      <rgbColor rgb="FF2E75B6"/>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6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20"/>
    <col collapsed="false" customWidth="true" hidden="false" outlineLevel="0" max="5" min="4" style="0" width="13"/>
    <col collapsed="false" customWidth="true" hidden="false" outlineLevel="0" max="6" min="6" style="0" width="46"/>
  </cols>
  <sheetData>
    <row r="1" customFormat="false" ht="30" hidden="false" customHeight="true" outlineLevel="0" collapsed="false">
      <c r="A1" s="1" t="s">
        <v>0</v>
      </c>
      <c r="B1" s="1"/>
      <c r="C1" s="1"/>
      <c r="D1" s="1"/>
      <c r="E1" s="1"/>
      <c r="F1" s="1"/>
    </row>
    <row r="2" customFormat="false" ht="16.5" hidden="false" customHeight="true" outlineLevel="0" collapsed="false">
      <c r="A2" s="2" t="s">
        <v>1</v>
      </c>
      <c r="B2" s="2"/>
      <c r="C2" s="2"/>
      <c r="D2" s="2"/>
      <c r="E2" s="2"/>
      <c r="F2" s="2"/>
    </row>
    <row r="4" customFormat="false" ht="19.5" hidden="false" customHeight="true" outlineLevel="0" collapsed="false">
      <c r="A4" s="3" t="s">
        <v>2</v>
      </c>
      <c r="B4" s="3"/>
      <c r="C4" s="3"/>
      <c r="D4" s="3"/>
      <c r="E4" s="3"/>
      <c r="F4" s="3"/>
    </row>
    <row r="5" customFormat="false" ht="19.5" hidden="false" customHeight="true" outlineLevel="0" collapsed="false">
      <c r="A5" s="3"/>
      <c r="B5" s="3"/>
      <c r="C5" s="3"/>
      <c r="D5" s="3"/>
      <c r="E5" s="3"/>
      <c r="F5" s="3"/>
    </row>
    <row r="7" customFormat="false" ht="15" hidden="false" customHeight="false" outlineLevel="0" collapsed="false">
      <c r="A7" s="4" t="s">
        <v>3</v>
      </c>
    </row>
    <row r="8" customFormat="false" ht="21.75" hidden="false" customHeight="true" outlineLevel="0" collapsed="false">
      <c r="A8" s="5"/>
      <c r="B8" s="6" t="s">
        <v>4</v>
      </c>
      <c r="C8" s="6" t="s">
        <v>5</v>
      </c>
      <c r="D8" s="5" t="s">
        <v>6</v>
      </c>
      <c r="E8" s="5" t="s">
        <v>7</v>
      </c>
      <c r="F8" s="6" t="s">
        <v>8</v>
      </c>
    </row>
    <row r="9" customFormat="false" ht="15" hidden="false" customHeight="false" outlineLevel="0" collapsed="false">
      <c r="A9" s="7"/>
      <c r="B9" s="8" t="s">
        <v>9</v>
      </c>
      <c r="C9" s="7" t="s">
        <v>10</v>
      </c>
      <c r="D9" s="9" t="n">
        <f aca="false">LARGE($D$16:$D$34,1)</f>
        <v>0.1519</v>
      </c>
      <c r="E9" s="10" t="s">
        <v>11</v>
      </c>
      <c r="F9" s="11" t="str">
        <f aca="false">IF($D9&gt;0.12,"OVER by "&amp;TEXT(($D9-0.12)*100,"0.00")&amp;" pts","Within limit")</f>
        <v>OVER by 3.19 pts</v>
      </c>
    </row>
    <row r="10" customFormat="false" ht="15" hidden="false" customHeight="false" outlineLevel="0" collapsed="false">
      <c r="A10" s="7"/>
      <c r="B10" s="8" t="s">
        <v>12</v>
      </c>
      <c r="C10" s="7" t="s">
        <v>13</v>
      </c>
      <c r="D10" s="9" t="n">
        <f aca="false">LARGE($D$16:$D$34,1)+LARGE($D$16:$D$34,2)+LARGE($D$16:$D$34,3)</f>
        <v>0.3716</v>
      </c>
      <c r="E10" s="10" t="s">
        <v>14</v>
      </c>
      <c r="F10" s="11" t="str">
        <f aca="false">IF($D10&gt;0.3,"OVER by "&amp;TEXT(($D10-0.3)*100,"0.00")&amp;" pts","Within limit")</f>
        <v>OVER by 7.16 pts</v>
      </c>
    </row>
    <row r="11" customFormat="false" ht="15" hidden="false" customHeight="false" outlineLevel="0" collapsed="false">
      <c r="A11" s="7"/>
      <c r="B11" s="8" t="s">
        <v>15</v>
      </c>
      <c r="C11" s="7" t="s">
        <v>16</v>
      </c>
      <c r="D11" s="9" t="n">
        <f aca="false">LARGE($D$16:$D$34,1)+LARGE($D$16:$D$34,2)+LARGE($D$16:$D$34,3)+LARGE($D$16:$D$34,4)+LARGE($D$16:$D$34,5)</f>
        <v>0.5416</v>
      </c>
      <c r="E11" s="10" t="s">
        <v>17</v>
      </c>
      <c r="F11" s="11" t="str">
        <f aca="false">IF($D11&gt;0.45,"OVER by "&amp;TEXT(($D11-0.45)*100,"0.00")&amp;" pts","Within limit")</f>
        <v>OVER by 9.16 pts</v>
      </c>
    </row>
    <row r="13" customFormat="false" ht="15" hidden="false" customHeight="false" outlineLevel="0" collapsed="false">
      <c r="A13" s="4" t="s">
        <v>18</v>
      </c>
    </row>
    <row r="14" customFormat="false" ht="15" hidden="false" customHeight="false" outlineLevel="0" collapsed="false">
      <c r="A14" s="12" t="s">
        <v>19</v>
      </c>
      <c r="B14" s="12"/>
      <c r="C14" s="12"/>
      <c r="D14" s="12"/>
      <c r="E14" s="12"/>
      <c r="F14" s="12"/>
    </row>
    <row r="15" customFormat="false" ht="21.75" hidden="false" customHeight="true" outlineLevel="0" collapsed="false">
      <c r="A15" s="5" t="s">
        <v>20</v>
      </c>
      <c r="B15" s="6" t="s">
        <v>21</v>
      </c>
      <c r="C15" s="6" t="s">
        <v>22</v>
      </c>
      <c r="D15" s="5" t="s">
        <v>23</v>
      </c>
      <c r="E15" s="5" t="s">
        <v>24</v>
      </c>
      <c r="F15" s="5" t="s">
        <v>25</v>
      </c>
    </row>
    <row r="16" customFormat="false" ht="15" hidden="false" customHeight="false" outlineLevel="0" collapsed="false">
      <c r="A16" s="13" t="n">
        <v>1</v>
      </c>
      <c r="B16" s="14" t="s">
        <v>26</v>
      </c>
      <c r="C16" s="7" t="s">
        <v>27</v>
      </c>
      <c r="D16" s="15" t="n">
        <v>0.1519</v>
      </c>
      <c r="E16" s="16" t="s">
        <v>28</v>
      </c>
      <c r="F16" s="17" t="s">
        <v>29</v>
      </c>
    </row>
    <row r="17" customFormat="false" ht="15" hidden="false" customHeight="false" outlineLevel="0" collapsed="false">
      <c r="A17" s="13" t="n">
        <v>2</v>
      </c>
      <c r="B17" s="14" t="s">
        <v>30</v>
      </c>
      <c r="C17" s="7" t="s">
        <v>31</v>
      </c>
      <c r="D17" s="15" t="n">
        <v>0.1132</v>
      </c>
      <c r="E17" s="16" t="s">
        <v>28</v>
      </c>
      <c r="F17" s="17" t="s">
        <v>29</v>
      </c>
    </row>
    <row r="18" customFormat="false" ht="15" hidden="false" customHeight="false" outlineLevel="0" collapsed="false">
      <c r="A18" s="13" t="n">
        <v>3</v>
      </c>
      <c r="B18" s="14" t="s">
        <v>32</v>
      </c>
      <c r="C18" s="7" t="s">
        <v>33</v>
      </c>
      <c r="D18" s="15" t="n">
        <v>0.1065</v>
      </c>
      <c r="E18" s="16" t="s">
        <v>28</v>
      </c>
      <c r="F18" s="17" t="s">
        <v>29</v>
      </c>
    </row>
    <row r="19" customFormat="false" ht="15" hidden="false" customHeight="false" outlineLevel="0" collapsed="false">
      <c r="A19" s="13" t="n">
        <v>4</v>
      </c>
      <c r="B19" s="14" t="s">
        <v>34</v>
      </c>
      <c r="C19" s="7" t="s">
        <v>33</v>
      </c>
      <c r="D19" s="15" t="n">
        <v>0.1001</v>
      </c>
      <c r="E19" s="16" t="s">
        <v>28</v>
      </c>
      <c r="F19" s="18" t="s">
        <v>35</v>
      </c>
    </row>
    <row r="20" customFormat="false" ht="15" hidden="false" customHeight="false" outlineLevel="0" collapsed="false">
      <c r="A20" s="13" t="n">
        <v>5</v>
      </c>
      <c r="B20" s="14" t="s">
        <v>36</v>
      </c>
      <c r="C20" s="7" t="s">
        <v>37</v>
      </c>
      <c r="D20" s="15" t="n">
        <v>0.0699</v>
      </c>
      <c r="E20" s="19" t="s">
        <v>38</v>
      </c>
      <c r="F20" s="18" t="s">
        <v>35</v>
      </c>
    </row>
    <row r="21" customFormat="false" ht="15" hidden="false" customHeight="false" outlineLevel="0" collapsed="false">
      <c r="A21" s="13" t="n">
        <v>6</v>
      </c>
      <c r="B21" s="14" t="s">
        <v>39</v>
      </c>
      <c r="C21" s="7" t="s">
        <v>40</v>
      </c>
      <c r="D21" s="15" t="n">
        <v>0.0573</v>
      </c>
      <c r="E21" s="19" t="s">
        <v>38</v>
      </c>
      <c r="F21" s="18" t="s">
        <v>35</v>
      </c>
    </row>
    <row r="22" customFormat="false" ht="15" hidden="false" customHeight="false" outlineLevel="0" collapsed="false">
      <c r="A22" s="13" t="n">
        <v>7</v>
      </c>
      <c r="B22" s="14" t="s">
        <v>41</v>
      </c>
      <c r="C22" s="7" t="s">
        <v>27</v>
      </c>
      <c r="D22" s="15" t="n">
        <v>0.0572</v>
      </c>
      <c r="E22" s="19" t="s">
        <v>38</v>
      </c>
      <c r="F22" s="18" t="s">
        <v>35</v>
      </c>
    </row>
    <row r="23" customFormat="false" ht="15" hidden="false" customHeight="false" outlineLevel="0" collapsed="false">
      <c r="A23" s="13" t="n">
        <v>8</v>
      </c>
      <c r="B23" s="14" t="s">
        <v>42</v>
      </c>
      <c r="C23" s="7" t="s">
        <v>43</v>
      </c>
      <c r="D23" s="15" t="n">
        <v>0.0561</v>
      </c>
      <c r="E23" s="19" t="s">
        <v>38</v>
      </c>
      <c r="F23" s="18" t="s">
        <v>35</v>
      </c>
    </row>
    <row r="24" customFormat="false" ht="15" hidden="false" customHeight="false" outlineLevel="0" collapsed="false">
      <c r="A24" s="13" t="n">
        <v>9</v>
      </c>
      <c r="B24" s="14" t="s">
        <v>44</v>
      </c>
      <c r="C24" s="7" t="s">
        <v>33</v>
      </c>
      <c r="D24" s="15" t="n">
        <v>0.0523</v>
      </c>
      <c r="E24" s="19" t="s">
        <v>38</v>
      </c>
      <c r="F24" s="17" t="s">
        <v>29</v>
      </c>
    </row>
    <row r="25" customFormat="false" ht="15" hidden="false" customHeight="false" outlineLevel="0" collapsed="false">
      <c r="A25" s="13" t="n">
        <v>10</v>
      </c>
      <c r="B25" s="14" t="s">
        <v>45</v>
      </c>
      <c r="C25" s="7" t="s">
        <v>33</v>
      </c>
      <c r="D25" s="15" t="n">
        <v>0.0514</v>
      </c>
      <c r="E25" s="19" t="s">
        <v>38</v>
      </c>
      <c r="F25" s="17" t="s">
        <v>29</v>
      </c>
    </row>
    <row r="26" customFormat="false" ht="15" hidden="false" customHeight="false" outlineLevel="0" collapsed="false">
      <c r="A26" s="13" t="n">
        <v>11</v>
      </c>
      <c r="B26" s="14" t="s">
        <v>46</v>
      </c>
      <c r="C26" s="7" t="s">
        <v>47</v>
      </c>
      <c r="D26" s="15" t="n">
        <v>0.0451</v>
      </c>
      <c r="E26" s="20" t="s">
        <v>48</v>
      </c>
      <c r="F26" s="17" t="s">
        <v>29</v>
      </c>
    </row>
    <row r="27" customFormat="false" ht="15" hidden="false" customHeight="false" outlineLevel="0" collapsed="false">
      <c r="A27" s="13" t="n">
        <v>12</v>
      </c>
      <c r="B27" s="14" t="s">
        <v>49</v>
      </c>
      <c r="C27" s="7" t="s">
        <v>50</v>
      </c>
      <c r="D27" s="15" t="n">
        <v>0.0311</v>
      </c>
      <c r="E27" s="20" t="s">
        <v>48</v>
      </c>
      <c r="F27" s="17" t="s">
        <v>29</v>
      </c>
    </row>
    <row r="28" customFormat="false" ht="15" hidden="false" customHeight="false" outlineLevel="0" collapsed="false">
      <c r="A28" s="13" t="n">
        <v>13</v>
      </c>
      <c r="B28" s="14" t="s">
        <v>51</v>
      </c>
      <c r="C28" s="7" t="s">
        <v>50</v>
      </c>
      <c r="D28" s="15" t="n">
        <v>0.029</v>
      </c>
      <c r="E28" s="20" t="s">
        <v>48</v>
      </c>
      <c r="F28" s="18" t="s">
        <v>35</v>
      </c>
    </row>
    <row r="29" customFormat="false" ht="15" hidden="false" customHeight="false" outlineLevel="0" collapsed="false">
      <c r="A29" s="13" t="n">
        <v>14</v>
      </c>
      <c r="B29" s="14" t="s">
        <v>52</v>
      </c>
      <c r="C29" s="7" t="s">
        <v>47</v>
      </c>
      <c r="D29" s="15" t="n">
        <v>0.027</v>
      </c>
      <c r="E29" s="20" t="s">
        <v>48</v>
      </c>
      <c r="F29" s="17" t="s">
        <v>29</v>
      </c>
    </row>
    <row r="30" customFormat="false" ht="15" hidden="false" customHeight="false" outlineLevel="0" collapsed="false">
      <c r="A30" s="13" t="n">
        <v>15</v>
      </c>
      <c r="B30" s="14" t="s">
        <v>53</v>
      </c>
      <c r="C30" s="7" t="s">
        <v>47</v>
      </c>
      <c r="D30" s="15" t="n">
        <v>0.0247</v>
      </c>
      <c r="E30" s="20" t="s">
        <v>48</v>
      </c>
      <c r="F30" s="18" t="s">
        <v>35</v>
      </c>
    </row>
    <row r="31" customFormat="false" ht="15" hidden="false" customHeight="false" outlineLevel="0" collapsed="false">
      <c r="A31" s="13" t="n">
        <v>16</v>
      </c>
      <c r="B31" s="14" t="s">
        <v>54</v>
      </c>
      <c r="C31" s="7" t="s">
        <v>47</v>
      </c>
      <c r="D31" s="15" t="n">
        <v>0.0153</v>
      </c>
      <c r="E31" s="20" t="s">
        <v>48</v>
      </c>
      <c r="F31" s="17" t="s">
        <v>29</v>
      </c>
    </row>
    <row r="32" customFormat="false" ht="15" hidden="false" customHeight="false" outlineLevel="0" collapsed="false">
      <c r="A32" s="13" t="n">
        <v>17</v>
      </c>
      <c r="B32" s="14" t="s">
        <v>55</v>
      </c>
      <c r="C32" s="7" t="s">
        <v>50</v>
      </c>
      <c r="D32" s="15" t="n">
        <v>0.0086</v>
      </c>
      <c r="E32" s="20" t="s">
        <v>48</v>
      </c>
      <c r="F32" s="17" t="s">
        <v>29</v>
      </c>
    </row>
    <row r="33" customFormat="false" ht="15" hidden="false" customHeight="false" outlineLevel="0" collapsed="false">
      <c r="A33" s="13" t="n">
        <v>18</v>
      </c>
      <c r="B33" s="14" t="s">
        <v>56</v>
      </c>
      <c r="C33" s="7" t="s">
        <v>57</v>
      </c>
      <c r="D33" s="15" t="n">
        <v>0.0027</v>
      </c>
      <c r="E33" s="20" t="s">
        <v>48</v>
      </c>
      <c r="F33" s="17" t="s">
        <v>29</v>
      </c>
    </row>
    <row r="34" customFormat="false" ht="15" hidden="false" customHeight="false" outlineLevel="0" collapsed="false">
      <c r="A34" s="13" t="n">
        <v>19</v>
      </c>
      <c r="B34" s="14" t="s">
        <v>58</v>
      </c>
      <c r="C34" s="7" t="s">
        <v>59</v>
      </c>
      <c r="D34" s="15" t="n">
        <v>0.0006</v>
      </c>
      <c r="E34" s="20" t="s">
        <v>48</v>
      </c>
      <c r="F34" s="17" t="s">
        <v>29</v>
      </c>
    </row>
    <row r="35" customFormat="false" ht="15" hidden="false" customHeight="false" outlineLevel="0" collapsed="false">
      <c r="A35" s="21"/>
      <c r="B35" s="22" t="s">
        <v>60</v>
      </c>
      <c r="C35" s="21"/>
      <c r="D35" s="23" t="n">
        <f aca="false">SUM($D$16:$D$34)</f>
        <v>1</v>
      </c>
      <c r="E35" s="21"/>
      <c r="F35" s="22" t="str">
        <f aca="false">COUNTIF($F$16:$F$34,"KEEP")&amp;" keep  /  "&amp;COUNTIF($F$16:$F$34,"Exit / consolidate")&amp;" exit"</f>
        <v>7 keep  /  12 exit</v>
      </c>
    </row>
    <row r="37" customFormat="false" ht="15" hidden="false" customHeight="false" outlineLevel="0" collapsed="false">
      <c r="A37" s="4" t="s">
        <v>61</v>
      </c>
    </row>
    <row r="38" customFormat="false" ht="25.5" hidden="false" customHeight="true" outlineLevel="0" collapsed="false">
      <c r="A38" s="7"/>
      <c r="B38" s="8" t="s">
        <v>62</v>
      </c>
      <c r="C38" s="24" t="s">
        <v>63</v>
      </c>
      <c r="D38" s="24"/>
      <c r="E38" s="24"/>
      <c r="F38" s="24"/>
    </row>
    <row r="39" customFormat="false" ht="25.5" hidden="false" customHeight="true" outlineLevel="0" collapsed="false">
      <c r="A39" s="7"/>
      <c r="B39" s="8" t="s">
        <v>64</v>
      </c>
      <c r="C39" s="24" t="s">
        <v>65</v>
      </c>
      <c r="D39" s="24"/>
      <c r="E39" s="24"/>
      <c r="F39" s="24"/>
    </row>
    <row r="40" customFormat="false" ht="25.5" hidden="false" customHeight="true" outlineLevel="0" collapsed="false">
      <c r="A40" s="7"/>
      <c r="B40" s="8" t="s">
        <v>66</v>
      </c>
      <c r="C40" s="24" t="s">
        <v>67</v>
      </c>
      <c r="D40" s="24"/>
      <c r="E40" s="24"/>
      <c r="F40" s="24"/>
    </row>
    <row r="41" customFormat="false" ht="25.5" hidden="false" customHeight="true" outlineLevel="0" collapsed="false">
      <c r="A41" s="7"/>
      <c r="B41" s="8" t="s">
        <v>68</v>
      </c>
      <c r="C41" s="24" t="s">
        <v>69</v>
      </c>
      <c r="D41" s="24"/>
      <c r="E41" s="24"/>
      <c r="F41" s="24"/>
    </row>
    <row r="42" customFormat="false" ht="25.5" hidden="false" customHeight="true" outlineLevel="0" collapsed="false">
      <c r="A42" s="7"/>
      <c r="B42" s="8" t="s">
        <v>70</v>
      </c>
      <c r="C42" s="24" t="s">
        <v>71</v>
      </c>
      <c r="D42" s="24"/>
      <c r="E42" s="24"/>
      <c r="F42" s="24"/>
    </row>
    <row r="44" customFormat="false" ht="15" hidden="false" customHeight="false" outlineLevel="0" collapsed="false">
      <c r="A44" s="4" t="s">
        <v>72</v>
      </c>
    </row>
    <row r="45" customFormat="false" ht="19.5" hidden="false" customHeight="true" outlineLevel="0" collapsed="false">
      <c r="A45" s="25" t="s">
        <v>73</v>
      </c>
      <c r="B45" s="25"/>
      <c r="C45" s="25"/>
      <c r="D45" s="25"/>
      <c r="E45" s="25"/>
      <c r="F45" s="25"/>
    </row>
    <row r="46" customFormat="false" ht="19.5" hidden="false" customHeight="true" outlineLevel="0" collapsed="false">
      <c r="A46" s="25"/>
      <c r="B46" s="25"/>
      <c r="C46" s="25"/>
      <c r="D46" s="25"/>
      <c r="E46" s="25"/>
      <c r="F46" s="25"/>
    </row>
    <row r="48" customFormat="false" ht="15" hidden="false" customHeight="false" outlineLevel="0" collapsed="false">
      <c r="A48" s="4" t="s">
        <v>74</v>
      </c>
    </row>
    <row r="49" customFormat="false" ht="21.75" hidden="false" customHeight="true" outlineLevel="0" collapsed="false">
      <c r="A49" s="5"/>
      <c r="B49" s="6" t="s">
        <v>21</v>
      </c>
      <c r="C49" s="6" t="s">
        <v>75</v>
      </c>
      <c r="D49" s="5" t="s">
        <v>76</v>
      </c>
      <c r="E49" s="5" t="s">
        <v>77</v>
      </c>
      <c r="F49" s="5" t="s">
        <v>78</v>
      </c>
    </row>
    <row r="50" customFormat="false" ht="15" hidden="false" customHeight="false" outlineLevel="0" collapsed="false">
      <c r="A50" s="7"/>
      <c r="B50" s="14" t="s">
        <v>79</v>
      </c>
      <c r="C50" s="26" t="s">
        <v>80</v>
      </c>
      <c r="D50" s="15" t="n">
        <v>0.0247</v>
      </c>
      <c r="E50" s="27" t="n">
        <v>0.25</v>
      </c>
      <c r="F50" s="28" t="n">
        <f aca="false">$E50-$D50</f>
        <v>0.2253</v>
      </c>
    </row>
    <row r="51" customFormat="false" ht="15" hidden="false" customHeight="false" outlineLevel="0" collapsed="false">
      <c r="A51" s="7"/>
      <c r="B51" s="14" t="s">
        <v>81</v>
      </c>
      <c r="C51" s="26" t="s">
        <v>80</v>
      </c>
      <c r="D51" s="15" t="n">
        <v>0.0699</v>
      </c>
      <c r="E51" s="27" t="n">
        <v>0.2</v>
      </c>
      <c r="F51" s="28" t="n">
        <f aca="false">$E51-$D51</f>
        <v>0.1301</v>
      </c>
    </row>
    <row r="52" customFormat="false" ht="15" hidden="false" customHeight="false" outlineLevel="0" collapsed="false">
      <c r="A52" s="7"/>
      <c r="B52" s="14" t="s">
        <v>82</v>
      </c>
      <c r="C52" s="26" t="s">
        <v>80</v>
      </c>
      <c r="D52" s="15" t="n">
        <v>0.0572</v>
      </c>
      <c r="E52" s="27" t="n">
        <v>0.15</v>
      </c>
      <c r="F52" s="28" t="n">
        <f aca="false">$E52-$D52</f>
        <v>0.0928</v>
      </c>
    </row>
    <row r="53" customFormat="false" ht="15" hidden="false" customHeight="false" outlineLevel="0" collapsed="false">
      <c r="A53" s="7"/>
      <c r="B53" s="14" t="s">
        <v>83</v>
      </c>
      <c r="C53" s="26" t="s">
        <v>84</v>
      </c>
      <c r="D53" s="15" t="n">
        <v>0.0573</v>
      </c>
      <c r="E53" s="27" t="n">
        <v>0.15</v>
      </c>
      <c r="F53" s="28" t="n">
        <f aca="false">$E53-$D53</f>
        <v>0.0927</v>
      </c>
    </row>
    <row r="54" customFormat="false" ht="15" hidden="false" customHeight="false" outlineLevel="0" collapsed="false">
      <c r="A54" s="7"/>
      <c r="B54" s="14" t="s">
        <v>85</v>
      </c>
      <c r="C54" s="26" t="s">
        <v>84</v>
      </c>
      <c r="D54" s="15" t="n">
        <v>0.0561</v>
      </c>
      <c r="E54" s="27" t="n">
        <v>0.07</v>
      </c>
      <c r="F54" s="28" t="n">
        <f aca="false">$E54-$D54</f>
        <v>0.0139</v>
      </c>
    </row>
    <row r="55" customFormat="false" ht="15" hidden="false" customHeight="false" outlineLevel="0" collapsed="false">
      <c r="A55" s="7"/>
      <c r="B55" s="14" t="s">
        <v>86</v>
      </c>
      <c r="C55" s="26" t="s">
        <v>87</v>
      </c>
      <c r="D55" s="15" t="n">
        <v>0.1001</v>
      </c>
      <c r="E55" s="27" t="n">
        <v>0.1</v>
      </c>
      <c r="F55" s="28" t="n">
        <f aca="false">$E55-$D55</f>
        <v>-9.9999999999989E-005</v>
      </c>
    </row>
    <row r="56" customFormat="false" ht="15" hidden="false" customHeight="false" outlineLevel="0" collapsed="false">
      <c r="A56" s="7"/>
      <c r="B56" s="14" t="s">
        <v>88</v>
      </c>
      <c r="C56" s="26" t="s">
        <v>87</v>
      </c>
      <c r="D56" s="15" t="n">
        <v>0.029</v>
      </c>
      <c r="E56" s="27" t="n">
        <v>0.08</v>
      </c>
      <c r="F56" s="28" t="n">
        <f aca="false">$E56-$D56</f>
        <v>0.051</v>
      </c>
    </row>
    <row r="57" customFormat="false" ht="15" hidden="false" customHeight="false" outlineLevel="0" collapsed="false">
      <c r="A57" s="21"/>
      <c r="B57" s="22" t="s">
        <v>89</v>
      </c>
      <c r="C57" s="21"/>
      <c r="D57" s="23" t="n">
        <f aca="false">SUM(D50:D56)</f>
        <v>0.3943</v>
      </c>
      <c r="E57" s="29" t="n">
        <f aca="false">SUM(E50:E56)</f>
        <v>1</v>
      </c>
      <c r="F57" s="30" t="n">
        <f aca="false">$E57-$D57</f>
        <v>0.6057</v>
      </c>
    </row>
    <row r="59" customFormat="false" ht="19.5" hidden="false" customHeight="true" outlineLevel="0" collapsed="false">
      <c r="A59" s="31" t="s">
        <v>90</v>
      </c>
      <c r="B59" s="31"/>
      <c r="C59" s="31"/>
      <c r="D59" s="31"/>
      <c r="E59" s="31"/>
      <c r="F59" s="31"/>
    </row>
    <row r="60" customFormat="false" ht="19.5" hidden="false" customHeight="true" outlineLevel="0" collapsed="false">
      <c r="A60" s="31"/>
      <c r="B60" s="31"/>
      <c r="C60" s="31"/>
      <c r="D60" s="31"/>
      <c r="E60" s="31"/>
      <c r="F60" s="31"/>
    </row>
    <row r="62" customFormat="false" ht="18" hidden="false" customHeight="true" outlineLevel="0" collapsed="false">
      <c r="A62" s="32" t="s">
        <v>91</v>
      </c>
      <c r="B62" s="32"/>
      <c r="C62" s="32"/>
      <c r="D62" s="32"/>
      <c r="E62" s="32"/>
      <c r="F62" s="32"/>
    </row>
    <row r="63" customFormat="false" ht="18" hidden="false" customHeight="true" outlineLevel="0" collapsed="false">
      <c r="A63" s="32"/>
      <c r="B63" s="32"/>
      <c r="C63" s="32"/>
      <c r="D63" s="32"/>
      <c r="E63" s="32"/>
      <c r="F63" s="32"/>
    </row>
    <row r="64" customFormat="false" ht="18" hidden="false" customHeight="true" outlineLevel="0" collapsed="false">
      <c r="A64" s="32"/>
      <c r="B64" s="32"/>
      <c r="C64" s="32"/>
      <c r="D64" s="32"/>
      <c r="E64" s="32"/>
      <c r="F64" s="32"/>
    </row>
    <row r="66" customFormat="false" ht="18" hidden="false" customHeight="true" outlineLevel="0" collapsed="false">
      <c r="A66" s="33" t="s">
        <v>92</v>
      </c>
      <c r="B66" s="33"/>
      <c r="C66" s="33"/>
      <c r="D66" s="33"/>
      <c r="E66" s="33"/>
      <c r="F66" s="33"/>
    </row>
    <row r="67" customFormat="false" ht="18" hidden="false" customHeight="true" outlineLevel="0" collapsed="false">
      <c r="A67" s="33"/>
      <c r="B67" s="33"/>
      <c r="C67" s="33"/>
      <c r="D67" s="33"/>
      <c r="E67" s="33"/>
      <c r="F67" s="33"/>
    </row>
  </sheetData>
  <mergeCells count="13">
    <mergeCell ref="A1:F1"/>
    <mergeCell ref="A2:F2"/>
    <mergeCell ref="A4:F5"/>
    <mergeCell ref="A14:F14"/>
    <mergeCell ref="C38:F38"/>
    <mergeCell ref="C39:F39"/>
    <mergeCell ref="C40:F40"/>
    <mergeCell ref="C41:F41"/>
    <mergeCell ref="C42:F42"/>
    <mergeCell ref="A45:F46"/>
    <mergeCell ref="A59:F60"/>
    <mergeCell ref="A62:F64"/>
    <mergeCell ref="A66:F67"/>
  </mergeCells>
  <conditionalFormatting sqref="D16:D34">
    <cfRule type="dataBar" priority="2">
      <dataBar showValue="1" minLength="10" maxLength="90">
        <cfvo type="num" val="0"/>
        <cfvo type="num" val="0.16"/>
        <color rgb="FFA6362C"/>
      </dataBar>
      <extLst>
        <ext xmlns:x14="http://schemas.microsoft.com/office/spreadsheetml/2009/9/main" uri="{B025F937-C7B1-47D3-B67F-A62EFF666E3E}">
          <x14:id>{9278F3B1-BC6C-4866-B657-D24821535F73}</x14:id>
        </ext>
      </extLst>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278F3B1-BC6C-4866-B657-D24821535F73}">
            <x14:dataBar minLength="10" maxLength="90" axisPosition="none" gradient="true">
              <x14:cfvo type="num">
                <xm:f>0</xm:f>
              </x14:cfvo>
              <x14:cfvo type="num">
                <xm:f>0.16</xm:f>
              </x14:cfvo>
              <x14:negativeFillColor rgb="FFA6362C"/>
              <x14:axisColor rgb="FF000000"/>
            </x14:dataBar>
          </x14:cfRule>
          <xm:sqref>D16:D34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2026-09-04T05:52:37Z</dcterms:created>
  <dc:creator>openpyxl</dc:creator>
  <dc:description/>
  <dc:language>en-US</dc:language>
  <cp:lastModifiedBy/>
  <dcterms:modified xsi:type="dcterms:W3CDTF">2026-09-04T05:52:37Z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