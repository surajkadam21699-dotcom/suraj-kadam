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oldings" sheetId="2" state="visible" r:id="rId2"/>
    <sheet name="Category" sheetId="3" state="visible" r:id="rId3"/>
    <sheet name="Proposed Portfolio" sheetId="4" state="visible" r:id="rId4"/>
    <sheet name="Action Plan" sheetId="5" state="visible" r:id="rId5"/>
  </sheets>
  <definedNames>
    <definedName name="_xlnm._FilterDatabase" localSheetId="1" hidden="1">'Holdings'!$A$4:$I$23</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00%);-"/>
    <numFmt numFmtId="167" formatCode="+0.00%;-0.00%;-"/>
    <numFmt numFmtId="168" formatCode="0%;(0%);-"/>
  </numFmts>
  <fonts count="12">
    <font>
      <name val="Calibri"/>
      <family val="2"/>
      <color theme="1"/>
      <sz val="11"/>
      <scheme val="minor"/>
    </font>
    <font>
      <name val="Arial"/>
      <b val="1"/>
      <color rgb="00FFFFFF"/>
      <sz val="13"/>
    </font>
    <font>
      <name val="Arial"/>
      <i val="1"/>
      <color rgb="00404040"/>
      <sz val="9"/>
    </font>
    <font>
      <name val="Arial"/>
      <b val="1"/>
      <color rgb="001F3864"/>
      <sz val="11"/>
    </font>
    <font>
      <name val="Arial"/>
      <b val="1"/>
      <color rgb="00FFFFFF"/>
      <sz val="10"/>
    </font>
    <font>
      <name val="Arial"/>
      <b val="1"/>
      <sz val="10"/>
    </font>
    <font>
      <name val="Arial"/>
      <color rgb="000000FF"/>
      <sz val="10"/>
    </font>
    <font>
      <name val="Arial"/>
      <color rgb="00000000"/>
      <sz val="10"/>
    </font>
    <font>
      <name val="Arial"/>
      <sz val="10"/>
    </font>
    <font>
      <name val="Arial"/>
      <color rgb="009C0006"/>
      <sz val="10"/>
    </font>
    <font>
      <name val="Arial"/>
      <color rgb="009C5700"/>
      <sz val="10"/>
    </font>
    <font>
      <name val="Arial"/>
      <color rgb="00006100"/>
      <sz val="10"/>
    </font>
  </fonts>
  <fills count="9">
    <fill>
      <patternFill/>
    </fill>
    <fill>
      <patternFill patternType="gray125"/>
    </fill>
    <fill>
      <patternFill patternType="solid">
        <fgColor rgb="001F3864"/>
      </patternFill>
    </fill>
    <fill>
      <patternFill patternType="solid">
        <fgColor rgb="00F2F2F2"/>
      </patternFill>
    </fill>
    <fill>
      <patternFill patternType="solid">
        <fgColor rgb="002E75B6"/>
      </patternFill>
    </fill>
    <fill>
      <patternFill patternType="solid">
        <fgColor rgb="00FFC7CE"/>
      </patternFill>
    </fill>
    <fill>
      <patternFill patternType="solid">
        <fgColor rgb="00FFEB9C"/>
      </patternFill>
    </fill>
    <fill>
      <patternFill patternType="solid">
        <fgColor rgb="00FFF2CC"/>
      </patternFill>
    </fill>
    <fill>
      <patternFill patternType="solid">
        <fgColor rgb="00C6EF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0" borderId="0" pivotButton="0" quotePrefix="0" xfId="0"/>
    <xf numFmtId="0" fontId="4" fillId="4" borderId="1" applyAlignment="1" pivotButton="0" quotePrefix="0" xfId="0">
      <alignment horizontal="center" vertical="center"/>
    </xf>
    <xf numFmtId="0" fontId="5" fillId="0" borderId="1" pivotButton="0" quotePrefix="0" xfId="0"/>
    <xf numFmtId="164" fontId="6" fillId="0" borderId="1" applyAlignment="1" pivotButton="0" quotePrefix="0" xfId="0">
      <alignment horizontal="center" vertical="center"/>
    </xf>
    <xf numFmtId="164" fontId="7" fillId="0" borderId="1" applyAlignment="1" pivotButton="0" quotePrefix="0" xfId="0">
      <alignment horizontal="center" vertical="center"/>
    </xf>
    <xf numFmtId="165" fontId="7" fillId="0" borderId="1" applyAlignment="1" pivotButton="0" quotePrefix="0" xfId="0">
      <alignment horizontal="center" vertical="center"/>
    </xf>
    <xf numFmtId="0" fontId="8" fillId="0" borderId="1" applyAlignment="1" pivotButton="0" quotePrefix="0" xfId="0">
      <alignment vertical="center" wrapText="1"/>
    </xf>
    <xf numFmtId="166" fontId="6" fillId="0" borderId="1" applyAlignment="1" pivotButton="0" quotePrefix="0" xfId="0">
      <alignment horizontal="center" vertical="center"/>
    </xf>
    <xf numFmtId="166" fontId="7" fillId="0" borderId="1" applyAlignment="1" pivotButton="0" quotePrefix="0" xfId="0">
      <alignment horizontal="center" vertical="center"/>
    </xf>
    <xf numFmtId="167" fontId="7" fillId="0" borderId="1" applyAlignment="1" pivotButton="0" quotePrefix="0" xfId="0">
      <alignment horizontal="center" vertical="center"/>
    </xf>
    <xf numFmtId="0" fontId="9" fillId="5" borderId="1" applyAlignment="1" pivotButton="0" quotePrefix="0" xfId="0">
      <alignment vertical="center" wrapText="1"/>
    </xf>
    <xf numFmtId="0" fontId="4" fillId="4" borderId="1" pivotButton="0" quotePrefix="0" xfId="0"/>
    <xf numFmtId="0" fontId="0" fillId="0" borderId="4" pivotButton="0" quotePrefix="0" xfId="0"/>
    <xf numFmtId="0" fontId="0" fillId="0" borderId="5" pivotButton="0" quotePrefix="0" xfId="0"/>
    <xf numFmtId="0" fontId="8" fillId="0" borderId="1" applyAlignment="1" pivotButton="0" quotePrefix="0" xfId="0">
      <alignment horizontal="center" vertical="center"/>
    </xf>
    <xf numFmtId="0" fontId="9" fillId="5" borderId="1" applyAlignment="1" pivotButton="0" quotePrefix="0" xfId="0">
      <alignment horizontal="center" vertical="center"/>
    </xf>
    <xf numFmtId="0" fontId="9" fillId="5" borderId="1" pivotButton="0" quotePrefix="0" xfId="0"/>
    <xf numFmtId="0" fontId="10" fillId="6" borderId="1" pivotButton="0" quotePrefix="0" xfId="0"/>
    <xf numFmtId="0" fontId="8" fillId="7" borderId="1" pivotButton="0" quotePrefix="0" xfId="0"/>
    <xf numFmtId="0" fontId="2" fillId="7" borderId="1" applyAlignment="1" pivotButton="0" quotePrefix="0" xfId="0">
      <alignment vertical="center" wrapText="1"/>
    </xf>
    <xf numFmtId="0" fontId="4" fillId="4" borderId="1" applyAlignment="1" pivotButton="0" quotePrefix="0" xfId="0">
      <alignment horizontal="center" vertical="center" wrapText="1"/>
    </xf>
    <xf numFmtId="164" fontId="8" fillId="0" borderId="1" applyAlignment="1" pivotButton="0" quotePrefix="0" xfId="0">
      <alignment horizontal="center" vertical="center"/>
    </xf>
    <xf numFmtId="0" fontId="6" fillId="0" borderId="1" pivotButton="0" quotePrefix="0" xfId="0"/>
    <xf numFmtId="0" fontId="8" fillId="0" borderId="1" pivotButton="0" quotePrefix="0" xfId="0"/>
    <xf numFmtId="168" fontId="6" fillId="0" borderId="1" applyAlignment="1" pivotButton="0" quotePrefix="0" xfId="0">
      <alignment horizontal="center" vertical="center"/>
    </xf>
    <xf numFmtId="0" fontId="11" fillId="8" borderId="1" applyAlignment="1" pivotButton="0" quotePrefix="0" xfId="0">
      <alignment horizontal="center" vertical="center"/>
    </xf>
    <xf numFmtId="0" fontId="10" fillId="6" borderId="1" applyAlignment="1" pivotButton="0" quotePrefix="0" xfId="0">
      <alignment horizontal="center" vertical="center"/>
    </xf>
    <xf numFmtId="0" fontId="8" fillId="2" borderId="1" pivotButton="0" quotePrefix="0" xfId="0"/>
    <xf numFmtId="0" fontId="4" fillId="2" borderId="1" pivotButton="0" quotePrefix="0" xfId="0"/>
    <xf numFmtId="166" fontId="4" fillId="2" borderId="1" applyAlignment="1" pivotButton="0" quotePrefix="0" xfId="0">
      <alignment horizontal="center" vertical="center"/>
    </xf>
    <xf numFmtId="0" fontId="4" fillId="2" borderId="1" applyAlignment="1" pivotButton="0" quotePrefix="0" xfId="0">
      <alignment horizontal="center" vertical="center"/>
    </xf>
    <xf numFmtId="168" fontId="4" fillId="2" borderId="1" applyAlignment="1" pivotButton="0" quotePrefix="0" xfId="0">
      <alignment horizontal="center" vertical="center"/>
    </xf>
    <xf numFmtId="164" fontId="4" fillId="2" borderId="1" applyAlignment="1" pivotButton="0" quotePrefix="0" xfId="0">
      <alignment horizontal="center" vertical="center"/>
    </xf>
    <xf numFmtId="0" fontId="2" fillId="0" borderId="1" applyAlignment="1" pivotButton="0" quotePrefix="0" xfId="0">
      <alignment vertical="center" wrapText="1"/>
    </xf>
    <xf numFmtId="0" fontId="8" fillId="3" borderId="1" pivotButton="0" quotePrefix="0" xfId="0"/>
    <xf numFmtId="0" fontId="5" fillId="3" borderId="1" pivotButton="0" quotePrefix="0" xfId="0"/>
    <xf numFmtId="166" fontId="5" fillId="3" borderId="1" applyAlignment="1" pivotButton="0" quotePrefix="0" xfId="0">
      <alignment horizontal="center" vertical="center"/>
    </xf>
    <xf numFmtId="168" fontId="5" fillId="3" borderId="1" applyAlignment="1" pivotButton="0" quotePrefix="0" xfId="0">
      <alignment horizontal="center" vertical="center"/>
    </xf>
    <xf numFmtId="167" fontId="5" fillId="3" borderId="1" applyAlignment="1" pivotButton="0" quotePrefix="0" xfId="0">
      <alignment horizontal="center" vertical="center"/>
    </xf>
    <xf numFmtId="0" fontId="2" fillId="3" borderId="1" pivotButton="0" quotePrefix="0" xfId="0"/>
    <xf numFmtId="167" fontId="4" fillId="2" borderId="1" applyAlignment="1" pivotButton="0" quotePrefix="0" xfId="0">
      <alignment horizontal="center" vertical="center"/>
    </xf>
    <xf numFmtId="0" fontId="6" fillId="0"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Allocation by category (computed)</a:t>
            </a:r>
          </a:p>
        </rich>
      </tx>
    </title>
    <plotArea>
      <barChart>
        <barDir val="bar"/>
        <grouping val="clustered"/>
        <ser>
          <idx val="0"/>
          <order val="0"/>
          <tx>
            <strRef>
              <f>'Category'!C5</f>
            </strRef>
          </tx>
          <spPr>
            <a:ln>
              <a:prstDash val="solid"/>
            </a:ln>
          </spPr>
          <cat>
            <strRef>
              <f>'Category'!$A$6:$A$15</f>
            </strRef>
          </cat>
          <val>
            <numRef>
              <f>'Category'!$C$6:$C$15</f>
            </numRef>
          </val>
        </ser>
        <gapWidth val="150"/>
        <axId val="10"/>
        <axId val="100"/>
      </barChart>
      <catAx>
        <axId val="10"/>
        <scaling>
          <orientation val="minMax"/>
        </scaling>
        <delete val="0"/>
        <axPos val="l"/>
        <majorTickMark val="out"/>
        <minorTickMark val="none"/>
        <crossAx val="100"/>
        <lblOffset val="100"/>
      </catAx>
      <valAx>
        <axId val="100"/>
        <scaling>
          <orientation val="minMax"/>
        </scaling>
        <delete val="0"/>
        <axPos val="b"/>
        <majorGridlines/>
        <majorTickMark val="out"/>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4</row>
      <rowOff>0</rowOff>
    </from>
    <ext cx="46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48"/>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62" customWidth="1" min="5" max="5"/>
  </cols>
  <sheetData>
    <row r="1" ht="26" customHeight="1">
      <c r="A1" s="1" t="inlineStr">
        <is>
          <t>PORTFOLIO FUND ANALYSIS REPORT</t>
        </is>
      </c>
    </row>
    <row r="2" ht="16" customHeight="1">
      <c r="A2" s="2" t="inlineStr">
        <is>
          <t>Converted from the 9-page PDF dated 2 September 2026. Blue figures are read off the report; black figures are computed here from the Holdings sheet.</t>
        </is>
      </c>
    </row>
    <row r="4">
      <c r="A4" s="3" t="inlineStr">
        <is>
          <t>HEADLINE NUMBERS</t>
        </is>
      </c>
    </row>
    <row r="5">
      <c r="A5" s="4" t="inlineStr">
        <is>
          <t>Metric</t>
        </is>
      </c>
      <c r="B5" s="4" t="inlineStr">
        <is>
          <t>As stated</t>
        </is>
      </c>
      <c r="C5" s="4" t="inlineStr">
        <is>
          <t>Computed</t>
        </is>
      </c>
      <c r="D5" s="4" t="inlineStr">
        <is>
          <t>Difference</t>
        </is>
      </c>
      <c r="E5" s="4" t="inlineStr">
        <is>
          <t>Comment</t>
        </is>
      </c>
    </row>
    <row r="6" ht="24" customHeight="1">
      <c r="A6" s="5" t="inlineStr">
        <is>
          <t>Total funds</t>
        </is>
      </c>
      <c r="B6" s="6" t="n">
        <v>19</v>
      </c>
      <c r="C6" s="7">
        <f>COUNTA(Holdings!$B$5:$B$23)</f>
        <v/>
      </c>
      <c r="D6" s="8">
        <f>$C6-$B6</f>
        <v/>
      </c>
      <c r="E6" s="9" t="inlineStr">
        <is>
          <t>Matches.</t>
        </is>
      </c>
    </row>
    <row r="7" ht="24" customHeight="1">
      <c r="A7" s="5" t="inlineStr">
        <is>
          <t>Top fund holding</t>
        </is>
      </c>
      <c r="B7" s="10" t="n">
        <v>0.1519</v>
      </c>
      <c r="C7" s="11">
        <f>LARGE((Holdings!$D$5:$D$23),1)</f>
        <v/>
      </c>
      <c r="D7" s="12">
        <f>$C7-$B7</f>
        <v/>
      </c>
      <c r="E7" s="9" t="inlineStr">
        <is>
          <t>TRUSTMF Small Cap. Matches.</t>
        </is>
      </c>
    </row>
    <row r="8" ht="24" customHeight="1">
      <c r="A8" s="5" t="inlineStr">
        <is>
          <t>Top 3 funds</t>
        </is>
      </c>
      <c r="B8" s="10" t="n">
        <v>0.3616</v>
      </c>
      <c r="C8" s="11">
        <f>LARGE((Holdings!$D$5:$D$23),1)+LARGE((Holdings!$D$5:$D$23),2)+LARGE((Holdings!$D$5:$D$23),3)</f>
        <v/>
      </c>
      <c r="D8" s="12">
        <f>$C8-$B8</f>
        <v/>
      </c>
      <c r="E8" s="9" t="inlineStr">
        <is>
          <t>Report states 36.16%; the three largest holdings add to 37.16%.</t>
        </is>
      </c>
    </row>
    <row r="9" ht="24" customHeight="1">
      <c r="A9" s="5" t="inlineStr">
        <is>
          <t>Top 5 funds</t>
        </is>
      </c>
      <c r="B9" s="10" t="n">
        <v>0.4817</v>
      </c>
      <c r="C9" s="11">
        <f>LARGE((Holdings!$D$5:$D$23),1)+LARGE((Holdings!$D$5:$D$23),2)+LARGE((Holdings!$D$5:$D$23),3)+LARGE((Holdings!$D$5:$D$23),4)+LARGE((Holdings!$D$5:$D$23),5)</f>
        <v/>
      </c>
      <c r="D9" s="12">
        <f>$C9-$B9</f>
        <v/>
      </c>
      <c r="E9" s="9" t="inlineStr">
        <is>
          <t>Report states 48.17%; the five largest holdings add to 54.16%.</t>
        </is>
      </c>
    </row>
    <row r="10" ht="24" customHeight="1">
      <c r="A10" s="5" t="inlineStr">
        <is>
          <t>Allocation total</t>
        </is>
      </c>
      <c r="B10" s="10" t="n">
        <v>1</v>
      </c>
      <c r="C10" s="11">
        <f>SUM(Holdings!$D$5:$D$23)</f>
        <v/>
      </c>
      <c r="D10" s="12">
        <f>$C10-$B10</f>
        <v/>
      </c>
      <c r="E10" s="9" t="inlineStr">
        <is>
          <t>The 19 printed allocations sum to exactly 100%.</t>
        </is>
      </c>
    </row>
    <row r="11" ht="24" customHeight="1">
      <c r="A11" s="5" t="inlineStr">
        <is>
          <t>Funds kept in target</t>
        </is>
      </c>
      <c r="B11" s="6" t="n">
        <v>7</v>
      </c>
      <c r="C11" s="7">
        <f>COUNTIF(Holdings!$G$5:$G$23,"KEEP")</f>
        <v/>
      </c>
      <c r="D11" s="8">
        <f>$C11-$B11</f>
        <v/>
      </c>
      <c r="E11" s="9" t="inlineStr">
        <is>
          <t>Matches the 7-fund proposed portfolio.</t>
        </is>
      </c>
    </row>
    <row r="12" ht="24" customHeight="1">
      <c r="A12" s="5" t="inlineStr">
        <is>
          <t>Funds exited</t>
        </is>
      </c>
      <c r="B12" s="6" t="n">
        <v>12</v>
      </c>
      <c r="C12" s="7">
        <f>COUNTIF(Holdings!$G$5:$G$23,"EXIT")</f>
        <v/>
      </c>
      <c r="D12" s="8">
        <f>$C12-$B12</f>
        <v/>
      </c>
      <c r="E12" s="9" t="inlineStr">
        <is>
          <t>Matches the report's "12 redundant funds".</t>
        </is>
      </c>
    </row>
    <row r="14">
      <c r="A14" s="3" t="inlineStr">
        <is>
          <t>CRITICAL ISSUE  (as printed)</t>
        </is>
      </c>
    </row>
    <row r="15">
      <c r="A15" s="13" t="inlineStr">
        <is>
          <t>Your portfolio shows severe concentration risk with the top 3 funds controlling 36.16% of your portfolio. This creates unnecessary risk and limits diversification benefits.</t>
        </is>
      </c>
    </row>
    <row r="16"/>
    <row r="18">
      <c r="A18" s="3" t="inlineStr">
        <is>
          <t>KEY FINDINGS &amp; ISSUES</t>
        </is>
      </c>
    </row>
    <row r="19">
      <c r="A19" s="14" t="inlineStr">
        <is>
          <t>Finding</t>
        </is>
      </c>
      <c r="B19" s="15" t="n"/>
      <c r="C19" s="15" t="n"/>
      <c r="D19" s="16" t="n"/>
      <c r="E19" s="14" t="inlineStr">
        <is>
          <t>Detail</t>
        </is>
      </c>
    </row>
    <row r="20" ht="26" customHeight="1">
      <c r="A20" s="5" t="inlineStr">
        <is>
          <t>Extreme Concentration Risk</t>
        </is>
      </c>
      <c r="E20" s="9" t="inlineStr">
        <is>
          <t>Top 3 funds = 36.16% of portfolio. Recommended maximum is 10-12% per fund.</t>
        </is>
      </c>
    </row>
    <row r="21" ht="26" customHeight="1">
      <c r="A21" s="5" t="inlineStr">
        <is>
          <t>Thematic Overlap</t>
        </is>
      </c>
      <c r="E21" s="9" t="inlineStr">
        <is>
          <t>26% of portfolio in Business Cycle funds (2 different funds with similar strategy).</t>
        </is>
      </c>
    </row>
    <row r="22" ht="26" customHeight="1">
      <c r="A22" s="5" t="inlineStr">
        <is>
          <t>Flexi Cap Redundancy</t>
        </is>
      </c>
      <c r="E22" s="9" t="inlineStr">
        <is>
          <t>4 Flexi Cap funds doing similar work, fragmenting capital across overlapping strategies.</t>
        </is>
      </c>
    </row>
    <row r="23" ht="26" customHeight="1">
      <c r="A23" s="5" t="inlineStr">
        <is>
          <t>Tail End Holdings</t>
        </is>
      </c>
      <c r="E23" s="9" t="inlineStr">
        <is>
          <t>4 funds below 1% allocation (essentially dead weight from a portfolio perspective).</t>
        </is>
      </c>
    </row>
    <row r="24" ht="26" customHeight="1">
      <c r="A24" s="5" t="inlineStr">
        <is>
          <t>Fee Inefficiency</t>
        </is>
      </c>
      <c r="E24" s="9" t="inlineStr">
        <is>
          <t>Managing 19 funds creates higher administrative burden and fee drag from lower-quality holdings.</t>
        </is>
      </c>
    </row>
    <row r="25" ht="26" customHeight="1">
      <c r="A25" s="5" t="inlineStr">
        <is>
          <t>Diversification Problem</t>
        </is>
      </c>
      <c r="E25" s="9" t="inlineStr">
        <is>
          <t>You have 19 funds but lack true diversification - too concentrated in small cap and thematic bets.</t>
        </is>
      </c>
    </row>
    <row r="27">
      <c r="A27" s="3" t="inlineStr">
        <is>
          <t>CONCENTRATION RISK  (report's own limits)</t>
        </is>
      </c>
    </row>
    <row r="28">
      <c r="A28" s="4" t="inlineStr">
        <is>
          <t>Level</t>
        </is>
      </c>
      <c r="B28" s="4" t="inlineStr">
        <is>
          <t>Stated</t>
        </is>
      </c>
      <c r="C28" s="4" t="inlineStr">
        <is>
          <t>Computed</t>
        </is>
      </c>
      <c r="D28" s="4" t="inlineStr">
        <is>
          <t>Limit</t>
        </is>
      </c>
      <c r="E28" s="4" t="inlineStr">
        <is>
          <t>Verdict</t>
        </is>
      </c>
    </row>
    <row r="29">
      <c r="A29" s="5" t="inlineStr">
        <is>
          <t>Top 1 fund</t>
        </is>
      </c>
      <c r="B29" s="10" t="n">
        <v>0.1519</v>
      </c>
      <c r="C29" s="11">
        <f>LARGE((Holdings!$D$5:$D$23),1)</f>
        <v/>
      </c>
      <c r="D29" s="17" t="inlineStr">
        <is>
          <t>max 10-12%</t>
        </is>
      </c>
      <c r="E29" s="18">
        <f>IF($C29&gt;0.12,"OVER by "&amp;TEXT($C29-0.12,"0.00%"),"Within limit")</f>
        <v/>
      </c>
    </row>
    <row r="30">
      <c r="A30" s="5" t="inlineStr">
        <is>
          <t>Top 3 funds</t>
        </is>
      </c>
      <c r="B30" s="10" t="n">
        <v>0.3616</v>
      </c>
      <c r="C30" s="11">
        <f>LARGE((Holdings!$D$5:$D$23),1)+LARGE((Holdings!$D$5:$D$23),2)+LARGE((Holdings!$D$5:$D$23),3)</f>
        <v/>
      </c>
      <c r="D30" s="17" t="inlineStr">
        <is>
          <t>max 25-30%</t>
        </is>
      </c>
      <c r="E30" s="18">
        <f>IF($C30&gt;0.3,"OVER by "&amp;TEXT($C30-0.3,"0.00%"),"Within limit")</f>
        <v/>
      </c>
    </row>
    <row r="31">
      <c r="A31" s="5" t="inlineStr">
        <is>
          <t>Top 5 funds</t>
        </is>
      </c>
      <c r="B31" s="10" t="n">
        <v>0.4817</v>
      </c>
      <c r="C31" s="11">
        <f>LARGE((Holdings!$D$5:$D$23),1)+LARGE((Holdings!$D$5:$D$23),2)+LARGE((Holdings!$D$5:$D$23),3)+LARGE((Holdings!$D$5:$D$23),4)+LARGE((Holdings!$D$5:$D$23),5)</f>
        <v/>
      </c>
      <c r="D31" s="17" t="inlineStr">
        <is>
          <t>healthy 40-45%</t>
        </is>
      </c>
      <c r="E31" s="18">
        <f>IF($C31&gt;0.45,"OVER by "&amp;TEXT($C31-0.45,"0.00%"),"Within limit")</f>
        <v/>
      </c>
    </row>
    <row r="33">
      <c r="A33" s="3" t="inlineStr">
        <is>
          <t>FUNDS REQUIRING IMMEDIATE ATTENTION</t>
        </is>
      </c>
    </row>
    <row r="34">
      <c r="A34" s="4" t="inlineStr">
        <is>
          <t>Issue</t>
        </is>
      </c>
      <c r="B34" s="4" t="inlineStr">
        <is>
          <t>Fund</t>
        </is>
      </c>
      <c r="C34" s="16" t="n"/>
      <c r="D34" s="4" t="inlineStr">
        <is>
          <t>Allocation</t>
        </is>
      </c>
      <c r="E34" s="4" t="inlineStr">
        <is>
          <t>Report's comment</t>
        </is>
      </c>
    </row>
    <row r="35" ht="26" customHeight="1">
      <c r="A35" s="19" t="inlineStr">
        <is>
          <t>Over-Allocated (&gt;10%)</t>
        </is>
      </c>
      <c r="B35" s="5" t="inlineStr">
        <is>
          <t>TRUSTMF Small Cap Fund</t>
        </is>
      </c>
      <c r="D35" s="10" t="n">
        <v>0.1519</v>
      </c>
      <c r="E35" s="9" t="inlineStr">
        <is>
          <t>Concentration risk. Best 1Y returns but questionable as largest holding.</t>
        </is>
      </c>
    </row>
    <row r="36" ht="26" customHeight="1">
      <c r="A36" s="19" t="inlineStr">
        <is>
          <t>Over-Allocated (&gt;10%)</t>
        </is>
      </c>
      <c r="B36" s="5" t="inlineStr">
        <is>
          <t>Aditya Birla SL Quant Fund</t>
        </is>
      </c>
      <c r="D36" s="10" t="n">
        <v>0.1132</v>
      </c>
      <c r="E36" s="9" t="inlineStr">
        <is>
          <t>Adequate holding but not a "core" fund in most portfolios.</t>
        </is>
      </c>
    </row>
    <row r="37" ht="26" customHeight="1">
      <c r="A37" s="19" t="inlineStr">
        <is>
          <t>Over-Allocated (&gt;10%)</t>
        </is>
      </c>
      <c r="B37" s="5" t="inlineStr">
        <is>
          <t>Bandhan Business Cycle Fund</t>
        </is>
      </c>
      <c r="D37" s="10" t="n">
        <v>0.1065</v>
      </c>
      <c r="E37" s="9" t="inlineStr">
        <is>
          <t>Thematic bet taking up excessive space.</t>
        </is>
      </c>
    </row>
    <row r="38" ht="26" customHeight="1">
      <c r="A38" s="19" t="inlineStr">
        <is>
          <t>Over-Allocated (&gt;10%)</t>
        </is>
      </c>
      <c r="B38" s="5" t="inlineStr">
        <is>
          <t>Tata Business Cycle Fund</t>
        </is>
      </c>
      <c r="D38" s="10" t="n">
        <v>0.1001</v>
      </c>
      <c r="E38" s="9" t="inlineStr">
        <is>
          <t>Duplicate thematic exposure with Bandhan BC Fund.</t>
        </is>
      </c>
    </row>
    <row r="39" ht="26" customHeight="1">
      <c r="A39" s="20" t="inlineStr">
        <is>
          <t>Micro-Position (&lt;1%)</t>
        </is>
      </c>
      <c r="B39" s="5" t="inlineStr">
        <is>
          <t>TRUSTMF Money Market Fund</t>
        </is>
      </c>
      <c r="D39" s="10" t="n">
        <v>0.0027</v>
      </c>
      <c r="E39" s="9" t="inlineStr">
        <is>
          <t>Too small to matter, creates tracking burden.</t>
        </is>
      </c>
    </row>
    <row r="40" ht="26" customHeight="1">
      <c r="A40" s="20" t="inlineStr">
        <is>
          <t>Micro-Position (&lt;1%)</t>
        </is>
      </c>
      <c r="B40" s="5" t="inlineStr">
        <is>
          <t>Mahindra Manulife Value Fund</t>
        </is>
      </c>
      <c r="D40" s="10" t="n">
        <v>0.0005999999999999999</v>
      </c>
      <c r="E40" s="9" t="inlineStr">
        <is>
          <t>Essentially negligible, not even a rounding error.</t>
        </is>
      </c>
    </row>
    <row r="41" ht="26" customHeight="1">
      <c r="A41" s="21" t="inlineStr">
        <is>
          <t>Redundant</t>
        </is>
      </c>
      <c r="B41" s="5" t="inlineStr">
        <is>
          <t>4 Flexi Cap Funds</t>
        </is>
      </c>
      <c r="D41" s="10" t="n">
        <v>0.1121</v>
      </c>
      <c r="E41" s="9" t="inlineStr">
        <is>
          <t>Aditya Birla SL (2.47%), TRUSTMF (4.51%), Bandhan (2.70%), MM (1.53%) across overlapping strategies.</t>
        </is>
      </c>
    </row>
    <row r="42" ht="26" customHeight="1">
      <c r="A42" s="21" t="inlineStr">
        <is>
          <t>Redundant</t>
        </is>
      </c>
      <c r="B42" s="5" t="inlineStr">
        <is>
          <t>2 Business Cycle Funds</t>
        </is>
      </c>
      <c r="D42" s="10" t="n">
        <v>0.2066</v>
      </c>
      <c r="E42" s="9" t="inlineStr">
        <is>
          <t>Bandhan (10.65%) + Tata (10.01%) in the same thematic bet.</t>
        </is>
      </c>
    </row>
    <row r="43" ht="26" customHeight="1">
      <c r="A43" s="21" t="inlineStr">
        <is>
          <t>Redundant</t>
        </is>
      </c>
      <c r="B43" s="5" t="inlineStr">
        <is>
          <t>Small Cap Duplication</t>
        </is>
      </c>
      <c r="D43" s="10" t="n">
        <v>0.2091</v>
      </c>
      <c r="E43" s="9" t="inlineStr">
        <is>
          <t>TRUSTMF (15.19%) + MM Small Cap (5.72%) concentrated in small-cap segment.</t>
        </is>
      </c>
    </row>
    <row r="45">
      <c r="A45" s="3" t="inlineStr">
        <is>
          <t>NOTE ON THE SOURCE</t>
        </is>
      </c>
    </row>
    <row r="46">
      <c r="A46" s="22" t="inlineStr">
        <is>
          <t>The PDF is a scan with no text layer, so every figure here was read off the rendered pages rather than extracted. Three of the report's own headline percentages do not reconcile against its 19-fund table: top 3 (36.16% stated vs 37.16% computed), top 5 (48.17% vs 54.16%) and Small Cap (26.90% stated vs 20.91% for the two small-cap funds, which is the figure the report itself uses on its own page 5). The stated figures are kept in the "As stated" column and nothing has been silently corrected - check them against the source data before acting.</t>
        </is>
      </c>
    </row>
    <row r="47"/>
    <row r="48"/>
  </sheetData>
  <mergeCells count="21">
    <mergeCell ref="A23:D23"/>
    <mergeCell ref="A22:D22"/>
    <mergeCell ref="A20:D20"/>
    <mergeCell ref="A1:E1"/>
    <mergeCell ref="A19:D19"/>
    <mergeCell ref="B43:C43"/>
    <mergeCell ref="B39:C39"/>
    <mergeCell ref="B42:C42"/>
    <mergeCell ref="A24:D24"/>
    <mergeCell ref="B38:C38"/>
    <mergeCell ref="A2:E2"/>
    <mergeCell ref="A46:E48"/>
    <mergeCell ref="B34:C34"/>
    <mergeCell ref="A15:E16"/>
    <mergeCell ref="B37:C37"/>
    <mergeCell ref="A25:D25"/>
    <mergeCell ref="B40:C40"/>
    <mergeCell ref="A21:D21"/>
    <mergeCell ref="B36:C36"/>
    <mergeCell ref="B41:C41"/>
    <mergeCell ref="B35:C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18" customWidth="1" min="3" max="3"/>
    <col width="13" customWidth="1" min="4" max="4"/>
    <col width="20" customWidth="1" min="5" max="5"/>
    <col width="14" customWidth="1" min="6" max="6"/>
    <col width="13" customWidth="1" min="7" max="7"/>
    <col width="12" customWidth="1" min="8" max="8"/>
    <col width="12" customWidth="1" min="9" max="9"/>
  </cols>
  <sheetData>
    <row r="1" ht="26" customHeight="1">
      <c r="A1" s="1" t="inlineStr">
        <is>
          <t>COMPLETE PORTFOLIO HOLDINGS  -  19 FUNDS</t>
        </is>
      </c>
    </row>
    <row r="2" ht="16" customHeight="1">
      <c r="A2" s="2" t="inlineStr">
        <is>
          <t>Rank, fund, allocation, category and concentration exactly as printed in the report. Tier and Proposed % come from the report's 7-fund target portfolio.</t>
        </is>
      </c>
    </row>
    <row r="4" ht="30" customHeight="1">
      <c r="A4" s="23" t="inlineStr">
        <is>
          <t>Rank</t>
        </is>
      </c>
      <c r="B4" s="23" t="inlineStr">
        <is>
          <t>Fund Name</t>
        </is>
      </c>
      <c r="C4" s="23" t="inlineStr">
        <is>
          <t>AMC</t>
        </is>
      </c>
      <c r="D4" s="23" t="inlineStr">
        <is>
          <t>Allocation %</t>
        </is>
      </c>
      <c r="E4" s="23" t="inlineStr">
        <is>
          <t>Category</t>
        </is>
      </c>
      <c r="F4" s="23" t="inlineStr">
        <is>
          <t>Concentration</t>
        </is>
      </c>
      <c r="G4" s="23" t="inlineStr">
        <is>
          <t>Keep / Exit</t>
        </is>
      </c>
      <c r="H4" s="23" t="inlineStr">
        <is>
          <t>Proposed %</t>
        </is>
      </c>
      <c r="I4" s="23" t="inlineStr">
        <is>
          <t>Change</t>
        </is>
      </c>
    </row>
    <row r="5">
      <c r="A5" s="24" t="n">
        <v>1</v>
      </c>
      <c r="B5" s="25" t="inlineStr">
        <is>
          <t>TRUSTMF Small Cap Fund - Regular (G)</t>
        </is>
      </c>
      <c r="C5" s="26" t="inlineStr">
        <is>
          <t>TRUSTMF</t>
        </is>
      </c>
      <c r="D5" s="10" t="n">
        <v>0.1519</v>
      </c>
      <c r="E5" s="26" t="inlineStr">
        <is>
          <t>Small Cap</t>
        </is>
      </c>
      <c r="F5" s="18" t="inlineStr">
        <is>
          <t>HIGH</t>
        </is>
      </c>
      <c r="G5" s="18" t="inlineStr">
        <is>
          <t>EXIT</t>
        </is>
      </c>
      <c r="H5" s="27" t="n">
        <v>0</v>
      </c>
      <c r="I5" s="12">
        <f>-$D5</f>
        <v/>
      </c>
    </row>
    <row r="6">
      <c r="A6" s="24" t="n">
        <v>2</v>
      </c>
      <c r="B6" s="25" t="inlineStr">
        <is>
          <t>Aditya Birla SL Quant Fund - Regular (G)</t>
        </is>
      </c>
      <c r="C6" s="26" t="inlineStr">
        <is>
          <t>Aditya Birla</t>
        </is>
      </c>
      <c r="D6" s="10" t="n">
        <v>0.1132</v>
      </c>
      <c r="E6" s="26" t="inlineStr">
        <is>
          <t>Multi-Cap/Quant</t>
        </is>
      </c>
      <c r="F6" s="18" t="inlineStr">
        <is>
          <t>HIGH</t>
        </is>
      </c>
      <c r="G6" s="18" t="inlineStr">
        <is>
          <t>EXIT</t>
        </is>
      </c>
      <c r="H6" s="27" t="n">
        <v>0</v>
      </c>
      <c r="I6" s="12">
        <f>-$D6</f>
        <v/>
      </c>
    </row>
    <row r="7">
      <c r="A7" s="24" t="n">
        <v>3</v>
      </c>
      <c r="B7" s="25" t="inlineStr">
        <is>
          <t>Bandhan Business Cycle Fund - Regular (G)</t>
        </is>
      </c>
      <c r="C7" s="26" t="inlineStr">
        <is>
          <t>Bandhan</t>
        </is>
      </c>
      <c r="D7" s="10" t="n">
        <v>0.1065</v>
      </c>
      <c r="E7" s="26" t="inlineStr">
        <is>
          <t>Thematic</t>
        </is>
      </c>
      <c r="F7" s="18" t="inlineStr">
        <is>
          <t>HIGH</t>
        </is>
      </c>
      <c r="G7" s="18" t="inlineStr">
        <is>
          <t>EXIT</t>
        </is>
      </c>
      <c r="H7" s="27" t="n">
        <v>0</v>
      </c>
      <c r="I7" s="12">
        <f>-$D7</f>
        <v/>
      </c>
    </row>
    <row r="8">
      <c r="A8" s="24" t="n">
        <v>4</v>
      </c>
      <c r="B8" s="25" t="inlineStr">
        <is>
          <t>Tata Business Cycle Fund (G)</t>
        </is>
      </c>
      <c r="C8" s="26" t="inlineStr">
        <is>
          <t>Tata</t>
        </is>
      </c>
      <c r="D8" s="10" t="n">
        <v>0.1001</v>
      </c>
      <c r="E8" s="26" t="inlineStr">
        <is>
          <t>Thematic</t>
        </is>
      </c>
      <c r="F8" s="18" t="inlineStr">
        <is>
          <t>HIGH</t>
        </is>
      </c>
      <c r="G8" s="28" t="inlineStr">
        <is>
          <t>KEEP</t>
        </is>
      </c>
      <c r="H8" s="27" t="n">
        <v>0.1</v>
      </c>
      <c r="I8" s="12">
        <f>$H8-$D8</f>
        <v/>
      </c>
    </row>
    <row r="9">
      <c r="A9" s="24" t="n">
        <v>5</v>
      </c>
      <c r="B9" s="25" t="inlineStr">
        <is>
          <t>Mahindra Manulife Mid Cap Fund (G)</t>
        </is>
      </c>
      <c r="C9" s="26" t="inlineStr">
        <is>
          <t>Mahindra Manulife</t>
        </is>
      </c>
      <c r="D9" s="10" t="n">
        <v>0.0699</v>
      </c>
      <c r="E9" s="26" t="inlineStr">
        <is>
          <t>Mid Cap</t>
        </is>
      </c>
      <c r="F9" s="29" t="inlineStr">
        <is>
          <t>MEDIUM</t>
        </is>
      </c>
      <c r="G9" s="28" t="inlineStr">
        <is>
          <t>KEEP</t>
        </is>
      </c>
      <c r="H9" s="27" t="n">
        <v>0.2</v>
      </c>
      <c r="I9" s="12">
        <f>$H9-$D9</f>
        <v/>
      </c>
    </row>
    <row r="10">
      <c r="A10" s="24" t="n">
        <v>6</v>
      </c>
      <c r="B10" s="25" t="inlineStr">
        <is>
          <t>Mahindra Manulife Large &amp; Mid Cap Fund-Reg (G)</t>
        </is>
      </c>
      <c r="C10" s="26" t="inlineStr">
        <is>
          <t>Mahindra Manulife</t>
        </is>
      </c>
      <c r="D10" s="10" t="n">
        <v>0.0573</v>
      </c>
      <c r="E10" s="26" t="inlineStr">
        <is>
          <t>Large &amp; Mid Cap</t>
        </is>
      </c>
      <c r="F10" s="29" t="inlineStr">
        <is>
          <t>MEDIUM</t>
        </is>
      </c>
      <c r="G10" s="28" t="inlineStr">
        <is>
          <t>KEEP</t>
        </is>
      </c>
      <c r="H10" s="27" t="n">
        <v>0.15</v>
      </c>
      <c r="I10" s="12">
        <f>$H10-$D10</f>
        <v/>
      </c>
    </row>
    <row r="11">
      <c r="A11" s="24" t="n">
        <v>7</v>
      </c>
      <c r="B11" s="25" t="inlineStr">
        <is>
          <t>Mahindra Manulife Small Cap Fund - Regular (G)</t>
        </is>
      </c>
      <c r="C11" s="26" t="inlineStr">
        <is>
          <t>Mahindra Manulife</t>
        </is>
      </c>
      <c r="D11" s="10" t="n">
        <v>0.0572</v>
      </c>
      <c r="E11" s="26" t="inlineStr">
        <is>
          <t>Small Cap</t>
        </is>
      </c>
      <c r="F11" s="29" t="inlineStr">
        <is>
          <t>MEDIUM</t>
        </is>
      </c>
      <c r="G11" s="28" t="inlineStr">
        <is>
          <t>KEEP</t>
        </is>
      </c>
      <c r="H11" s="27" t="n">
        <v>0.15</v>
      </c>
      <c r="I11" s="12">
        <f>$H11-$D11</f>
        <v/>
      </c>
    </row>
    <row r="12">
      <c r="A12" s="24" t="n">
        <v>8</v>
      </c>
      <c r="B12" s="25" t="inlineStr">
        <is>
          <t>Mahindra Manulife Focused Fund (G)</t>
        </is>
      </c>
      <c r="C12" s="26" t="inlineStr">
        <is>
          <t>Mahindra Manulife</t>
        </is>
      </c>
      <c r="D12" s="10" t="n">
        <v>0.0561</v>
      </c>
      <c r="E12" s="26" t="inlineStr">
        <is>
          <t>Focused/Multi-Cap</t>
        </is>
      </c>
      <c r="F12" s="29" t="inlineStr">
        <is>
          <t>MEDIUM</t>
        </is>
      </c>
      <c r="G12" s="28" t="inlineStr">
        <is>
          <t>KEEP</t>
        </is>
      </c>
      <c r="H12" s="27" t="n">
        <v>0.07000000000000001</v>
      </c>
      <c r="I12" s="12">
        <f>$H12-$D12</f>
        <v/>
      </c>
    </row>
    <row r="13">
      <c r="A13" s="24" t="n">
        <v>9</v>
      </c>
      <c r="B13" s="25" t="inlineStr">
        <is>
          <t>Mahindra Manulife Business Cycle Fund - Reg (G)</t>
        </is>
      </c>
      <c r="C13" s="26" t="inlineStr">
        <is>
          <t>Mahindra Manulife</t>
        </is>
      </c>
      <c r="D13" s="10" t="n">
        <v>0.0523</v>
      </c>
      <c r="E13" s="26" t="inlineStr">
        <is>
          <t>Thematic</t>
        </is>
      </c>
      <c r="F13" s="29" t="inlineStr">
        <is>
          <t>MEDIUM</t>
        </is>
      </c>
      <c r="G13" s="18" t="inlineStr">
        <is>
          <t>EXIT</t>
        </is>
      </c>
      <c r="H13" s="27" t="n">
        <v>0</v>
      </c>
      <c r="I13" s="12">
        <f>-$D13</f>
        <v/>
      </c>
    </row>
    <row r="14">
      <c r="A14" s="24" t="n">
        <v>10</v>
      </c>
      <c r="B14" s="25" t="inlineStr">
        <is>
          <t>Tata India Innovation Fund - Regular (G)</t>
        </is>
      </c>
      <c r="C14" s="26" t="inlineStr">
        <is>
          <t>Tata</t>
        </is>
      </c>
      <c r="D14" s="10" t="n">
        <v>0.0514</v>
      </c>
      <c r="E14" s="26" t="inlineStr">
        <is>
          <t>Thematic</t>
        </is>
      </c>
      <c r="F14" s="29" t="inlineStr">
        <is>
          <t>MEDIUM</t>
        </is>
      </c>
      <c r="G14" s="18" t="inlineStr">
        <is>
          <t>EXIT</t>
        </is>
      </c>
      <c r="H14" s="27" t="n">
        <v>0</v>
      </c>
      <c r="I14" s="12">
        <f>-$D14</f>
        <v/>
      </c>
    </row>
    <row r="15">
      <c r="A15" s="24" t="n">
        <v>11</v>
      </c>
      <c r="B15" s="25" t="inlineStr">
        <is>
          <t>TRUSTMF Flexi Cap Fund - Regular (G)</t>
        </is>
      </c>
      <c r="C15" s="26" t="inlineStr">
        <is>
          <t>TRUSTMF</t>
        </is>
      </c>
      <c r="D15" s="10" t="n">
        <v>0.0451</v>
      </c>
      <c r="E15" s="26" t="inlineStr">
        <is>
          <t>Flexi Cap</t>
        </is>
      </c>
      <c r="F15" s="29" t="inlineStr">
        <is>
          <t>MEDIUM</t>
        </is>
      </c>
      <c r="G15" s="18" t="inlineStr">
        <is>
          <t>EXIT</t>
        </is>
      </c>
      <c r="H15" s="27" t="n">
        <v>0</v>
      </c>
      <c r="I15" s="12">
        <f>-$D15</f>
        <v/>
      </c>
    </row>
    <row r="16">
      <c r="A16" s="24" t="n">
        <v>12</v>
      </c>
      <c r="B16" s="25" t="inlineStr">
        <is>
          <t>Aditya Birla SL Ultra Short to Short Term Fund-Reg (G)</t>
        </is>
      </c>
      <c r="C16" s="26" t="inlineStr">
        <is>
          <t>Aditya Birla</t>
        </is>
      </c>
      <c r="D16" s="10" t="n">
        <v>0.0311</v>
      </c>
      <c r="E16" s="26" t="inlineStr">
        <is>
          <t>Debt/Short Term</t>
        </is>
      </c>
      <c r="F16" s="28" t="inlineStr">
        <is>
          <t>LOW</t>
        </is>
      </c>
      <c r="G16" s="18" t="inlineStr">
        <is>
          <t>EXIT</t>
        </is>
      </c>
      <c r="H16" s="27" t="n">
        <v>0</v>
      </c>
      <c r="I16" s="12">
        <f>-$D16</f>
        <v/>
      </c>
    </row>
    <row r="17">
      <c r="A17" s="24" t="n">
        <v>13</v>
      </c>
      <c r="B17" s="25" t="inlineStr">
        <is>
          <t>Bandhan Ultra Short Term Fund - Reg (G)</t>
        </is>
      </c>
      <c r="C17" s="26" t="inlineStr">
        <is>
          <t>Bandhan</t>
        </is>
      </c>
      <c r="D17" s="10" t="n">
        <v>0.029</v>
      </c>
      <c r="E17" s="26" t="inlineStr">
        <is>
          <t>Debt/Short Term</t>
        </is>
      </c>
      <c r="F17" s="28" t="inlineStr">
        <is>
          <t>LOW</t>
        </is>
      </c>
      <c r="G17" s="28" t="inlineStr">
        <is>
          <t>KEEP</t>
        </is>
      </c>
      <c r="H17" s="27" t="n">
        <v>0.08</v>
      </c>
      <c r="I17" s="12">
        <f>$H17-$D17</f>
        <v/>
      </c>
    </row>
    <row r="18">
      <c r="A18" s="24" t="n">
        <v>14</v>
      </c>
      <c r="B18" s="25" t="inlineStr">
        <is>
          <t>Bandhan Flexi Cap Fund (G)</t>
        </is>
      </c>
      <c r="C18" s="26" t="inlineStr">
        <is>
          <t>Bandhan</t>
        </is>
      </c>
      <c r="D18" s="10" t="n">
        <v>0.027</v>
      </c>
      <c r="E18" s="26" t="inlineStr">
        <is>
          <t>Flexi Cap</t>
        </is>
      </c>
      <c r="F18" s="28" t="inlineStr">
        <is>
          <t>LOW</t>
        </is>
      </c>
      <c r="G18" s="18" t="inlineStr">
        <is>
          <t>EXIT</t>
        </is>
      </c>
      <c r="H18" s="27" t="n">
        <v>0</v>
      </c>
      <c r="I18" s="12">
        <f>-$D18</f>
        <v/>
      </c>
    </row>
    <row r="19">
      <c r="A19" s="24" t="n">
        <v>15</v>
      </c>
      <c r="B19" s="25" t="inlineStr">
        <is>
          <t>Aditya Birla SL Flexi Cap Fund (G)</t>
        </is>
      </c>
      <c r="C19" s="26" t="inlineStr">
        <is>
          <t>Aditya Birla</t>
        </is>
      </c>
      <c r="D19" s="10" t="n">
        <v>0.0247</v>
      </c>
      <c r="E19" s="26" t="inlineStr">
        <is>
          <t>Flexi Cap</t>
        </is>
      </c>
      <c r="F19" s="28" t="inlineStr">
        <is>
          <t>LOW</t>
        </is>
      </c>
      <c r="G19" s="28" t="inlineStr">
        <is>
          <t>KEEP</t>
        </is>
      </c>
      <c r="H19" s="27" t="n">
        <v>0.25</v>
      </c>
      <c r="I19" s="12">
        <f>$H19-$D19</f>
        <v/>
      </c>
    </row>
    <row r="20">
      <c r="A20" s="24" t="n">
        <v>16</v>
      </c>
      <c r="B20" s="25" t="inlineStr">
        <is>
          <t>Mahindra Manulife Flexi Cap Fund (G)</t>
        </is>
      </c>
      <c r="C20" s="26" t="inlineStr">
        <is>
          <t>Mahindra Manulife</t>
        </is>
      </c>
      <c r="D20" s="10" t="n">
        <v>0.0153</v>
      </c>
      <c r="E20" s="26" t="inlineStr">
        <is>
          <t>Flexi Cap</t>
        </is>
      </c>
      <c r="F20" s="28" t="inlineStr">
        <is>
          <t>LOW</t>
        </is>
      </c>
      <c r="G20" s="18" t="inlineStr">
        <is>
          <t>EXIT</t>
        </is>
      </c>
      <c r="H20" s="27" t="n">
        <v>0</v>
      </c>
      <c r="I20" s="12">
        <f>-$D20</f>
        <v/>
      </c>
    </row>
    <row r="21">
      <c r="A21" s="24" t="n">
        <v>17</v>
      </c>
      <c r="B21" s="25" t="inlineStr">
        <is>
          <t>Tata Ultra Short Term Fund - Regular (G)</t>
        </is>
      </c>
      <c r="C21" s="26" t="inlineStr">
        <is>
          <t>Tata</t>
        </is>
      </c>
      <c r="D21" s="10" t="n">
        <v>0.0086</v>
      </c>
      <c r="E21" s="26" t="inlineStr">
        <is>
          <t>Debt/Short Term</t>
        </is>
      </c>
      <c r="F21" s="28" t="inlineStr">
        <is>
          <t>LOW</t>
        </is>
      </c>
      <c r="G21" s="18" t="inlineStr">
        <is>
          <t>EXIT</t>
        </is>
      </c>
      <c r="H21" s="27" t="n">
        <v>0</v>
      </c>
      <c r="I21" s="12">
        <f>-$D21</f>
        <v/>
      </c>
    </row>
    <row r="22">
      <c r="A22" s="24" t="n">
        <v>18</v>
      </c>
      <c r="B22" s="25" t="inlineStr">
        <is>
          <t>TRUSTMF Money Market Fund (G)</t>
        </is>
      </c>
      <c r="C22" s="26" t="inlineStr">
        <is>
          <t>TRUSTMF</t>
        </is>
      </c>
      <c r="D22" s="10" t="n">
        <v>0.0027</v>
      </c>
      <c r="E22" s="26" t="inlineStr">
        <is>
          <t>Money Market</t>
        </is>
      </c>
      <c r="F22" s="28" t="inlineStr">
        <is>
          <t>LOW</t>
        </is>
      </c>
      <c r="G22" s="18" t="inlineStr">
        <is>
          <t>EXIT</t>
        </is>
      </c>
      <c r="H22" s="27" t="n">
        <v>0</v>
      </c>
      <c r="I22" s="12">
        <f>-$D22</f>
        <v/>
      </c>
    </row>
    <row r="23">
      <c r="A23" s="24" t="n">
        <v>19</v>
      </c>
      <c r="B23" s="25" t="inlineStr">
        <is>
          <t>Mahindra Manulife Value Fund - Regular (G)</t>
        </is>
      </c>
      <c r="C23" s="26" t="inlineStr">
        <is>
          <t>Mahindra Manulife</t>
        </is>
      </c>
      <c r="D23" s="10" t="n">
        <v>0.0005999999999999999</v>
      </c>
      <c r="E23" s="26" t="inlineStr">
        <is>
          <t>Value</t>
        </is>
      </c>
      <c r="F23" s="28" t="inlineStr">
        <is>
          <t>LOW</t>
        </is>
      </c>
      <c r="G23" s="18" t="inlineStr">
        <is>
          <t>EXIT</t>
        </is>
      </c>
      <c r="H23" s="27" t="n">
        <v>0</v>
      </c>
      <c r="I23" s="12">
        <f>-$D23</f>
        <v/>
      </c>
    </row>
    <row r="24">
      <c r="A24" s="30" t="inlineStr"/>
      <c r="B24" s="31" t="inlineStr">
        <is>
          <t>TOTAL  (19 funds)</t>
        </is>
      </c>
      <c r="C24" s="30" t="inlineStr"/>
      <c r="D24" s="32">
        <f>SUM($D$5:$D$23)</f>
        <v/>
      </c>
      <c r="E24" s="30" t="inlineStr"/>
      <c r="F24" s="33">
        <f>COUNTIF($G$5:$G$23,"KEEP")&amp;" keep / "&amp;COUNTIF($G$5:$G$23,"EXIT")&amp;" exit"</f>
        <v/>
      </c>
      <c r="G24" s="30" t="inlineStr"/>
      <c r="H24" s="34">
        <f>SUM($H$5:$H$23)</f>
        <v/>
      </c>
      <c r="I24" s="30" t="inlineStr"/>
    </row>
  </sheetData>
  <autoFilter ref="A4:I23"/>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26" customWidth="1" min="1" max="1"/>
    <col width="9" customWidth="1" min="2" max="2"/>
    <col width="14" customWidth="1" min="3" max="3"/>
    <col width="38" customWidth="1" min="4" max="4"/>
    <col width="52" customWidth="1" min="5" max="5"/>
  </cols>
  <sheetData>
    <row r="1" ht="26" customHeight="1">
      <c r="A1" s="1" t="inlineStr">
        <is>
          <t>PORTFOLIO BY CATEGORY</t>
        </is>
      </c>
    </row>
    <row r="2" ht="16" customHeight="1">
      <c r="A2" s="2" t="inlineStr">
        <is>
          <t>Top block is computed live from the Holdings sheet. Bottom block is the report's own panel, reproduced as printed - the two do not agree everywhere.</t>
        </is>
      </c>
    </row>
    <row r="4">
      <c r="A4" s="3" t="inlineStr">
        <is>
          <t>COMPUTED FROM HOLDINGS</t>
        </is>
      </c>
    </row>
    <row r="5" ht="30" customHeight="1">
      <c r="A5" s="23" t="inlineStr">
        <is>
          <t>Category</t>
        </is>
      </c>
      <c r="B5" s="23" t="inlineStr">
        <is>
          <t>Funds</t>
        </is>
      </c>
      <c r="C5" s="23" t="inlineStr">
        <is>
          <t>Allocation %</t>
        </is>
      </c>
      <c r="D5" s="23" t="inlineStr">
        <is>
          <t>Share of Equity</t>
        </is>
      </c>
      <c r="E5" s="23" t="inlineStr"/>
    </row>
    <row r="6">
      <c r="A6" s="26" t="inlineStr">
        <is>
          <t>Small Cap</t>
        </is>
      </c>
      <c r="B6" s="7">
        <f>COUNTIF(Holdings!$E$5:$E$23,$A6)</f>
        <v/>
      </c>
      <c r="C6" s="11">
        <f>SUMIF(Holdings!$E$5:$E$23,$A6,Holdings!$D$5:$D$23)</f>
        <v/>
      </c>
      <c r="D6" s="11">
        <f>IF($C$16=0,"",$C6/$C$16)</f>
        <v/>
      </c>
    </row>
    <row r="7">
      <c r="A7" s="26" t="inlineStr">
        <is>
          <t>Mid Cap</t>
        </is>
      </c>
      <c r="B7" s="7">
        <f>COUNTIF(Holdings!$E$5:$E$23,$A7)</f>
        <v/>
      </c>
      <c r="C7" s="11">
        <f>SUMIF(Holdings!$E$5:$E$23,$A7,Holdings!$D$5:$D$23)</f>
        <v/>
      </c>
      <c r="D7" s="11">
        <f>IF($C$16=0,"",$C7/$C$16)</f>
        <v/>
      </c>
    </row>
    <row r="8">
      <c r="A8" s="26" t="inlineStr">
        <is>
          <t>Large &amp; Mid Cap</t>
        </is>
      </c>
      <c r="B8" s="7">
        <f>COUNTIF(Holdings!$E$5:$E$23,$A8)</f>
        <v/>
      </c>
      <c r="C8" s="11">
        <f>SUMIF(Holdings!$E$5:$E$23,$A8,Holdings!$D$5:$D$23)</f>
        <v/>
      </c>
      <c r="D8" s="11">
        <f>IF($C$16=0,"",$C8/$C$16)</f>
        <v/>
      </c>
    </row>
    <row r="9">
      <c r="A9" s="26" t="inlineStr">
        <is>
          <t>Flexi Cap</t>
        </is>
      </c>
      <c r="B9" s="7">
        <f>COUNTIF(Holdings!$E$5:$E$23,$A9)</f>
        <v/>
      </c>
      <c r="C9" s="11">
        <f>SUMIF(Holdings!$E$5:$E$23,$A9,Holdings!$D$5:$D$23)</f>
        <v/>
      </c>
      <c r="D9" s="11">
        <f>IF($C$16=0,"",$C9/$C$16)</f>
        <v/>
      </c>
    </row>
    <row r="10">
      <c r="A10" s="26" t="inlineStr">
        <is>
          <t>Focused/Multi-Cap</t>
        </is>
      </c>
      <c r="B10" s="7">
        <f>COUNTIF(Holdings!$E$5:$E$23,$A10)</f>
        <v/>
      </c>
      <c r="C10" s="11">
        <f>SUMIF(Holdings!$E$5:$E$23,$A10,Holdings!$D$5:$D$23)</f>
        <v/>
      </c>
      <c r="D10" s="11">
        <f>IF($C$16=0,"",$C10/$C$16)</f>
        <v/>
      </c>
    </row>
    <row r="11">
      <c r="A11" s="26" t="inlineStr">
        <is>
          <t>Multi-Cap/Quant</t>
        </is>
      </c>
      <c r="B11" s="7">
        <f>COUNTIF(Holdings!$E$5:$E$23,$A11)</f>
        <v/>
      </c>
      <c r="C11" s="11">
        <f>SUMIF(Holdings!$E$5:$E$23,$A11,Holdings!$D$5:$D$23)</f>
        <v/>
      </c>
      <c r="D11" s="11">
        <f>IF($C$16=0,"",$C11/$C$16)</f>
        <v/>
      </c>
    </row>
    <row r="12">
      <c r="A12" s="26" t="inlineStr">
        <is>
          <t>Thematic</t>
        </is>
      </c>
      <c r="B12" s="7">
        <f>COUNTIF(Holdings!$E$5:$E$23,$A12)</f>
        <v/>
      </c>
      <c r="C12" s="11">
        <f>SUMIF(Holdings!$E$5:$E$23,$A12,Holdings!$D$5:$D$23)</f>
        <v/>
      </c>
      <c r="D12" s="11">
        <f>IF($C$16=0,"",$C12/$C$16)</f>
        <v/>
      </c>
    </row>
    <row r="13">
      <c r="A13" s="26" t="inlineStr">
        <is>
          <t>Debt/Short Term</t>
        </is>
      </c>
      <c r="B13" s="7">
        <f>COUNTIF(Holdings!$E$5:$E$23,$A13)</f>
        <v/>
      </c>
      <c r="C13" s="11">
        <f>SUMIF(Holdings!$E$5:$E$23,$A13,Holdings!$D$5:$D$23)</f>
        <v/>
      </c>
      <c r="D13" s="11">
        <f>IF($C$16=0,"",$C13/$C$16)</f>
        <v/>
      </c>
    </row>
    <row r="14">
      <c r="A14" s="26" t="inlineStr">
        <is>
          <t>Money Market</t>
        </is>
      </c>
      <c r="B14" s="7">
        <f>COUNTIF(Holdings!$E$5:$E$23,$A14)</f>
        <v/>
      </c>
      <c r="C14" s="11">
        <f>SUMIF(Holdings!$E$5:$E$23,$A14,Holdings!$D$5:$D$23)</f>
        <v/>
      </c>
      <c r="D14" s="11">
        <f>IF($C$16=0,"",$C14/$C$16)</f>
        <v/>
      </c>
    </row>
    <row r="15">
      <c r="A15" s="26" t="inlineStr">
        <is>
          <t>Value</t>
        </is>
      </c>
      <c r="B15" s="7">
        <f>COUNTIF(Holdings!$E$5:$E$23,$A15)</f>
        <v/>
      </c>
      <c r="C15" s="11">
        <f>SUMIF(Holdings!$E$5:$E$23,$A15,Holdings!$D$5:$D$23)</f>
        <v/>
      </c>
      <c r="D15" s="11">
        <f>IF($C$16=0,"",$C15/$C$16)</f>
        <v/>
      </c>
    </row>
    <row r="16">
      <c r="A16" s="31" t="inlineStr">
        <is>
          <t>TOTAL</t>
        </is>
      </c>
      <c r="B16" s="35">
        <f>SUM(B6:B15)</f>
        <v/>
      </c>
      <c r="C16" s="32">
        <f>SUM(C6:C15)</f>
        <v/>
      </c>
      <c r="D16" s="30" t="inlineStr"/>
    </row>
    <row r="18">
      <c r="A18" s="3" t="inlineStr">
        <is>
          <t>AS STATED IN THE REPORT</t>
        </is>
      </c>
    </row>
    <row r="19">
      <c r="A19" s="23" t="inlineStr">
        <is>
          <t>Category (report wording)</t>
        </is>
      </c>
      <c r="B19" s="23" t="inlineStr">
        <is>
          <t>Stated %</t>
        </is>
      </c>
      <c r="C19" s="23" t="inlineStr">
        <is>
          <t>Funds</t>
        </is>
      </c>
      <c r="D19" s="23" t="inlineStr">
        <is>
          <t>Report's fund list</t>
        </is>
      </c>
      <c r="E19" s="23" t="inlineStr">
        <is>
          <t>Note</t>
        </is>
      </c>
    </row>
    <row r="20" ht="28" customHeight="1">
      <c r="A20" s="26" t="inlineStr">
        <is>
          <t>Small Cap</t>
        </is>
      </c>
      <c r="B20" s="10" t="n">
        <v>0.269</v>
      </c>
      <c r="C20" s="24" t="n">
        <v>3</v>
      </c>
      <c r="D20" s="9" t="inlineStr">
        <is>
          <t>TRUSTMF, MM, others</t>
        </is>
      </c>
      <c r="E20" s="36" t="inlineStr">
        <is>
          <t>Report's own text elsewhere gives TRUSTMF + MM Small Cap = 20.91%.</t>
        </is>
      </c>
    </row>
    <row r="21" ht="28" customHeight="1">
      <c r="A21" s="26" t="inlineStr">
        <is>
          <t>Business Cycle (Thematic)</t>
        </is>
      </c>
      <c r="B21" s="10" t="n">
        <v>0.2589</v>
      </c>
      <c r="C21" s="24" t="n">
        <v>3</v>
      </c>
      <c r="D21" s="9" t="inlineStr">
        <is>
          <t>Bandhan, Tata, MM</t>
        </is>
      </c>
      <c r="E21" s="36" t="inlineStr">
        <is>
          <t>Reconciles: 10.65 + 10.01 + 5.23 = 25.89%.</t>
        </is>
      </c>
    </row>
    <row r="22" ht="28" customHeight="1">
      <c r="A22" s="26" t="inlineStr">
        <is>
          <t>Flexi Cap</t>
        </is>
      </c>
      <c r="B22" s="10" t="n">
        <v>0.1121</v>
      </c>
      <c r="C22" s="24" t="n">
        <v>4</v>
      </c>
      <c r="D22" s="9" t="inlineStr">
        <is>
          <t>Aditya Birla, TRUSTMF, Bandhan, MM</t>
        </is>
      </c>
      <c r="E22" s="36" t="inlineStr">
        <is>
          <t>Reconciles: 4.51 + 2.70 + 2.47 + 1.53 = 11.21%.</t>
        </is>
      </c>
    </row>
    <row r="23" ht="28" customHeight="1">
      <c r="A23" s="26" t="inlineStr">
        <is>
          <t>Multi-Cap &amp; Others</t>
        </is>
      </c>
      <c r="B23" s="10" t="n">
        <v>0.1132</v>
      </c>
      <c r="C23" s="24" t="n">
        <v>2</v>
      </c>
      <c r="D23" s="9" t="inlineStr">
        <is>
          <t>Aditya Birla Quant, Tata Innovation</t>
        </is>
      </c>
      <c r="E23" s="36" t="inlineStr">
        <is>
          <t>11.32% is Aditya Birla Quant alone; Tata Innovation (5.14%) not included.</t>
        </is>
      </c>
    </row>
    <row r="24" ht="28" customHeight="1">
      <c r="A24" s="26" t="inlineStr">
        <is>
          <t>Large &amp; Mid Cap</t>
        </is>
      </c>
      <c r="B24" s="10" t="n">
        <v>0.1272</v>
      </c>
      <c r="C24" s="24" t="n">
        <v>2</v>
      </c>
      <c r="D24" s="9" t="inlineStr">
        <is>
          <t>MM Large &amp; Mid Cap, MM Focused</t>
        </is>
      </c>
      <c r="E24" s="36" t="inlineStr">
        <is>
          <t>Named funds total 5.73 + 5.61 = 11.34%.</t>
        </is>
      </c>
    </row>
    <row r="25" ht="28" customHeight="1">
      <c r="A25" s="26" t="inlineStr">
        <is>
          <t>Debt &amp; Money Market</t>
        </is>
      </c>
      <c r="B25" s="10" t="n">
        <v>0.07140000000000001</v>
      </c>
      <c r="C25" s="24" t="n">
        <v>4</v>
      </c>
      <c r="D25" s="9" t="inlineStr">
        <is>
          <t>Ultra Short Term, Money Market</t>
        </is>
      </c>
      <c r="E25" s="36" t="inlineStr">
        <is>
          <t>Reconciles: 3.11 + 2.90 + 0.86 + 0.27 = 7.14%.</t>
        </is>
      </c>
    </row>
    <row r="26">
      <c r="A26" s="31" t="inlineStr">
        <is>
          <t>TOTAL AS STATED</t>
        </is>
      </c>
      <c r="B26" s="32">
        <f>SUM(B20:B25)</f>
        <v/>
      </c>
      <c r="C26" s="35">
        <f>SUM(C20:C25)</f>
        <v/>
      </c>
      <c r="D26" s="30" t="inlineStr"/>
      <c r="E26" s="31" t="inlineStr">
        <is>
          <t>The six stated buckets do not sum to 100%.</t>
        </is>
      </c>
    </row>
  </sheetData>
  <mergeCells count="2">
    <mergeCell ref="A2:E2"/>
    <mergeCell ref="A1:E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10" customWidth="1" min="1" max="1"/>
    <col width="40" customWidth="1" min="2" max="2"/>
    <col width="12" customWidth="1" min="3" max="3"/>
    <col width="12" customWidth="1" min="4" max="4"/>
    <col width="12" customWidth="1" min="5" max="5"/>
    <col width="52" customWidth="1" min="6" max="6"/>
  </cols>
  <sheetData>
    <row r="1" ht="26" customHeight="1">
      <c r="A1" s="1" t="inlineStr">
        <is>
          <t>PROPOSED OPTIMIZED PORTFOLIO  -  7 FUNDS</t>
        </is>
      </c>
    </row>
    <row r="2" ht="16" customHeight="1">
      <c r="A2" s="2" t="inlineStr">
        <is>
          <t>The report's target portfolio: 19 funds down to 7, in three tiers.</t>
        </is>
      </c>
    </row>
    <row r="4" ht="30" customHeight="1">
      <c r="A4" s="23" t="inlineStr">
        <is>
          <t>Tier</t>
        </is>
      </c>
      <c r="B4" s="23" t="inlineStr">
        <is>
          <t>Fund</t>
        </is>
      </c>
      <c r="C4" s="23" t="inlineStr">
        <is>
          <t>Current %</t>
        </is>
      </c>
      <c r="D4" s="23" t="inlineStr">
        <is>
          <t>Proposed %</t>
        </is>
      </c>
      <c r="E4" s="23" t="inlineStr">
        <is>
          <t>Change</t>
        </is>
      </c>
      <c r="F4" s="23" t="inlineStr">
        <is>
          <t>Rationale</t>
        </is>
      </c>
    </row>
    <row r="5">
      <c r="A5" s="14" t="inlineStr">
        <is>
          <t>Tier 1: Core Holdings  -  60% allocation</t>
        </is>
      </c>
    </row>
    <row r="6">
      <c r="A6" s="17" t="inlineStr">
        <is>
          <t>Tier 1</t>
        </is>
      </c>
      <c r="B6" s="25" t="inlineStr">
        <is>
          <t>Aditya Birla SL Flexi Cap Fund</t>
        </is>
      </c>
      <c r="C6" s="10" t="n">
        <v>0.0247</v>
      </c>
      <c r="D6" s="27" t="n">
        <v>0.25</v>
      </c>
      <c r="E6" s="12">
        <f>$D6-$C6</f>
        <v/>
      </c>
      <c r="F6" s="9" t="inlineStr">
        <is>
          <t>Best quality, consolidate other flexi caps here</t>
        </is>
      </c>
    </row>
    <row r="7">
      <c r="A7" s="17" t="inlineStr">
        <is>
          <t>Tier 1</t>
        </is>
      </c>
      <c r="B7" s="25" t="inlineStr">
        <is>
          <t>Mahindra Manulife Small Cap Fund</t>
        </is>
      </c>
      <c r="C7" s="10" t="n">
        <v>0.0572</v>
      </c>
      <c r="D7" s="27" t="n">
        <v>0.15</v>
      </c>
      <c r="E7" s="12">
        <f>$D7-$C7</f>
        <v/>
      </c>
      <c r="F7" s="9" t="inlineStr">
        <is>
          <t>Consolidate TRUSTMF SC here, reduce concentration</t>
        </is>
      </c>
    </row>
    <row r="8">
      <c r="A8" s="17" t="inlineStr">
        <is>
          <t>Tier 1</t>
        </is>
      </c>
      <c r="B8" s="25" t="inlineStr">
        <is>
          <t>Mahindra Manulife Mid Cap Fund</t>
        </is>
      </c>
      <c r="C8" s="10" t="n">
        <v>0.0699</v>
      </c>
      <c r="D8" s="27" t="n">
        <v>0.2</v>
      </c>
      <c r="E8" s="12">
        <f>$D8-$C8</f>
        <v/>
      </c>
      <c r="F8" s="9" t="inlineStr">
        <is>
          <t>Strong performer, expand position</t>
        </is>
      </c>
    </row>
    <row r="9">
      <c r="A9" s="37" t="inlineStr"/>
      <c r="B9" s="38" t="inlineStr">
        <is>
          <t>Tier 1 subtotal</t>
        </is>
      </c>
      <c r="C9" s="39">
        <f>SUM(C6:C8)</f>
        <v/>
      </c>
      <c r="D9" s="40">
        <f>SUM(D6:D8)</f>
        <v/>
      </c>
      <c r="E9" s="41">
        <f>$D9-$C9</f>
        <v/>
      </c>
      <c r="F9" s="42" t="inlineStr">
        <is>
          <t>Target 60%</t>
        </is>
      </c>
    </row>
    <row r="11">
      <c r="A11" s="14" t="inlineStr">
        <is>
          <t>Tier 2: Balanced Holdings  -  22% allocation</t>
        </is>
      </c>
    </row>
    <row r="12">
      <c r="A12" s="17" t="inlineStr">
        <is>
          <t>Tier 2</t>
        </is>
      </c>
      <c r="B12" s="25" t="inlineStr">
        <is>
          <t>Mahindra Manulife Large &amp; Mid Cap Fund</t>
        </is>
      </c>
      <c r="C12" s="10" t="n">
        <v>0.0573</v>
      </c>
      <c r="D12" s="27" t="n">
        <v>0.15</v>
      </c>
      <c r="E12" s="12">
        <f>$D12-$C12</f>
        <v/>
      </c>
      <c r="F12" s="9" t="inlineStr">
        <is>
          <t>Steady performer, lower volatility</t>
        </is>
      </c>
    </row>
    <row r="13">
      <c r="A13" s="17" t="inlineStr">
        <is>
          <t>Tier 2</t>
        </is>
      </c>
      <c r="B13" s="25" t="inlineStr">
        <is>
          <t>Mahindra Manulife Focused Fund</t>
        </is>
      </c>
      <c r="C13" s="10" t="n">
        <v>0.0561</v>
      </c>
      <c r="D13" s="27" t="n">
        <v>0.07000000000000001</v>
      </c>
      <c r="E13" s="12">
        <f>$D13-$C13</f>
        <v/>
      </c>
      <c r="F13" s="9" t="inlineStr">
        <is>
          <t>Satellite position, controlled exposure</t>
        </is>
      </c>
    </row>
    <row r="14">
      <c r="A14" s="37" t="inlineStr"/>
      <c r="B14" s="38" t="inlineStr">
        <is>
          <t>Tier 2 subtotal</t>
        </is>
      </c>
      <c r="C14" s="39">
        <f>SUM(C12:C13)</f>
        <v/>
      </c>
      <c r="D14" s="40">
        <f>SUM(D12:D13)</f>
        <v/>
      </c>
      <c r="E14" s="41">
        <f>$D14-$C14</f>
        <v/>
      </c>
      <c r="F14" s="42" t="inlineStr">
        <is>
          <t>Target 22%</t>
        </is>
      </c>
    </row>
    <row r="16">
      <c r="A16" s="14" t="inlineStr">
        <is>
          <t>Tier 3: Stability &amp; Defensive  -  18% allocation</t>
        </is>
      </c>
    </row>
    <row r="17">
      <c r="A17" s="17" t="inlineStr">
        <is>
          <t>Tier 3</t>
        </is>
      </c>
      <c r="B17" s="25" t="inlineStr">
        <is>
          <t>Tata Business Cycle Fund</t>
        </is>
      </c>
      <c r="C17" s="10" t="n">
        <v>0.1001</v>
      </c>
      <c r="D17" s="27" t="n">
        <v>0.1</v>
      </c>
      <c r="E17" s="12">
        <f>$D17-$C17</f>
        <v/>
      </c>
      <c r="F17" s="9" t="inlineStr">
        <is>
          <t>Single thematic bet (capped), exit Bandhan duplicate</t>
        </is>
      </c>
    </row>
    <row r="18">
      <c r="A18" s="17" t="inlineStr">
        <is>
          <t>Tier 3</t>
        </is>
      </c>
      <c r="B18" s="25" t="inlineStr">
        <is>
          <t>Bandhan Ultra Short Term Fund</t>
        </is>
      </c>
      <c r="C18" s="10" t="n">
        <v>0.029</v>
      </c>
      <c r="D18" s="27" t="n">
        <v>0.08</v>
      </c>
      <c r="E18" s="12">
        <f>$D18-$C18</f>
        <v/>
      </c>
      <c r="F18" s="9" t="inlineStr">
        <is>
          <t>Safety buffer, best debt fund quality</t>
        </is>
      </c>
    </row>
    <row r="19">
      <c r="A19" s="37" t="inlineStr"/>
      <c r="B19" s="38" t="inlineStr">
        <is>
          <t>Tier 3 subtotal</t>
        </is>
      </c>
      <c r="C19" s="39">
        <f>SUM(C17:C18)</f>
        <v/>
      </c>
      <c r="D19" s="40">
        <f>SUM(D17:D18)</f>
        <v/>
      </c>
      <c r="E19" s="41">
        <f>$D19-$C19</f>
        <v/>
      </c>
      <c r="F19" s="42" t="inlineStr">
        <is>
          <t>Target 18%</t>
        </is>
      </c>
    </row>
    <row r="21">
      <c r="A21" s="30" t="inlineStr"/>
      <c r="B21" s="31" t="inlineStr">
        <is>
          <t>TOTAL  (7 funds)</t>
        </is>
      </c>
      <c r="C21" s="32">
        <f>C6+C7+C8+C12+C13+C17+C18</f>
        <v/>
      </c>
      <c r="D21" s="34">
        <f>D6+D7+D8+D12+D13+D17+D18</f>
        <v/>
      </c>
      <c r="E21" s="43">
        <f>$D21-$C21</f>
        <v/>
      </c>
      <c r="F21" s="31" t="inlineStr">
        <is>
          <t>The 12 funds not listed here are exited.</t>
        </is>
      </c>
    </row>
  </sheetData>
  <mergeCells count="5">
    <mergeCell ref="A16:F16"/>
    <mergeCell ref="A2:F2"/>
    <mergeCell ref="A11:F11"/>
    <mergeCell ref="A1:F1"/>
    <mergeCell ref="A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RowHeight="15"/>
  <cols>
    <col width="18" customWidth="1" min="1" max="1"/>
    <col width="34" customWidth="1" min="2" max="2"/>
    <col width="62" customWidth="1" min="3" max="3"/>
    <col width="18" customWidth="1" min="4" max="4"/>
    <col width="10" customWidth="1" min="5" max="5"/>
  </cols>
  <sheetData>
    <row r="1" ht="26" customHeight="1">
      <c r="A1" s="1" t="inlineStr">
        <is>
          <t>STRATEGIC RECOMMENDATIONS &amp; 30-DAY ACTION PLAN</t>
        </is>
      </c>
    </row>
    <row r="2" ht="16" customHeight="1">
      <c r="A2" s="2" t="inlineStr">
        <is>
          <t>Reproduced from the report. Owner and Done columns are blank for you to fill in.</t>
        </is>
      </c>
    </row>
    <row r="4">
      <c r="A4" s="14" t="inlineStr">
        <is>
          <t>Recommendation 1: Immediate Fund Consolidation</t>
        </is>
      </c>
    </row>
    <row r="5">
      <c r="A5" s="42" t="inlineStr">
        <is>
          <t>Reduce from 19 funds to 7 core holdings to eliminate redundancy and reduce fee drag.</t>
        </is>
      </c>
    </row>
    <row r="6" ht="22" customHeight="1">
      <c r="A6" s="26" t="inlineStr"/>
      <c r="B6" s="9" t="inlineStr">
        <is>
          <t>Consolidate 4 Flexi Cap funds into 1 best-performing one</t>
        </is>
      </c>
      <c r="D6" s="25" t="n"/>
      <c r="E6" s="44" t="n"/>
    </row>
    <row r="7" ht="22" customHeight="1">
      <c r="A7" s="26" t="inlineStr"/>
      <c r="B7" s="9" t="inlineStr">
        <is>
          <t>Keep only 1 Business Cycle thematic bet (keep Tata, exit Bandhan)</t>
        </is>
      </c>
      <c r="D7" s="25" t="n"/>
      <c r="E7" s="44" t="n"/>
    </row>
    <row r="8" ht="22" customHeight="1">
      <c r="A8" s="26" t="inlineStr"/>
      <c r="B8" s="9" t="inlineStr">
        <is>
          <t>Reduce small cap concentration from 26.90% to 15-20%</t>
        </is>
      </c>
      <c r="D8" s="25" t="n"/>
      <c r="E8" s="44" t="n"/>
    </row>
    <row r="9" ht="22" customHeight="1">
      <c r="A9" s="26" t="inlineStr"/>
      <c r="B9" s="9" t="inlineStr">
        <is>
          <t>Exit all micro-positions (&lt;0.5%)</t>
        </is>
      </c>
      <c r="D9" s="25" t="n"/>
      <c r="E9" s="44" t="n"/>
    </row>
    <row r="11">
      <c r="A11" s="14" t="inlineStr">
        <is>
          <t>Recommendation 2: Rebalance Top Holdings</t>
        </is>
      </c>
    </row>
    <row r="12">
      <c r="A12" s="42" t="inlineStr">
        <is>
          <t>Bring the largest holdings to healthier concentration levels (10-12% maximum).</t>
        </is>
      </c>
    </row>
    <row r="13" ht="22" customHeight="1">
      <c r="A13" s="26" t="inlineStr"/>
      <c r="B13" s="9" t="inlineStr">
        <is>
          <t>Reduce TRUSTMF Small Cap from 15.19% to 12%</t>
        </is>
      </c>
      <c r="D13" s="25" t="n"/>
      <c r="E13" s="44" t="n"/>
    </row>
    <row r="14" ht="22" customHeight="1">
      <c r="A14" s="26" t="inlineStr"/>
      <c r="B14" s="9" t="inlineStr">
        <is>
          <t>Reduce Aditya Birla Quant from 11.32% to 10%</t>
        </is>
      </c>
      <c r="D14" s="25" t="n"/>
      <c r="E14" s="44" t="n"/>
    </row>
    <row r="15" ht="22" customHeight="1">
      <c r="A15" s="26" t="inlineStr"/>
      <c r="B15" s="9" t="inlineStr">
        <is>
          <t>Reduce Bandhan BC from 10.65% to exit</t>
        </is>
      </c>
      <c r="D15" s="25" t="n"/>
      <c r="E15" s="44" t="n"/>
    </row>
    <row r="16" ht="22" customHeight="1">
      <c r="A16" s="26" t="inlineStr"/>
      <c r="B16" s="9" t="inlineStr">
        <is>
          <t>Reduce Tata BC from 10.01% to 8%</t>
        </is>
      </c>
      <c r="D16" s="25" t="n"/>
      <c r="E16" s="44" t="n"/>
    </row>
    <row r="18">
      <c r="A18" s="14" t="inlineStr">
        <is>
          <t>Recommendation 3: Tax-Efficient Exit Strategy</t>
        </is>
      </c>
    </row>
    <row r="19">
      <c r="A19" s="42" t="inlineStr">
        <is>
          <t>Implement over 6 months to minimize capital gains tax impact.</t>
        </is>
      </c>
    </row>
    <row r="20" ht="22" customHeight="1">
      <c r="A20" s="26" t="inlineStr"/>
      <c r="B20" s="9" t="inlineStr">
        <is>
          <t>Phase 1 (Weeks 1-2): Redirect new SIPs away from 12 redundant funds</t>
        </is>
      </c>
      <c r="D20" s="25" t="n"/>
      <c r="E20" s="44" t="n"/>
    </row>
    <row r="21" ht="22" customHeight="1">
      <c r="A21" s="26" t="inlineStr"/>
      <c r="B21" s="9" t="inlineStr">
        <is>
          <t>Phase 2 (Weeks 3-8): Exit micro-positions and worst performers</t>
        </is>
      </c>
      <c r="D21" s="25" t="n"/>
      <c r="E21" s="44" t="n"/>
    </row>
    <row r="22" ht="22" customHeight="1">
      <c r="A22" s="26" t="inlineStr"/>
      <c r="B22" s="9" t="inlineStr">
        <is>
          <t>Phase 3 (Months 2-4): Exit redundant flexi caps and thematic duplicates</t>
        </is>
      </c>
      <c r="D22" s="25" t="n"/>
      <c r="E22" s="44" t="n"/>
    </row>
    <row r="23" ht="22" customHeight="1">
      <c r="A23" s="26" t="inlineStr"/>
      <c r="B23" s="9" t="inlineStr">
        <is>
          <t>Phase 4 (Months 4-6): Finalize rebalancing and tax documentation</t>
        </is>
      </c>
      <c r="D23" s="25" t="n"/>
      <c r="E23" s="44" t="n"/>
    </row>
    <row r="25">
      <c r="A25" s="3" t="inlineStr">
        <is>
          <t>ACTION PLAN: NEXT 30 DAYS</t>
        </is>
      </c>
    </row>
    <row r="26">
      <c r="A26" s="4" t="inlineStr">
        <is>
          <t>When</t>
        </is>
      </c>
      <c r="B26" s="4" t="inlineStr">
        <is>
          <t>Action</t>
        </is>
      </c>
      <c r="C26" s="4" t="inlineStr"/>
      <c r="D26" s="4" t="inlineStr">
        <is>
          <t>Owner</t>
        </is>
      </c>
      <c r="E26" s="4" t="inlineStr">
        <is>
          <t>Done</t>
        </is>
      </c>
    </row>
    <row r="27" ht="24" customHeight="1">
      <c r="A27" s="45" t="inlineStr">
        <is>
          <t>Week 1</t>
        </is>
      </c>
      <c r="B27" s="9" t="inlineStr">
        <is>
          <t>Consult your CA about tax implications of fund consolidation and switching to Direct plans</t>
        </is>
      </c>
      <c r="D27" s="25" t="n"/>
      <c r="E27" s="44" t="n"/>
    </row>
    <row r="28" ht="24" customHeight="1">
      <c r="A28" s="45" t="inlineStr">
        <is>
          <t>Week 1</t>
        </is>
      </c>
      <c r="B28" s="9" t="inlineStr">
        <is>
          <t>Review your distributor relationship and fee structure (Regular vs Direct)</t>
        </is>
      </c>
      <c r="D28" s="25" t="n"/>
      <c r="E28" s="44" t="n"/>
    </row>
    <row r="29" ht="24" customHeight="1">
      <c r="A29" s="45" t="inlineStr">
        <is>
          <t>Week 2</t>
        </is>
      </c>
      <c r="B29" s="9" t="inlineStr">
        <is>
          <t>Document current holdings and cost basis for tax planning</t>
        </is>
      </c>
      <c r="D29" s="25" t="n"/>
      <c r="E29" s="44" t="n"/>
    </row>
    <row r="30" ht="24" customHeight="1">
      <c r="A30" s="45" t="inlineStr">
        <is>
          <t>Week 2-3</t>
        </is>
      </c>
      <c r="B30" s="9" t="inlineStr">
        <is>
          <t>Begin Phase 1 - Redirect all new SIPs to the 7 core funds only</t>
        </is>
      </c>
      <c r="D30" s="25" t="n"/>
      <c r="E30" s="44" t="n"/>
    </row>
    <row r="31" ht="24" customHeight="1">
      <c r="A31" s="45" t="inlineStr">
        <is>
          <t>Week 3-4</t>
        </is>
      </c>
      <c r="B31" s="9" t="inlineStr">
        <is>
          <t>Exit micro-positions (funds &lt;0.5% allocation)</t>
        </is>
      </c>
      <c r="D31" s="25" t="n"/>
      <c r="E31" s="44" t="n"/>
    </row>
    <row r="32" ht="24" customHeight="1">
      <c r="A32" s="45" t="inlineStr">
        <is>
          <t>Week 4+</t>
        </is>
      </c>
      <c r="B32" s="9" t="inlineStr">
        <is>
          <t>Plan Phase 2 exits with CA guidance on timing</t>
        </is>
      </c>
      <c r="D32" s="25" t="n"/>
      <c r="E32" s="44" t="n"/>
    </row>
    <row r="33" ht="24" customHeight="1">
      <c r="A33" s="45" t="inlineStr">
        <is>
          <t>Ongoing</t>
        </is>
      </c>
      <c r="B33" s="9" t="inlineStr">
        <is>
          <t>Monitor quarterly, rebalance once yearly</t>
        </is>
      </c>
      <c r="D33" s="25" t="n"/>
      <c r="E33" s="44" t="n"/>
    </row>
    <row r="35">
      <c r="A35" s="36" t="inlineStr">
        <is>
          <t>Disclaimer (from the report): This analysis is based on current allocation data and general investment principles. Before implementing any changes, consult your financial advisor and CA for tax planning and suitability assessment for your specific financial situation, goals, and time horizon.   Report generated: September 2, 2026.</t>
        </is>
      </c>
    </row>
    <row r="36"/>
  </sheetData>
  <mergeCells count="28">
    <mergeCell ref="B16:C16"/>
    <mergeCell ref="B7:C7"/>
    <mergeCell ref="A11:E11"/>
    <mergeCell ref="B22:C22"/>
    <mergeCell ref="A1:E1"/>
    <mergeCell ref="B31:C31"/>
    <mergeCell ref="B27:C27"/>
    <mergeCell ref="B21:C21"/>
    <mergeCell ref="B23:C23"/>
    <mergeCell ref="B14:C14"/>
    <mergeCell ref="A35:E36"/>
    <mergeCell ref="B8:C8"/>
    <mergeCell ref="A18:E18"/>
    <mergeCell ref="B13:C13"/>
    <mergeCell ref="A12:E12"/>
    <mergeCell ref="B29:C29"/>
    <mergeCell ref="A2:E2"/>
    <mergeCell ref="B28:C28"/>
    <mergeCell ref="A5:E5"/>
    <mergeCell ref="B9:C9"/>
    <mergeCell ref="B6:C6"/>
    <mergeCell ref="B30:C30"/>
    <mergeCell ref="A4:E4"/>
    <mergeCell ref="B15:C15"/>
    <mergeCell ref="B33:C33"/>
    <mergeCell ref="B20:C20"/>
    <mergeCell ref="A19:E19"/>
    <mergeCell ref="B32:C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2026-10-05T07:36:24Z</dcterms:created>
  <dcterms:modified xsi:type="dcterms:W3CDTF">2026-10-05T07:36:24Z</dcterms:modified>
</cp:coreProperties>
</file>