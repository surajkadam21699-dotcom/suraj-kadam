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Holdings" sheetId="2" state="visible" r:id="rId4"/>
    <sheet name="Category" sheetId="3" state="visible" r:id="rId5"/>
    <sheet name="Proposed Portfolio" sheetId="4" state="visible" r:id="rId6"/>
    <sheet name="Action Plan" sheetId="5" state="visible" r:id="rId7"/>
  </sheets>
  <definedNames>
    <definedName function="false" hidden="true" localSheetId="1" name="_xlnm._FilterDatabase" vbProcedure="false">Holdings!$A$4:$I$23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<sst xmlns="http://schemas.openxmlformats.org/spreadsheetml/2006/main" count="322" uniqueCount="232">
  <si>
    <t xml:space="preserve">PORTFOLIO FUND ANALYSIS REPORT</t>
  </si>
  <si>
    <t xml:space="preserve">Converted from the 9-page PDF dated 2 September 2026. Blue figures are read off the report; black figures are computed here from the Holdings sheet.</t>
  </si>
  <si>
    <t xml:space="preserve">HEADLINE NUMBERS</t>
  </si>
  <si>
    <t xml:space="preserve">Metric</t>
  </si>
  <si>
    <t xml:space="preserve">As stated</t>
  </si>
  <si>
    <t xml:space="preserve">Computed</t>
  </si>
  <si>
    <t xml:space="preserve">Difference</t>
  </si>
  <si>
    <t xml:space="preserve">Comment</t>
  </si>
  <si>
    <t xml:space="preserve">Total funds</t>
  </si>
  <si>
    <t xml:space="preserve">Matches.</t>
  </si>
  <si>
    <t xml:space="preserve">Top fund holding</t>
  </si>
  <si>
    <t xml:space="preserve">TRUSTMF Small Cap. Matches.</t>
  </si>
  <si>
    <t xml:space="preserve">Top 3 funds</t>
  </si>
  <si>
    <t xml:space="preserve">Report states 36.16%; the three largest holdings add to 37.16%.</t>
  </si>
  <si>
    <t xml:space="preserve">Top 5 funds</t>
  </si>
  <si>
    <t xml:space="preserve">Report states 48.17%; the five largest holdings add to 54.16%.</t>
  </si>
  <si>
    <t xml:space="preserve">Allocation total</t>
  </si>
  <si>
    <t xml:space="preserve">The 19 printed allocations sum to exactly 100%.</t>
  </si>
  <si>
    <t xml:space="preserve">Funds kept in target</t>
  </si>
  <si>
    <t xml:space="preserve">Matches the 7-fund proposed portfolio.</t>
  </si>
  <si>
    <t xml:space="preserve">Funds exited</t>
  </si>
  <si>
    <t xml:space="preserve">Matches the report's "12 redundant funds".</t>
  </si>
  <si>
    <t xml:space="preserve">CRITICAL ISSUE  (as printed)</t>
  </si>
  <si>
    <t xml:space="preserve">Your portfolio shows severe concentration risk with the top 3 funds controlling 36.16% of your portfolio. This creates unnecessary risk and limits diversification benefits.</t>
  </si>
  <si>
    <t xml:space="preserve">KEY FINDINGS &amp; ISSUES</t>
  </si>
  <si>
    <t xml:space="preserve">Finding</t>
  </si>
  <si>
    <t xml:space="preserve">Detail</t>
  </si>
  <si>
    <t xml:space="preserve">Extreme Concentration Risk</t>
  </si>
  <si>
    <t xml:space="preserve">Top 3 funds = 36.16% of portfolio. Recommended maximum is 10-12% per fund.</t>
  </si>
  <si>
    <t xml:space="preserve">Thematic Overlap</t>
  </si>
  <si>
    <t xml:space="preserve">26% of portfolio in Business Cycle funds (2 different funds with similar strategy).</t>
  </si>
  <si>
    <t xml:space="preserve">Flexi Cap Redundancy</t>
  </si>
  <si>
    <t xml:space="preserve">4 Flexi Cap funds doing similar work, fragmenting capital across overlapping strategies.</t>
  </si>
  <si>
    <t xml:space="preserve">Tail End Holdings</t>
  </si>
  <si>
    <t xml:space="preserve">4 funds below 1% allocation (essentially dead weight from a portfolio perspective).</t>
  </si>
  <si>
    <t xml:space="preserve">Fee Inefficiency</t>
  </si>
  <si>
    <t xml:space="preserve">Managing 19 funds creates higher administrative burden and fee drag from lower-quality holdings.</t>
  </si>
  <si>
    <t xml:space="preserve">Diversification Problem</t>
  </si>
  <si>
    <t xml:space="preserve">You have 19 funds but lack true diversification - too concentrated in small cap and thematic bets.</t>
  </si>
  <si>
    <t xml:space="preserve">CONCENTRATION RISK  (report's own limits)</t>
  </si>
  <si>
    <t xml:space="preserve">Level</t>
  </si>
  <si>
    <t xml:space="preserve">Stated</t>
  </si>
  <si>
    <t xml:space="preserve">Limit</t>
  </si>
  <si>
    <t xml:space="preserve">Verdict</t>
  </si>
  <si>
    <t xml:space="preserve">Top 1 fund</t>
  </si>
  <si>
    <t xml:space="preserve">max 10-12%</t>
  </si>
  <si>
    <t xml:space="preserve">max 25-30%</t>
  </si>
  <si>
    <t xml:space="preserve">healthy 40-45%</t>
  </si>
  <si>
    <t xml:space="preserve">FUNDS REQUIRING IMMEDIATE ATTENTION</t>
  </si>
  <si>
    <t xml:space="preserve">Issue</t>
  </si>
  <si>
    <t xml:space="preserve">Fund</t>
  </si>
  <si>
    <t xml:space="preserve">Allocation</t>
  </si>
  <si>
    <t xml:space="preserve">Report's comment</t>
  </si>
  <si>
    <t xml:space="preserve">Over-Allocated (&gt;10%)</t>
  </si>
  <si>
    <t xml:space="preserve">TRUSTMF Small Cap Fund</t>
  </si>
  <si>
    <t xml:space="preserve">Concentration risk. Best 1Y returns but questionable as largest holding.</t>
  </si>
  <si>
    <t xml:space="preserve">Aditya Birla SL Quant Fund</t>
  </si>
  <si>
    <t xml:space="preserve">Adequate holding but not a "core" fund in most portfolios.</t>
  </si>
  <si>
    <t xml:space="preserve">Bandhan Business Cycle Fund</t>
  </si>
  <si>
    <t xml:space="preserve">Thematic bet taking up excessive space.</t>
  </si>
  <si>
    <t xml:space="preserve">Tata Business Cycle Fund</t>
  </si>
  <si>
    <t xml:space="preserve">Duplicate thematic exposure with Bandhan BC Fund.</t>
  </si>
  <si>
    <t xml:space="preserve">Micro-Position (&lt;1%)</t>
  </si>
  <si>
    <t xml:space="preserve">TRUSTMF Money Market Fund</t>
  </si>
  <si>
    <t xml:space="preserve">Too small to matter, creates tracking burden.</t>
  </si>
  <si>
    <t xml:space="preserve">Mahindra Manulife Value Fund</t>
  </si>
  <si>
    <t xml:space="preserve">Essentially negligible, not even a rounding error.</t>
  </si>
  <si>
    <t xml:space="preserve">Redundant</t>
  </si>
  <si>
    <t xml:space="preserve">4 Flexi Cap Funds</t>
  </si>
  <si>
    <t xml:space="preserve">Aditya Birla SL (2.47%), TRUSTMF (4.51%), Bandhan (2.70%), MM (1.53%) across overlapping strategies.</t>
  </si>
  <si>
    <t xml:space="preserve">2 Business Cycle Funds</t>
  </si>
  <si>
    <t xml:space="preserve">Bandhan (10.65%) + Tata (10.01%) in the same thematic bet.</t>
  </si>
  <si>
    <t xml:space="preserve">Small Cap Duplication</t>
  </si>
  <si>
    <t xml:space="preserve">TRUSTMF (15.19%) + MM Small Cap (5.72%) concentrated in small-cap segment.</t>
  </si>
  <si>
    <t xml:space="preserve">NOTE ON THE SOURCE</t>
  </si>
  <si>
    <t xml:space="preserve">The PDF is a scan with no text layer, so every figure here was read off the rendered pages rather than extracted. Three of the report's own headline percentages do not reconcile against its 19-fund table: top 3 (36.16% stated vs 37.16% computed), top 5 (48.17% vs 54.16%) and Small Cap (26.90% stated vs 20.91% for the two small-cap funds, which is the figure the report itself uses on its own page 5). The stated figures are kept in the "As stated" column and nothing has been silently corrected - check them against the source data before acting.</t>
  </si>
  <si>
    <t xml:space="preserve">COMPLETE PORTFOLIO HOLDINGS  -  19 FUNDS</t>
  </si>
  <si>
    <t xml:space="preserve">Rank, fund, allocation, category and concentration exactly as printed in the report. Tier and Proposed % come from the report's 7-fund target portfolio.</t>
  </si>
  <si>
    <t xml:space="preserve">Rank</t>
  </si>
  <si>
    <t xml:space="preserve">Fund Name</t>
  </si>
  <si>
    <t xml:space="preserve">AMC</t>
  </si>
  <si>
    <t xml:space="preserve">Allocation %</t>
  </si>
  <si>
    <t xml:space="preserve">Category</t>
  </si>
  <si>
    <t xml:space="preserve">Concentration</t>
  </si>
  <si>
    <t xml:space="preserve">Keep / Exit</t>
  </si>
  <si>
    <t xml:space="preserve">Proposed %</t>
  </si>
  <si>
    <t xml:space="preserve">Change</t>
  </si>
  <si>
    <t xml:space="preserve">TRUSTMF Small Cap Fund - Regular (G)</t>
  </si>
  <si>
    <t xml:space="preserve">TRUSTMF</t>
  </si>
  <si>
    <t xml:space="preserve">Small Cap</t>
  </si>
  <si>
    <t xml:space="preserve">HIGH</t>
  </si>
  <si>
    <t xml:space="preserve">EXIT</t>
  </si>
  <si>
    <t xml:space="preserve">Aditya Birla SL Quant Fund - Regular (G)</t>
  </si>
  <si>
    <t xml:space="preserve">Aditya Birla</t>
  </si>
  <si>
    <t xml:space="preserve">Multi-Cap/Quant</t>
  </si>
  <si>
    <t xml:space="preserve">Bandhan Business Cycle Fund - Regular (G)</t>
  </si>
  <si>
    <t xml:space="preserve">Bandhan</t>
  </si>
  <si>
    <t xml:space="preserve">Thematic</t>
  </si>
  <si>
    <t xml:space="preserve">Tata Business Cycle Fund (G)</t>
  </si>
  <si>
    <t xml:space="preserve">Tata</t>
  </si>
  <si>
    <t xml:space="preserve">KEEP</t>
  </si>
  <si>
    <t xml:space="preserve">Mahindra Manulife Mid Cap Fund (G)</t>
  </si>
  <si>
    <t xml:space="preserve">Mahindra Manulife</t>
  </si>
  <si>
    <t xml:space="preserve">Mid Cap</t>
  </si>
  <si>
    <t xml:space="preserve">MEDIUM</t>
  </si>
  <si>
    <t xml:space="preserve">Mahindra Manulife Large &amp; Mid Cap Fund-Reg (G)</t>
  </si>
  <si>
    <t xml:space="preserve">Large &amp; Mid Cap</t>
  </si>
  <si>
    <t xml:space="preserve">Mahindra Manulife Small Cap Fund - Regular (G)</t>
  </si>
  <si>
    <t xml:space="preserve">Mahindra Manulife Focused Fund (G)</t>
  </si>
  <si>
    <t xml:space="preserve">Focused/Multi-Cap</t>
  </si>
  <si>
    <t xml:space="preserve">Mahindra Manulife Business Cycle Fund - Reg (G)</t>
  </si>
  <si>
    <t xml:space="preserve">Tata India Innovation Fund - Regular (G)</t>
  </si>
  <si>
    <t xml:space="preserve">TRUSTMF Flexi Cap Fund - Regular (G)</t>
  </si>
  <si>
    <t xml:space="preserve">Flexi Cap</t>
  </si>
  <si>
    <t xml:space="preserve">Aditya Birla SL Ultra Short to Short Term Fund-Reg (G)</t>
  </si>
  <si>
    <t xml:space="preserve">Debt/Short Term</t>
  </si>
  <si>
    <t xml:space="preserve">LOW</t>
  </si>
  <si>
    <t xml:space="preserve">Bandhan Ultra Short Term Fund - Reg (G)</t>
  </si>
  <si>
    <t xml:space="preserve">Bandhan Flexi Cap Fund (G)</t>
  </si>
  <si>
    <t xml:space="preserve">Aditya Birla SL Flexi Cap Fund (G)</t>
  </si>
  <si>
    <t xml:space="preserve">Mahindra Manulife Flexi Cap Fund (G)</t>
  </si>
  <si>
    <t xml:space="preserve">Tata Ultra Short Term Fund - Regular (G)</t>
  </si>
  <si>
    <t xml:space="preserve">TRUSTMF Money Market Fund (G)</t>
  </si>
  <si>
    <t xml:space="preserve">Money Market</t>
  </si>
  <si>
    <t xml:space="preserve">Mahindra Manulife Value Fund - Regular (G)</t>
  </si>
  <si>
    <t xml:space="preserve">Value</t>
  </si>
  <si>
    <t xml:space="preserve">TOTAL  (19 funds)</t>
  </si>
  <si>
    <t xml:space="preserve">PORTFOLIO BY CATEGORY</t>
  </si>
  <si>
    <t xml:space="preserve">Top block is computed live from the Holdings sheet. Bottom block is the report's own panel, reproduced as printed - the two do not agree everywhere.</t>
  </si>
  <si>
    <t xml:space="preserve">COMPUTED FROM HOLDINGS</t>
  </si>
  <si>
    <t xml:space="preserve">Funds</t>
  </si>
  <si>
    <t xml:space="preserve">Share of Equity</t>
  </si>
  <si>
    <t xml:space="preserve">TOTAL</t>
  </si>
  <si>
    <t xml:space="preserve">AS STATED IN THE REPORT</t>
  </si>
  <si>
    <t xml:space="preserve">Category (report wording)</t>
  </si>
  <si>
    <t xml:space="preserve">Stated %</t>
  </si>
  <si>
    <t xml:space="preserve">Report's fund list</t>
  </si>
  <si>
    <t xml:space="preserve">Note</t>
  </si>
  <si>
    <t xml:space="preserve">TRUSTMF, MM, others</t>
  </si>
  <si>
    <t xml:space="preserve">Report's own text elsewhere gives TRUSTMF + MM Small Cap = 20.91%.</t>
  </si>
  <si>
    <t xml:space="preserve">Business Cycle (Thematic)</t>
  </si>
  <si>
    <t xml:space="preserve">Bandhan, Tata, MM</t>
  </si>
  <si>
    <t xml:space="preserve">Reconciles: 10.65 + 10.01 + 5.23 = 25.89%.</t>
  </si>
  <si>
    <t xml:space="preserve">Aditya Birla, TRUSTMF, Bandhan, MM</t>
  </si>
  <si>
    <t xml:space="preserve">Reconciles: 4.51 + 2.70 + 2.47 + 1.53 = 11.21%.</t>
  </si>
  <si>
    <t xml:space="preserve">Multi-Cap &amp; Others</t>
  </si>
  <si>
    <t xml:space="preserve">Aditya Birla Quant, Tata Innovation</t>
  </si>
  <si>
    <t xml:space="preserve">11.32% is Aditya Birla Quant alone; Tata Innovation (5.14%) not included.</t>
  </si>
  <si>
    <t xml:space="preserve">MM Large &amp; Mid Cap, MM Focused</t>
  </si>
  <si>
    <t xml:space="preserve">Named funds total 5.73 + 5.61 = 11.34%.</t>
  </si>
  <si>
    <t xml:space="preserve">Debt &amp; Money Market</t>
  </si>
  <si>
    <t xml:space="preserve">Ultra Short Term, Money Market</t>
  </si>
  <si>
    <t xml:space="preserve">Reconciles: 3.11 + 2.90 + 0.86 + 0.27 = 7.14%.</t>
  </si>
  <si>
    <t xml:space="preserve">TOTAL AS STATED</t>
  </si>
  <si>
    <t xml:space="preserve">The six stated buckets do not sum to 100%.</t>
  </si>
  <si>
    <t xml:space="preserve">PROPOSED OPTIMIZED PORTFOLIO  -  7 FUNDS</t>
  </si>
  <si>
    <t xml:space="preserve">The report's target portfolio: 19 funds down to 7, in three tiers.</t>
  </si>
  <si>
    <t xml:space="preserve">Tier</t>
  </si>
  <si>
    <t xml:space="preserve">Current %</t>
  </si>
  <si>
    <t xml:space="preserve">Rationale</t>
  </si>
  <si>
    <t xml:space="preserve">Tier 1: Core Holdings  -  60% allocation</t>
  </si>
  <si>
    <t xml:space="preserve">Tier 1</t>
  </si>
  <si>
    <t xml:space="preserve">Aditya Birla SL Flexi Cap Fund</t>
  </si>
  <si>
    <t xml:space="preserve">Best quality, consolidate other flexi caps here</t>
  </si>
  <si>
    <t xml:space="preserve">Mahindra Manulife Small Cap Fund</t>
  </si>
  <si>
    <t xml:space="preserve">Consolidate TRUSTMF SC here, reduce concentration</t>
  </si>
  <si>
    <t xml:space="preserve">Mahindra Manulife Mid Cap Fund</t>
  </si>
  <si>
    <t xml:space="preserve">Strong performer, expand position</t>
  </si>
  <si>
    <t xml:space="preserve">Tier 1 subtotal</t>
  </si>
  <si>
    <t xml:space="preserve">Target 60%</t>
  </si>
  <si>
    <t xml:space="preserve">Tier 2: Balanced Holdings  -  22% allocation</t>
  </si>
  <si>
    <t xml:space="preserve">Tier 2</t>
  </si>
  <si>
    <t xml:space="preserve">Mahindra Manulife Large &amp; Mid Cap Fund</t>
  </si>
  <si>
    <t xml:space="preserve">Steady performer, lower volatility</t>
  </si>
  <si>
    <t xml:space="preserve">Mahindra Manulife Focused Fund</t>
  </si>
  <si>
    <t xml:space="preserve">Satellite position, controlled exposure</t>
  </si>
  <si>
    <t xml:space="preserve">Tier 2 subtotal</t>
  </si>
  <si>
    <t xml:space="preserve">Target 22%</t>
  </si>
  <si>
    <t xml:space="preserve">Tier 3: Stability &amp; Defensive  -  18% allocation</t>
  </si>
  <si>
    <t xml:space="preserve">Tier 3</t>
  </si>
  <si>
    <t xml:space="preserve">Single thematic bet (capped), exit Bandhan duplicate</t>
  </si>
  <si>
    <t xml:space="preserve">Bandhan Ultra Short Term Fund</t>
  </si>
  <si>
    <t xml:space="preserve">Safety buffer, best debt fund quality</t>
  </si>
  <si>
    <t xml:space="preserve">Tier 3 subtotal</t>
  </si>
  <si>
    <t xml:space="preserve">Target 18%</t>
  </si>
  <si>
    <t xml:space="preserve">TOTAL  (7 funds)</t>
  </si>
  <si>
    <t xml:space="preserve">The 12 funds not listed here are exited.</t>
  </si>
  <si>
    <t xml:space="preserve">STRATEGIC RECOMMENDATIONS &amp; 30-DAY ACTION PLAN</t>
  </si>
  <si>
    <t xml:space="preserve">Reproduced from the report. Owner and Done columns are blank for you to fill in.</t>
  </si>
  <si>
    <t xml:space="preserve">Recommendation 1: Immediate Fund Consolidation</t>
  </si>
  <si>
    <t xml:space="preserve">Reduce from 19 funds to 7 core holdings to eliminate redundancy and reduce fee drag.</t>
  </si>
  <si>
    <t xml:space="preserve">Consolidate 4 Flexi Cap funds into 1 best-performing one</t>
  </si>
  <si>
    <t xml:space="preserve">Keep only 1 Business Cycle thematic bet (keep Tata, exit Bandhan)</t>
  </si>
  <si>
    <t xml:space="preserve">Reduce small cap concentration from 26.90% to 15-20%</t>
  </si>
  <si>
    <t xml:space="preserve">Exit all micro-positions (&lt;0.5%)</t>
  </si>
  <si>
    <t xml:space="preserve">Recommendation 2: Rebalance Top Holdings</t>
  </si>
  <si>
    <t xml:space="preserve">Bring the largest holdings to healthier concentration levels (10-12% maximum).</t>
  </si>
  <si>
    <t xml:space="preserve">Reduce TRUSTMF Small Cap from 15.19% to 12%</t>
  </si>
  <si>
    <t xml:space="preserve">Reduce Aditya Birla Quant from 11.32% to 10%</t>
  </si>
  <si>
    <t xml:space="preserve">Reduce Bandhan BC from 10.65% to exit</t>
  </si>
  <si>
    <t xml:space="preserve">Reduce Tata BC from 10.01% to 8%</t>
  </si>
  <si>
    <t xml:space="preserve">Recommendation 3: Tax-Efficient Exit Strategy</t>
  </si>
  <si>
    <t xml:space="preserve">Implement over 6 months to minimize capital gains tax impact.</t>
  </si>
  <si>
    <t xml:space="preserve">Phase 1 (Weeks 1-2): Redirect new SIPs away from 12 redundant funds</t>
  </si>
  <si>
    <t xml:space="preserve">Phase 2 (Weeks 3-8): Exit micro-positions and worst performers</t>
  </si>
  <si>
    <t xml:space="preserve">Phase 3 (Months 2-4): Exit redundant flexi caps and thematic duplicates</t>
  </si>
  <si>
    <t xml:space="preserve">Phase 4 (Months 4-6): Finalize rebalancing and tax documentation</t>
  </si>
  <si>
    <t xml:space="preserve">Recommendation 4: Consider Direct Plan Migration</t>
  </si>
  <si>
    <t xml:space="preserve">Switching from Regular to Direct plans can save Rs 2-3 lakh annually in fees.</t>
  </si>
  <si>
    <t xml:space="preserve">Review your relationship with your fund distributor</t>
  </si>
  <si>
    <t xml:space="preserve">Calculate tax cost of switching vs. long-term fee savings</t>
  </si>
  <si>
    <t xml:space="preserve">Direct plans typically have 0.5-1.5% lower expense ratios</t>
  </si>
  <si>
    <t xml:space="preserve">Over 10 years: Direct plans can add Rs 23+ lakh to your portfolio</t>
  </si>
  <si>
    <t xml:space="preserve">ACTION PLAN: NEXT 30 DAYS</t>
  </si>
  <si>
    <t xml:space="preserve">When</t>
  </si>
  <si>
    <t xml:space="preserve">Action</t>
  </si>
  <si>
    <t xml:space="preserve">Owner</t>
  </si>
  <si>
    <t xml:space="preserve">Done</t>
  </si>
  <si>
    <t xml:space="preserve">Week 1</t>
  </si>
  <si>
    <t xml:space="preserve">Consult your CA about tax implications of fund consolidation and switching to Direct plans</t>
  </si>
  <si>
    <t xml:space="preserve">Review your distributor relationship and fee structure (Regular vs Direct)</t>
  </si>
  <si>
    <t xml:space="preserve">Week 2</t>
  </si>
  <si>
    <t xml:space="preserve">Document current holdings and cost basis for tax planning</t>
  </si>
  <si>
    <t xml:space="preserve">Week 2-3</t>
  </si>
  <si>
    <t xml:space="preserve">Begin Phase 1 - Redirect all new SIPs to the 7 core funds only</t>
  </si>
  <si>
    <t xml:space="preserve">Week 3-4</t>
  </si>
  <si>
    <t xml:space="preserve">Exit micro-positions (funds &lt;0.5% allocation)</t>
  </si>
  <si>
    <t xml:space="preserve">Week 4+</t>
  </si>
  <si>
    <t xml:space="preserve">Plan Phase 2 exits with CA guidance on timing</t>
  </si>
  <si>
    <t xml:space="preserve">Ongoing</t>
  </si>
  <si>
    <t xml:space="preserve">Monitor quarterly, rebalance once yearly</t>
  </si>
  <si>
    <t xml:space="preserve">Disclaimer (from the report): This analysis is based on current allocation data and general investment principles. Before implementing any changes, consult your financial advisor and CA for tax planning and suitability assessment for your specific financial situation, goals, and time horizon.   Report generated: September 2, 2026.</t>
  </si>
</sst>
</file>

<file path=xl/styles.xml><?xml version="1.0" encoding="utf-8"?>
<styleSheet xmlns="http://schemas.openxmlformats.org/spreadsheetml/2006/main">
  <numFmts count="6">
    <numFmt numFmtId="164" formatCode="General"/>
    <numFmt numFmtId="165" formatCode="#,##0;\(#,##0\);\-"/>
    <numFmt numFmtId="166" formatCode="\+#,##0;\-#,##0;\-"/>
    <numFmt numFmtId="167" formatCode="0.00%;\(0.00%\);\-"/>
    <numFmt numFmtId="168" formatCode="\+0.00%;\-0.00%;\-"/>
    <numFmt numFmtId="169" formatCode="0%;\(0%\);\-"/>
  </numFmts>
  <fonts count="17">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404040"/>
      <name val="Arial"/>
      <family val="0"/>
      <charset val="1"/>
    </font>
    <font>
      <b val="true"/>
      <sz val="11"/>
      <color rgb="FF1F3864"/>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color rgb="FF000000"/>
      <name val="Arial"/>
      <family val="0"/>
      <charset val="1"/>
    </font>
    <font>
      <sz val="10"/>
      <name val="Arial"/>
      <family val="0"/>
      <charset val="1"/>
    </font>
    <font>
      <sz val="10"/>
      <color rgb="FF9C0006"/>
      <name val="Arial"/>
      <family val="0"/>
      <charset val="1"/>
    </font>
    <font>
      <sz val="10"/>
      <color rgb="FF9C5700"/>
      <name val="Arial"/>
      <family val="0"/>
      <charset val="1"/>
    </font>
    <font>
      <sz val="10"/>
      <color rgb="FF0061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1F3864"/>
        <bgColor rgb="FF333399"/>
      </patternFill>
    </fill>
    <fill>
      <patternFill patternType="solid">
        <fgColor rgb="FFF2F2F2"/>
        <bgColor rgb="FFFFFFFF"/>
      </patternFill>
    </fill>
    <fill>
      <patternFill patternType="solid">
        <fgColor rgb="FF2E75B6"/>
        <bgColor rgb="FF4F81BD"/>
      </patternFill>
    </fill>
    <fill>
      <patternFill patternType="solid">
        <fgColor rgb="FFFFC7CE"/>
        <bgColor rgb="FFD9D9D9"/>
      </patternFill>
    </fill>
    <fill>
      <patternFill patternType="solid">
        <fgColor rgb="FFFFEB9C"/>
        <bgColor rgb="FFFFF2CC"/>
      </patternFill>
    </fill>
    <fill>
      <patternFill patternType="solid">
        <fgColor rgb="FFFFF2CC"/>
        <bgColor rgb="FFF2F2F2"/>
      </patternFill>
    </fill>
    <fill>
      <patternFill patternType="solid">
        <fgColor rgb="FFC6EFCE"/>
        <bgColor rgb="FFD9D9D9"/>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8" fontId="10" fillId="0" borderId="1" xfId="0" applyFont="true" applyBorder="true" applyAlignment="true" applyProtection="false">
      <alignment horizontal="center" vertical="center" textRotation="0" wrapText="false" indent="0" shrinkToFit="false"/>
      <protection locked="true" hidden="false"/>
    </xf>
    <xf numFmtId="164" fontId="12" fillId="5" borderId="2" xfId="0" applyFont="true" applyBorder="true" applyAlignment="true" applyProtection="false">
      <alignment horizontal="general" vertical="center" textRotation="0" wrapText="tru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8" fillId="0" borderId="3"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false" applyProtection="false">
      <alignment horizontal="general" vertical="bottom" textRotation="0" wrapText="fals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4" fontId="11" fillId="7" borderId="1" xfId="0" applyFont="true" applyBorder="true" applyAlignment="false" applyProtection="false">
      <alignment horizontal="general" vertical="bottom" textRotation="0" wrapText="false" indent="0" shrinkToFit="false"/>
      <protection locked="true" hidden="false"/>
    </xf>
    <xf numFmtId="164" fontId="5" fillId="7" borderId="2" xfId="0" applyFont="true" applyBorder="true" applyAlignment="true" applyProtection="false">
      <alignment horizontal="general"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14" fillId="8"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4" fontId="11"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7" fontId="7" fillId="2" borderId="1"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9" fontId="7" fillId="2" borderId="1" xfId="0" applyFont="true" applyBorder="true" applyAlignment="true" applyProtection="false">
      <alignment horizontal="center" vertical="center" textRotation="0" wrapText="false" indent="0" shrinkToFit="false"/>
      <protection locked="true" hidden="false"/>
    </xf>
    <xf numFmtId="165" fontId="7" fillId="2"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center" vertical="center" textRotation="0" wrapText="false" indent="0" shrinkToFit="false"/>
      <protection locked="true" hidden="false"/>
    </xf>
    <xf numFmtId="169" fontId="8" fillId="3" borderId="1" xfId="0" applyFont="true" applyBorder="true" applyAlignment="true" applyProtection="false">
      <alignment horizontal="center" vertical="center" textRotation="0" wrapText="false" indent="0" shrinkToFit="false"/>
      <protection locked="true" hidden="false"/>
    </xf>
    <xf numFmtId="168" fontId="8" fillId="3" borderId="1" xfId="0" applyFont="true" applyBorder="true" applyAlignment="true" applyProtection="false">
      <alignment horizontal="center" vertical="center"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8" fontId="7" fillId="2" borderId="1" xfId="0" applyFont="true" applyBorder="true" applyAlignment="true" applyProtection="false">
      <alignment horizontal="center" vertical="center" textRotation="0" wrapText="false" indent="0" shrinkToFit="false"/>
      <protection locked="true" hidden="false"/>
    </xf>
    <xf numFmtId="164" fontId="5" fillId="3" borderId="3" xfId="0" applyFont="true" applyBorder="true" applyAlignment="false" applyProtection="false">
      <alignment horizontal="general" vertical="bottom" textRotation="0" wrapText="false" indent="0" shrinkToFit="false"/>
      <protection locked="true" hidden="false"/>
    </xf>
    <xf numFmtId="164" fontId="11" fillId="0" borderId="3"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2E75B6"/>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9C57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78787"/>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4F81BD"/>
      <rgbColor rgb="FF969696"/>
      <rgbColor rgb="FF1F3864"/>
      <rgbColor rgb="FF339966"/>
      <rgbColor rgb="FF003300"/>
      <rgbColor rgb="FF333300"/>
      <rgbColor rgb="FF9C57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Allocation by category (computed)</a:t>
            </a:r>
          </a:p>
        </c:rich>
      </c:tx>
      <c:overlay val="0"/>
      <c:spPr>
        <a:noFill/>
        <a:ln w="0">
          <a:noFill/>
        </a:ln>
      </c:spPr>
    </c:title>
    <c:autoTitleDeleted val="0"/>
    <c:plotArea>
      <c:barChart>
        <c:barDir val="bar"/>
        <c:grouping val="clustered"/>
        <c:varyColors val="0"/>
        <c:ser>
          <c:idx val="0"/>
          <c:order val="0"/>
          <c:tx>
            <c:strRef>
              <c:f>Category!C5</c:f>
              <c:strCache>
                <c:ptCount val="1"/>
                <c:pt idx="0">
                  <c:v>Allocation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Category!$A$6:$A$15</c:f>
              <c:strCache>
                <c:ptCount val="10"/>
                <c:pt idx="0">
                  <c:v>Small Cap</c:v>
                </c:pt>
                <c:pt idx="1">
                  <c:v>Mid Cap</c:v>
                </c:pt>
                <c:pt idx="2">
                  <c:v>Large &amp; Mid Cap</c:v>
                </c:pt>
                <c:pt idx="3">
                  <c:v>Flexi Cap</c:v>
                </c:pt>
                <c:pt idx="4">
                  <c:v>Focused/Multi-Cap</c:v>
                </c:pt>
                <c:pt idx="5">
                  <c:v>Multi-Cap/Quant</c:v>
                </c:pt>
                <c:pt idx="6">
                  <c:v>Thematic</c:v>
                </c:pt>
                <c:pt idx="7">
                  <c:v>Debt/Short Term</c:v>
                </c:pt>
                <c:pt idx="8">
                  <c:v>Money Market</c:v>
                </c:pt>
                <c:pt idx="9">
                  <c:v>Value</c:v>
                </c:pt>
              </c:strCache>
            </c:strRef>
          </c:cat>
          <c:val>
            <c:numRef>
              <c:f>Category!$C$6:$C$15</c:f>
              <c:numCache>
                <c:formatCode>0.00%;\(0.00%\);\-</c:formatCode>
                <c:ptCount val="10"/>
                <c:pt idx="0">
                  <c:v>0.2091</c:v>
                </c:pt>
                <c:pt idx="1">
                  <c:v>0.0699</c:v>
                </c:pt>
                <c:pt idx="2">
                  <c:v>0.0573</c:v>
                </c:pt>
                <c:pt idx="3">
                  <c:v>0.1121</c:v>
                </c:pt>
                <c:pt idx="4">
                  <c:v>0.0561</c:v>
                </c:pt>
                <c:pt idx="5">
                  <c:v>0.1132</c:v>
                </c:pt>
                <c:pt idx="6">
                  <c:v>0.3103</c:v>
                </c:pt>
                <c:pt idx="7">
                  <c:v>0.0687</c:v>
                </c:pt>
                <c:pt idx="8">
                  <c:v>0.0027</c:v>
                </c:pt>
                <c:pt idx="9">
                  <c:v>0.0006</c:v>
                </c:pt>
              </c:numCache>
            </c:numRef>
          </c:val>
        </c:ser>
        <c:gapWidth val="150"/>
        <c:overlap val="0"/>
        <c:axId val="24156273"/>
        <c:axId val="36557543"/>
      </c:barChart>
      <c:catAx>
        <c:axId val="2415627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557543"/>
        <c:crosses val="autoZero"/>
        <c:auto val="1"/>
        <c:lblAlgn val="ctr"/>
        <c:lblOffset val="100"/>
        <c:noMultiLvlLbl val="0"/>
      </c:catAx>
      <c:valAx>
        <c:axId val="36557543"/>
        <c:scaling>
          <c:orientation val="minMax"/>
        </c:scaling>
        <c:delete val="0"/>
        <c:axPos val="l"/>
        <c:majorGridlines>
          <c:spPr>
            <a:ln w="9360">
              <a:solidFill>
                <a:srgbClr val="878787"/>
              </a:solidFill>
              <a:round/>
            </a:ln>
          </c:spPr>
        </c:majorGridlines>
        <c:numFmt formatCode="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15627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4</xdr:row>
      <xdr:rowOff>0</xdr:rowOff>
    </xdr:from>
    <xdr:to>
      <xdr:col>12</xdr:col>
      <xdr:colOff>126720</xdr:colOff>
      <xdr:row>19</xdr:row>
      <xdr:rowOff>191880</xdr:rowOff>
    </xdr:to>
    <xdr:graphicFrame>
      <xdr:nvGraphicFramePr>
        <xdr:cNvPr id="0" name="Chart 1"/>
        <xdr:cNvGraphicFramePr/>
      </xdr:nvGraphicFramePr>
      <xdr:xfrm>
        <a:off x="13115880" y="905040"/>
        <a:ext cx="46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15"/>
    <col collapsed="false" customWidth="true" hidden="false" outlineLevel="0" max="5" min="5" style="0" width="62"/>
  </cols>
  <sheetData>
    <row r="1" customFormat="false" ht="25.5" hidden="false" customHeight="true" outlineLevel="0" collapsed="false">
      <c r="A1" s="1" t="s">
        <v>0</v>
      </c>
      <c r="B1" s="1"/>
      <c r="C1" s="1"/>
      <c r="D1" s="1"/>
      <c r="E1" s="1"/>
    </row>
    <row r="2" customFormat="false" ht="15.75" hidden="false" customHeight="true" outlineLevel="0" collapsed="false">
      <c r="A2" s="2" t="s">
        <v>1</v>
      </c>
      <c r="B2" s="2"/>
      <c r="C2" s="2"/>
      <c r="D2" s="2"/>
      <c r="E2" s="2"/>
    </row>
    <row r="4" customFormat="false" ht="15" hidden="false" customHeight="false" outlineLevel="0" collapsed="false">
      <c r="A4" s="3" t="s">
        <v>2</v>
      </c>
    </row>
    <row r="5" customFormat="false" ht="15" hidden="false" customHeight="false" outlineLevel="0" collapsed="false">
      <c r="A5" s="4" t="s">
        <v>3</v>
      </c>
      <c r="B5" s="4" t="s">
        <v>4</v>
      </c>
      <c r="C5" s="4" t="s">
        <v>5</v>
      </c>
      <c r="D5" s="4" t="s">
        <v>6</v>
      </c>
      <c r="E5" s="4" t="s">
        <v>7</v>
      </c>
    </row>
    <row r="6" customFormat="false" ht="24" hidden="false" customHeight="true" outlineLevel="0" collapsed="false">
      <c r="A6" s="5" t="s">
        <v>8</v>
      </c>
      <c r="B6" s="6" t="n">
        <v>19</v>
      </c>
      <c r="C6" s="7" t="n">
        <f aca="false">COUNTA(Holdings!$B$5:$B$23)</f>
        <v>19</v>
      </c>
      <c r="D6" s="8" t="n">
        <f aca="false">$C6-$B6</f>
        <v>0</v>
      </c>
      <c r="E6" s="9" t="s">
        <v>9</v>
      </c>
    </row>
    <row r="7" customFormat="false" ht="24" hidden="false" customHeight="true" outlineLevel="0" collapsed="false">
      <c r="A7" s="5" t="s">
        <v>10</v>
      </c>
      <c r="B7" s="10" t="n">
        <v>0.1519</v>
      </c>
      <c r="C7" s="11" t="n">
        <f aca="false">LARGE((Holdings!$D$5:$D$23),1)</f>
        <v>0.1519</v>
      </c>
      <c r="D7" s="12" t="n">
        <f aca="false">$C7-$B7</f>
        <v>0</v>
      </c>
      <c r="E7" s="9" t="s">
        <v>11</v>
      </c>
    </row>
    <row r="8" customFormat="false" ht="24" hidden="false" customHeight="true" outlineLevel="0" collapsed="false">
      <c r="A8" s="5" t="s">
        <v>12</v>
      </c>
      <c r="B8" s="10" t="n">
        <v>0.3616</v>
      </c>
      <c r="C8" s="11" t="n">
        <f aca="false">LARGE((Holdings!$D$5:$D$23),1)+LARGE((Holdings!$D$5:$D$23),2)+LARGE((Holdings!$D$5:$D$23),3)</f>
        <v>0.3716</v>
      </c>
      <c r="D8" s="12" t="n">
        <f aca="false">$C8-$B8</f>
        <v>0.01</v>
      </c>
      <c r="E8" s="9" t="s">
        <v>13</v>
      </c>
    </row>
    <row r="9" customFormat="false" ht="24" hidden="false" customHeight="true" outlineLevel="0" collapsed="false">
      <c r="A9" s="5" t="s">
        <v>14</v>
      </c>
      <c r="B9" s="10" t="n">
        <v>0.4817</v>
      </c>
      <c r="C9" s="11" t="n">
        <f aca="false">LARGE((Holdings!$D$5:$D$23),1)+LARGE((Holdings!$D$5:$D$23),2)+LARGE((Holdings!$D$5:$D$23),3)+LARGE((Holdings!$D$5:$D$23),4)+LARGE((Holdings!$D$5:$D$23),5)</f>
        <v>0.5416</v>
      </c>
      <c r="D9" s="12" t="n">
        <f aca="false">$C9-$B9</f>
        <v>0.0599</v>
      </c>
      <c r="E9" s="9" t="s">
        <v>15</v>
      </c>
    </row>
    <row r="10" customFormat="false" ht="24" hidden="false" customHeight="true" outlineLevel="0" collapsed="false">
      <c r="A10" s="5" t="s">
        <v>16</v>
      </c>
      <c r="B10" s="10" t="n">
        <v>1</v>
      </c>
      <c r="C10" s="11" t="n">
        <f aca="false">SUM(Holdings!$D$5:$D$23)</f>
        <v>1</v>
      </c>
      <c r="D10" s="12" t="n">
        <f aca="false">$C10-$B10</f>
        <v>0</v>
      </c>
      <c r="E10" s="9" t="s">
        <v>17</v>
      </c>
    </row>
    <row r="11" customFormat="false" ht="24" hidden="false" customHeight="true" outlineLevel="0" collapsed="false">
      <c r="A11" s="5" t="s">
        <v>18</v>
      </c>
      <c r="B11" s="6" t="n">
        <v>7</v>
      </c>
      <c r="C11" s="7" t="n">
        <f aca="false">COUNTIF(Holdings!$G$5:$G$23,"KEEP")</f>
        <v>7</v>
      </c>
      <c r="D11" s="8" t="n">
        <f aca="false">$C11-$B11</f>
        <v>0</v>
      </c>
      <c r="E11" s="9" t="s">
        <v>19</v>
      </c>
    </row>
    <row r="12" customFormat="false" ht="24" hidden="false" customHeight="true" outlineLevel="0" collapsed="false">
      <c r="A12" s="5" t="s">
        <v>20</v>
      </c>
      <c r="B12" s="6" t="n">
        <v>12</v>
      </c>
      <c r="C12" s="7" t="n">
        <f aca="false">COUNTIF(Holdings!$G$5:$G$23,"EXIT")</f>
        <v>12</v>
      </c>
      <c r="D12" s="8" t="n">
        <f aca="false">$C12-$B12</f>
        <v>0</v>
      </c>
      <c r="E12" s="9" t="s">
        <v>21</v>
      </c>
    </row>
    <row r="14" customFormat="false" ht="15" hidden="false" customHeight="false" outlineLevel="0" collapsed="false">
      <c r="A14" s="3" t="s">
        <v>22</v>
      </c>
    </row>
    <row r="15" customFormat="false" ht="15" hidden="false" customHeight="true" outlineLevel="0" collapsed="false">
      <c r="A15" s="13" t="s">
        <v>23</v>
      </c>
      <c r="B15" s="13"/>
      <c r="C15" s="13"/>
      <c r="D15" s="13"/>
      <c r="E15" s="13"/>
    </row>
    <row r="16" customFormat="false" ht="15" hidden="false" customHeight="false" outlineLevel="0" collapsed="false">
      <c r="A16" s="13"/>
      <c r="B16" s="13"/>
      <c r="C16" s="13"/>
      <c r="D16" s="13"/>
      <c r="E16" s="13"/>
    </row>
    <row r="18" customFormat="false" ht="15" hidden="false" customHeight="false" outlineLevel="0" collapsed="false">
      <c r="A18" s="3" t="s">
        <v>24</v>
      </c>
    </row>
    <row r="19" customFormat="false" ht="15" hidden="false" customHeight="false" outlineLevel="0" collapsed="false">
      <c r="A19" s="14" t="s">
        <v>25</v>
      </c>
      <c r="B19" s="14"/>
      <c r="C19" s="14"/>
      <c r="D19" s="14"/>
      <c r="E19" s="14" t="s">
        <v>26</v>
      </c>
    </row>
    <row r="20" customFormat="false" ht="25.5" hidden="false" customHeight="true" outlineLevel="0" collapsed="false">
      <c r="A20" s="15" t="s">
        <v>27</v>
      </c>
      <c r="B20" s="15"/>
      <c r="C20" s="15"/>
      <c r="D20" s="15"/>
      <c r="E20" s="9" t="s">
        <v>28</v>
      </c>
    </row>
    <row r="21" customFormat="false" ht="25.5" hidden="false" customHeight="true" outlineLevel="0" collapsed="false">
      <c r="A21" s="15" t="s">
        <v>29</v>
      </c>
      <c r="B21" s="15"/>
      <c r="C21" s="15"/>
      <c r="D21" s="15"/>
      <c r="E21" s="9" t="s">
        <v>30</v>
      </c>
    </row>
    <row r="22" customFormat="false" ht="25.5" hidden="false" customHeight="true" outlineLevel="0" collapsed="false">
      <c r="A22" s="15" t="s">
        <v>31</v>
      </c>
      <c r="B22" s="15"/>
      <c r="C22" s="15"/>
      <c r="D22" s="15"/>
      <c r="E22" s="9" t="s">
        <v>32</v>
      </c>
    </row>
    <row r="23" customFormat="false" ht="25.5" hidden="false" customHeight="true" outlineLevel="0" collapsed="false">
      <c r="A23" s="15" t="s">
        <v>33</v>
      </c>
      <c r="B23" s="15"/>
      <c r="C23" s="15"/>
      <c r="D23" s="15"/>
      <c r="E23" s="9" t="s">
        <v>34</v>
      </c>
    </row>
    <row r="24" customFormat="false" ht="25.5" hidden="false" customHeight="true" outlineLevel="0" collapsed="false">
      <c r="A24" s="15" t="s">
        <v>35</v>
      </c>
      <c r="B24" s="15"/>
      <c r="C24" s="15"/>
      <c r="D24" s="15"/>
      <c r="E24" s="9" t="s">
        <v>36</v>
      </c>
    </row>
    <row r="25" customFormat="false" ht="25.5" hidden="false" customHeight="true" outlineLevel="0" collapsed="false">
      <c r="A25" s="15" t="s">
        <v>37</v>
      </c>
      <c r="B25" s="15"/>
      <c r="C25" s="15"/>
      <c r="D25" s="15"/>
      <c r="E25" s="9" t="s">
        <v>38</v>
      </c>
    </row>
    <row r="27" customFormat="false" ht="15" hidden="false" customHeight="false" outlineLevel="0" collapsed="false">
      <c r="A27" s="3" t="s">
        <v>39</v>
      </c>
    </row>
    <row r="28" customFormat="false" ht="15" hidden="false" customHeight="false" outlineLevel="0" collapsed="false">
      <c r="A28" s="4" t="s">
        <v>40</v>
      </c>
      <c r="B28" s="4" t="s">
        <v>41</v>
      </c>
      <c r="C28" s="4" t="s">
        <v>5</v>
      </c>
      <c r="D28" s="4" t="s">
        <v>42</v>
      </c>
      <c r="E28" s="4" t="s">
        <v>43</v>
      </c>
    </row>
    <row r="29" customFormat="false" ht="15" hidden="false" customHeight="false" outlineLevel="0" collapsed="false">
      <c r="A29" s="5" t="s">
        <v>44</v>
      </c>
      <c r="B29" s="10" t="n">
        <v>0.1519</v>
      </c>
      <c r="C29" s="11" t="n">
        <f aca="false">LARGE((Holdings!$D$5:$D$23),1)</f>
        <v>0.1519</v>
      </c>
      <c r="D29" s="16" t="s">
        <v>45</v>
      </c>
      <c r="E29" s="17" t="str">
        <f aca="false">IF($C29&gt;0.12,"OVER by "&amp;TEXT($C29-0.12,"0.00%"),"Within limit")</f>
        <v>OVER by 3.19%</v>
      </c>
    </row>
    <row r="30" customFormat="false" ht="15" hidden="false" customHeight="false" outlineLevel="0" collapsed="false">
      <c r="A30" s="5" t="s">
        <v>12</v>
      </c>
      <c r="B30" s="10" t="n">
        <v>0.3616</v>
      </c>
      <c r="C30" s="11" t="n">
        <f aca="false">LARGE((Holdings!$D$5:$D$23),1)+LARGE((Holdings!$D$5:$D$23),2)+LARGE((Holdings!$D$5:$D$23),3)</f>
        <v>0.3716</v>
      </c>
      <c r="D30" s="16" t="s">
        <v>46</v>
      </c>
      <c r="E30" s="17" t="str">
        <f aca="false">IF($C30&gt;0.3,"OVER by "&amp;TEXT($C30-0.3,"0.00%"),"Within limit")</f>
        <v>OVER by 7.16%</v>
      </c>
    </row>
    <row r="31" customFormat="false" ht="15" hidden="false" customHeight="false" outlineLevel="0" collapsed="false">
      <c r="A31" s="5" t="s">
        <v>14</v>
      </c>
      <c r="B31" s="10" t="n">
        <v>0.4817</v>
      </c>
      <c r="C31" s="11" t="n">
        <f aca="false">LARGE((Holdings!$D$5:$D$23),1)+LARGE((Holdings!$D$5:$D$23),2)+LARGE((Holdings!$D$5:$D$23),3)+LARGE((Holdings!$D$5:$D$23),4)+LARGE((Holdings!$D$5:$D$23),5)</f>
        <v>0.5416</v>
      </c>
      <c r="D31" s="16" t="s">
        <v>47</v>
      </c>
      <c r="E31" s="17" t="str">
        <f aca="false">IF($C31&gt;0.45,"OVER by "&amp;TEXT($C31-0.45,"0.00%"),"Within limit")</f>
        <v>OVER by 9.16%</v>
      </c>
    </row>
    <row r="33" customFormat="false" ht="15" hidden="false" customHeight="false" outlineLevel="0" collapsed="false">
      <c r="A33" s="3" t="s">
        <v>48</v>
      </c>
    </row>
    <row r="34" customFormat="false" ht="15" hidden="false" customHeight="false" outlineLevel="0" collapsed="false">
      <c r="A34" s="4" t="s">
        <v>49</v>
      </c>
      <c r="B34" s="4" t="s">
        <v>50</v>
      </c>
      <c r="C34" s="4"/>
      <c r="D34" s="4" t="s">
        <v>51</v>
      </c>
      <c r="E34" s="4" t="s">
        <v>52</v>
      </c>
    </row>
    <row r="35" customFormat="false" ht="25.5" hidden="false" customHeight="true" outlineLevel="0" collapsed="false">
      <c r="A35" s="18" t="s">
        <v>53</v>
      </c>
      <c r="B35" s="15" t="s">
        <v>54</v>
      </c>
      <c r="C35" s="15"/>
      <c r="D35" s="10" t="n">
        <v>0.1519</v>
      </c>
      <c r="E35" s="9" t="s">
        <v>55</v>
      </c>
    </row>
    <row r="36" customFormat="false" ht="25.5" hidden="false" customHeight="true" outlineLevel="0" collapsed="false">
      <c r="A36" s="18" t="s">
        <v>53</v>
      </c>
      <c r="B36" s="15" t="s">
        <v>56</v>
      </c>
      <c r="C36" s="15"/>
      <c r="D36" s="10" t="n">
        <v>0.1132</v>
      </c>
      <c r="E36" s="9" t="s">
        <v>57</v>
      </c>
    </row>
    <row r="37" customFormat="false" ht="25.5" hidden="false" customHeight="true" outlineLevel="0" collapsed="false">
      <c r="A37" s="18" t="s">
        <v>53</v>
      </c>
      <c r="B37" s="15" t="s">
        <v>58</v>
      </c>
      <c r="C37" s="15"/>
      <c r="D37" s="10" t="n">
        <v>0.1065</v>
      </c>
      <c r="E37" s="9" t="s">
        <v>59</v>
      </c>
    </row>
    <row r="38" customFormat="false" ht="25.5" hidden="false" customHeight="true" outlineLevel="0" collapsed="false">
      <c r="A38" s="18" t="s">
        <v>53</v>
      </c>
      <c r="B38" s="15" t="s">
        <v>60</v>
      </c>
      <c r="C38" s="15"/>
      <c r="D38" s="10" t="n">
        <v>0.1001</v>
      </c>
      <c r="E38" s="9" t="s">
        <v>61</v>
      </c>
    </row>
    <row r="39" customFormat="false" ht="25.5" hidden="false" customHeight="true" outlineLevel="0" collapsed="false">
      <c r="A39" s="19" t="s">
        <v>62</v>
      </c>
      <c r="B39" s="15" t="s">
        <v>63</v>
      </c>
      <c r="C39" s="15"/>
      <c r="D39" s="10" t="n">
        <v>0.0027</v>
      </c>
      <c r="E39" s="9" t="s">
        <v>64</v>
      </c>
    </row>
    <row r="40" customFormat="false" ht="25.5" hidden="false" customHeight="true" outlineLevel="0" collapsed="false">
      <c r="A40" s="19" t="s">
        <v>62</v>
      </c>
      <c r="B40" s="15" t="s">
        <v>65</v>
      </c>
      <c r="C40" s="15"/>
      <c r="D40" s="10" t="n">
        <v>0.0006</v>
      </c>
      <c r="E40" s="9" t="s">
        <v>66</v>
      </c>
    </row>
    <row r="41" customFormat="false" ht="25.5" hidden="false" customHeight="true" outlineLevel="0" collapsed="false">
      <c r="A41" s="20" t="s">
        <v>67</v>
      </c>
      <c r="B41" s="15" t="s">
        <v>68</v>
      </c>
      <c r="C41" s="15"/>
      <c r="D41" s="10" t="n">
        <v>0.1121</v>
      </c>
      <c r="E41" s="9" t="s">
        <v>69</v>
      </c>
    </row>
    <row r="42" customFormat="false" ht="25.5" hidden="false" customHeight="true" outlineLevel="0" collapsed="false">
      <c r="A42" s="20" t="s">
        <v>67</v>
      </c>
      <c r="B42" s="15" t="s">
        <v>70</v>
      </c>
      <c r="C42" s="15"/>
      <c r="D42" s="10" t="n">
        <v>0.2066</v>
      </c>
      <c r="E42" s="9" t="s">
        <v>71</v>
      </c>
    </row>
    <row r="43" customFormat="false" ht="25.5" hidden="false" customHeight="true" outlineLevel="0" collapsed="false">
      <c r="A43" s="20" t="s">
        <v>67</v>
      </c>
      <c r="B43" s="15" t="s">
        <v>72</v>
      </c>
      <c r="C43" s="15"/>
      <c r="D43" s="10" t="n">
        <v>0.2091</v>
      </c>
      <c r="E43" s="9" t="s">
        <v>73</v>
      </c>
    </row>
    <row r="45" customFormat="false" ht="15" hidden="false" customHeight="false" outlineLevel="0" collapsed="false">
      <c r="A45" s="3" t="s">
        <v>74</v>
      </c>
    </row>
    <row r="46" customFormat="false" ht="15" hidden="false" customHeight="true" outlineLevel="0" collapsed="false">
      <c r="A46" s="21" t="s">
        <v>75</v>
      </c>
      <c r="B46" s="21"/>
      <c r="C46" s="21"/>
      <c r="D46" s="21"/>
      <c r="E46" s="21"/>
    </row>
    <row r="47" customFormat="false" ht="15" hidden="false" customHeight="false" outlineLevel="0" collapsed="false">
      <c r="A47" s="21"/>
      <c r="B47" s="21"/>
      <c r="C47" s="21"/>
      <c r="D47" s="21"/>
      <c r="E47" s="21"/>
    </row>
    <row r="48" customFormat="false" ht="15" hidden="false" customHeight="false" outlineLevel="0" collapsed="false">
      <c r="A48" s="21"/>
      <c r="B48" s="21"/>
      <c r="C48" s="21"/>
      <c r="D48" s="21"/>
      <c r="E48" s="21"/>
    </row>
  </sheetData>
  <mergeCells count="21">
    <mergeCell ref="A1:E1"/>
    <mergeCell ref="A2:E2"/>
    <mergeCell ref="A15:E16"/>
    <mergeCell ref="A19:D19"/>
    <mergeCell ref="A20:D20"/>
    <mergeCell ref="A21:D21"/>
    <mergeCell ref="A22:D22"/>
    <mergeCell ref="A23:D23"/>
    <mergeCell ref="A24:D24"/>
    <mergeCell ref="A25:D25"/>
    <mergeCell ref="B34:C34"/>
    <mergeCell ref="B35:C35"/>
    <mergeCell ref="B36:C36"/>
    <mergeCell ref="B37:C37"/>
    <mergeCell ref="B38:C38"/>
    <mergeCell ref="B39:C39"/>
    <mergeCell ref="B40:C40"/>
    <mergeCell ref="B41:C41"/>
    <mergeCell ref="B42:C42"/>
    <mergeCell ref="B43:C43"/>
    <mergeCell ref="A46:E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8"/>
    <col collapsed="false" customWidth="true" hidden="false" outlineLevel="0" max="4" min="4" style="0" width="13"/>
    <col collapsed="false" customWidth="true" hidden="false" outlineLevel="0" max="5" min="5" style="0" width="20"/>
    <col collapsed="false" customWidth="true" hidden="false" outlineLevel="0" max="6" min="6" style="0" width="14"/>
    <col collapsed="false" customWidth="true" hidden="false" outlineLevel="0" max="7" min="7" style="0" width="13"/>
    <col collapsed="false" customWidth="true" hidden="false" outlineLevel="0" max="9" min="8" style="0" width="12"/>
  </cols>
  <sheetData>
    <row r="1" customFormat="false" ht="25.5" hidden="false" customHeight="true" outlineLevel="0" collapsed="false">
      <c r="A1" s="1" t="s">
        <v>76</v>
      </c>
      <c r="B1" s="1"/>
      <c r="C1" s="1"/>
      <c r="D1" s="1"/>
      <c r="E1" s="1"/>
      <c r="F1" s="1"/>
      <c r="G1" s="1"/>
      <c r="H1" s="1"/>
      <c r="I1" s="1"/>
    </row>
    <row r="2" customFormat="false" ht="15.75" hidden="false" customHeight="true" outlineLevel="0" collapsed="false">
      <c r="A2" s="2" t="s">
        <v>77</v>
      </c>
      <c r="B2" s="2"/>
      <c r="C2" s="2"/>
      <c r="D2" s="2"/>
      <c r="E2" s="2"/>
      <c r="F2" s="2"/>
      <c r="G2" s="2"/>
      <c r="H2" s="2"/>
      <c r="I2" s="2"/>
    </row>
    <row r="4" customFormat="false" ht="30" hidden="false" customHeight="true" outlineLevel="0" collapsed="false">
      <c r="A4" s="22" t="s">
        <v>78</v>
      </c>
      <c r="B4" s="22" t="s">
        <v>79</v>
      </c>
      <c r="C4" s="22" t="s">
        <v>80</v>
      </c>
      <c r="D4" s="22" t="s">
        <v>81</v>
      </c>
      <c r="E4" s="22" t="s">
        <v>82</v>
      </c>
      <c r="F4" s="22" t="s">
        <v>83</v>
      </c>
      <c r="G4" s="22" t="s">
        <v>84</v>
      </c>
      <c r="H4" s="22" t="s">
        <v>85</v>
      </c>
      <c r="I4" s="22" t="s">
        <v>86</v>
      </c>
    </row>
    <row r="5" customFormat="false" ht="15" hidden="false" customHeight="false" outlineLevel="0" collapsed="false">
      <c r="A5" s="23" t="n">
        <v>1</v>
      </c>
      <c r="B5" s="24" t="s">
        <v>87</v>
      </c>
      <c r="C5" s="25" t="s">
        <v>88</v>
      </c>
      <c r="D5" s="10" t="n">
        <v>0.1519</v>
      </c>
      <c r="E5" s="25" t="s">
        <v>89</v>
      </c>
      <c r="F5" s="17" t="s">
        <v>90</v>
      </c>
      <c r="G5" s="17" t="s">
        <v>91</v>
      </c>
      <c r="H5" s="26" t="n">
        <v>0</v>
      </c>
      <c r="I5" s="12" t="n">
        <f aca="false">-$D5</f>
        <v>-0.1519</v>
      </c>
    </row>
    <row r="6" customFormat="false" ht="15" hidden="false" customHeight="false" outlineLevel="0" collapsed="false">
      <c r="A6" s="23" t="n">
        <v>2</v>
      </c>
      <c r="B6" s="24" t="s">
        <v>92</v>
      </c>
      <c r="C6" s="25" t="s">
        <v>93</v>
      </c>
      <c r="D6" s="10" t="n">
        <v>0.1132</v>
      </c>
      <c r="E6" s="25" t="s">
        <v>94</v>
      </c>
      <c r="F6" s="17" t="s">
        <v>90</v>
      </c>
      <c r="G6" s="17" t="s">
        <v>91</v>
      </c>
      <c r="H6" s="26" t="n">
        <v>0</v>
      </c>
      <c r="I6" s="12" t="n">
        <f aca="false">-$D6</f>
        <v>-0.1132</v>
      </c>
    </row>
    <row r="7" customFormat="false" ht="15" hidden="false" customHeight="false" outlineLevel="0" collapsed="false">
      <c r="A7" s="23" t="n">
        <v>3</v>
      </c>
      <c r="B7" s="24" t="s">
        <v>95</v>
      </c>
      <c r="C7" s="25" t="s">
        <v>96</v>
      </c>
      <c r="D7" s="10" t="n">
        <v>0.1065</v>
      </c>
      <c r="E7" s="25" t="s">
        <v>97</v>
      </c>
      <c r="F7" s="17" t="s">
        <v>90</v>
      </c>
      <c r="G7" s="17" t="s">
        <v>91</v>
      </c>
      <c r="H7" s="26" t="n">
        <v>0</v>
      </c>
      <c r="I7" s="12" t="n">
        <f aca="false">-$D7</f>
        <v>-0.1065</v>
      </c>
    </row>
    <row r="8" customFormat="false" ht="15" hidden="false" customHeight="false" outlineLevel="0" collapsed="false">
      <c r="A8" s="23" t="n">
        <v>4</v>
      </c>
      <c r="B8" s="24" t="s">
        <v>98</v>
      </c>
      <c r="C8" s="25" t="s">
        <v>99</v>
      </c>
      <c r="D8" s="10" t="n">
        <v>0.1001</v>
      </c>
      <c r="E8" s="25" t="s">
        <v>97</v>
      </c>
      <c r="F8" s="17" t="s">
        <v>90</v>
      </c>
      <c r="G8" s="27" t="s">
        <v>100</v>
      </c>
      <c r="H8" s="26" t="n">
        <v>0.1</v>
      </c>
      <c r="I8" s="12" t="n">
        <f aca="false">$H8-$D8</f>
        <v>-9.9999999999989E-005</v>
      </c>
    </row>
    <row r="9" customFormat="false" ht="15" hidden="false" customHeight="false" outlineLevel="0" collapsed="false">
      <c r="A9" s="23" t="n">
        <v>5</v>
      </c>
      <c r="B9" s="24" t="s">
        <v>101</v>
      </c>
      <c r="C9" s="25" t="s">
        <v>102</v>
      </c>
      <c r="D9" s="10" t="n">
        <v>0.0699</v>
      </c>
      <c r="E9" s="25" t="s">
        <v>103</v>
      </c>
      <c r="F9" s="28" t="s">
        <v>104</v>
      </c>
      <c r="G9" s="27" t="s">
        <v>100</v>
      </c>
      <c r="H9" s="26" t="n">
        <v>0.2</v>
      </c>
      <c r="I9" s="12" t="n">
        <f aca="false">$H9-$D9</f>
        <v>0.1301</v>
      </c>
    </row>
    <row r="10" customFormat="false" ht="15" hidden="false" customHeight="false" outlineLevel="0" collapsed="false">
      <c r="A10" s="23" t="n">
        <v>6</v>
      </c>
      <c r="B10" s="24" t="s">
        <v>105</v>
      </c>
      <c r="C10" s="25" t="s">
        <v>102</v>
      </c>
      <c r="D10" s="10" t="n">
        <v>0.0573</v>
      </c>
      <c r="E10" s="25" t="s">
        <v>106</v>
      </c>
      <c r="F10" s="28" t="s">
        <v>104</v>
      </c>
      <c r="G10" s="27" t="s">
        <v>100</v>
      </c>
      <c r="H10" s="26" t="n">
        <v>0.15</v>
      </c>
      <c r="I10" s="12" t="n">
        <f aca="false">$H10-$D10</f>
        <v>0.0927</v>
      </c>
    </row>
    <row r="11" customFormat="false" ht="15" hidden="false" customHeight="false" outlineLevel="0" collapsed="false">
      <c r="A11" s="23" t="n">
        <v>7</v>
      </c>
      <c r="B11" s="24" t="s">
        <v>107</v>
      </c>
      <c r="C11" s="25" t="s">
        <v>102</v>
      </c>
      <c r="D11" s="10" t="n">
        <v>0.0572</v>
      </c>
      <c r="E11" s="25" t="s">
        <v>89</v>
      </c>
      <c r="F11" s="28" t="s">
        <v>104</v>
      </c>
      <c r="G11" s="27" t="s">
        <v>100</v>
      </c>
      <c r="H11" s="26" t="n">
        <v>0.15</v>
      </c>
      <c r="I11" s="12" t="n">
        <f aca="false">$H11-$D11</f>
        <v>0.0928</v>
      </c>
    </row>
    <row r="12" customFormat="false" ht="15" hidden="false" customHeight="false" outlineLevel="0" collapsed="false">
      <c r="A12" s="23" t="n">
        <v>8</v>
      </c>
      <c r="B12" s="24" t="s">
        <v>108</v>
      </c>
      <c r="C12" s="25" t="s">
        <v>102</v>
      </c>
      <c r="D12" s="10" t="n">
        <v>0.0561</v>
      </c>
      <c r="E12" s="25" t="s">
        <v>109</v>
      </c>
      <c r="F12" s="28" t="s">
        <v>104</v>
      </c>
      <c r="G12" s="27" t="s">
        <v>100</v>
      </c>
      <c r="H12" s="26" t="n">
        <v>0.07</v>
      </c>
      <c r="I12" s="12" t="n">
        <f aca="false">$H12-$D12</f>
        <v>0.0139</v>
      </c>
    </row>
    <row r="13" customFormat="false" ht="15" hidden="false" customHeight="false" outlineLevel="0" collapsed="false">
      <c r="A13" s="23" t="n">
        <v>9</v>
      </c>
      <c r="B13" s="24" t="s">
        <v>110</v>
      </c>
      <c r="C13" s="25" t="s">
        <v>102</v>
      </c>
      <c r="D13" s="10" t="n">
        <v>0.0523</v>
      </c>
      <c r="E13" s="25" t="s">
        <v>97</v>
      </c>
      <c r="F13" s="28" t="s">
        <v>104</v>
      </c>
      <c r="G13" s="17" t="s">
        <v>91</v>
      </c>
      <c r="H13" s="26" t="n">
        <v>0</v>
      </c>
      <c r="I13" s="12" t="n">
        <f aca="false">-$D13</f>
        <v>-0.0523</v>
      </c>
    </row>
    <row r="14" customFormat="false" ht="15" hidden="false" customHeight="false" outlineLevel="0" collapsed="false">
      <c r="A14" s="23" t="n">
        <v>10</v>
      </c>
      <c r="B14" s="24" t="s">
        <v>111</v>
      </c>
      <c r="C14" s="25" t="s">
        <v>99</v>
      </c>
      <c r="D14" s="10" t="n">
        <v>0.0514</v>
      </c>
      <c r="E14" s="25" t="s">
        <v>97</v>
      </c>
      <c r="F14" s="28" t="s">
        <v>104</v>
      </c>
      <c r="G14" s="17" t="s">
        <v>91</v>
      </c>
      <c r="H14" s="26" t="n">
        <v>0</v>
      </c>
      <c r="I14" s="12" t="n">
        <f aca="false">-$D14</f>
        <v>-0.0514</v>
      </c>
    </row>
    <row r="15" customFormat="false" ht="15" hidden="false" customHeight="false" outlineLevel="0" collapsed="false">
      <c r="A15" s="23" t="n">
        <v>11</v>
      </c>
      <c r="B15" s="24" t="s">
        <v>112</v>
      </c>
      <c r="C15" s="25" t="s">
        <v>88</v>
      </c>
      <c r="D15" s="10" t="n">
        <v>0.0451</v>
      </c>
      <c r="E15" s="25" t="s">
        <v>113</v>
      </c>
      <c r="F15" s="28" t="s">
        <v>104</v>
      </c>
      <c r="G15" s="17" t="s">
        <v>91</v>
      </c>
      <c r="H15" s="26" t="n">
        <v>0</v>
      </c>
      <c r="I15" s="12" t="n">
        <f aca="false">-$D15</f>
        <v>-0.0451</v>
      </c>
    </row>
    <row r="16" customFormat="false" ht="15" hidden="false" customHeight="false" outlineLevel="0" collapsed="false">
      <c r="A16" s="23" t="n">
        <v>12</v>
      </c>
      <c r="B16" s="24" t="s">
        <v>114</v>
      </c>
      <c r="C16" s="25" t="s">
        <v>93</v>
      </c>
      <c r="D16" s="10" t="n">
        <v>0.0311</v>
      </c>
      <c r="E16" s="25" t="s">
        <v>115</v>
      </c>
      <c r="F16" s="27" t="s">
        <v>116</v>
      </c>
      <c r="G16" s="17" t="s">
        <v>91</v>
      </c>
      <c r="H16" s="26" t="n">
        <v>0</v>
      </c>
      <c r="I16" s="12" t="n">
        <f aca="false">-$D16</f>
        <v>-0.0311</v>
      </c>
    </row>
    <row r="17" customFormat="false" ht="15" hidden="false" customHeight="false" outlineLevel="0" collapsed="false">
      <c r="A17" s="23" t="n">
        <v>13</v>
      </c>
      <c r="B17" s="24" t="s">
        <v>117</v>
      </c>
      <c r="C17" s="25" t="s">
        <v>96</v>
      </c>
      <c r="D17" s="10" t="n">
        <v>0.029</v>
      </c>
      <c r="E17" s="25" t="s">
        <v>115</v>
      </c>
      <c r="F17" s="27" t="s">
        <v>116</v>
      </c>
      <c r="G17" s="27" t="s">
        <v>100</v>
      </c>
      <c r="H17" s="26" t="n">
        <v>0.08</v>
      </c>
      <c r="I17" s="12" t="n">
        <f aca="false">$H17-$D17</f>
        <v>0.051</v>
      </c>
    </row>
    <row r="18" customFormat="false" ht="15" hidden="false" customHeight="false" outlineLevel="0" collapsed="false">
      <c r="A18" s="23" t="n">
        <v>14</v>
      </c>
      <c r="B18" s="24" t="s">
        <v>118</v>
      </c>
      <c r="C18" s="25" t="s">
        <v>96</v>
      </c>
      <c r="D18" s="10" t="n">
        <v>0.027</v>
      </c>
      <c r="E18" s="25" t="s">
        <v>113</v>
      </c>
      <c r="F18" s="27" t="s">
        <v>116</v>
      </c>
      <c r="G18" s="17" t="s">
        <v>91</v>
      </c>
      <c r="H18" s="26" t="n">
        <v>0</v>
      </c>
      <c r="I18" s="12" t="n">
        <f aca="false">-$D18</f>
        <v>-0.027</v>
      </c>
    </row>
    <row r="19" customFormat="false" ht="15" hidden="false" customHeight="false" outlineLevel="0" collapsed="false">
      <c r="A19" s="23" t="n">
        <v>15</v>
      </c>
      <c r="B19" s="24" t="s">
        <v>119</v>
      </c>
      <c r="C19" s="25" t="s">
        <v>93</v>
      </c>
      <c r="D19" s="10" t="n">
        <v>0.0247</v>
      </c>
      <c r="E19" s="25" t="s">
        <v>113</v>
      </c>
      <c r="F19" s="27" t="s">
        <v>116</v>
      </c>
      <c r="G19" s="27" t="s">
        <v>100</v>
      </c>
      <c r="H19" s="26" t="n">
        <v>0.25</v>
      </c>
      <c r="I19" s="12" t="n">
        <f aca="false">$H19-$D19</f>
        <v>0.2253</v>
      </c>
    </row>
    <row r="20" customFormat="false" ht="15" hidden="false" customHeight="false" outlineLevel="0" collapsed="false">
      <c r="A20" s="23" t="n">
        <v>16</v>
      </c>
      <c r="B20" s="24" t="s">
        <v>120</v>
      </c>
      <c r="C20" s="25" t="s">
        <v>102</v>
      </c>
      <c r="D20" s="10" t="n">
        <v>0.0153</v>
      </c>
      <c r="E20" s="25" t="s">
        <v>113</v>
      </c>
      <c r="F20" s="27" t="s">
        <v>116</v>
      </c>
      <c r="G20" s="17" t="s">
        <v>91</v>
      </c>
      <c r="H20" s="26" t="n">
        <v>0</v>
      </c>
      <c r="I20" s="12" t="n">
        <f aca="false">-$D20</f>
        <v>-0.0153</v>
      </c>
    </row>
    <row r="21" customFormat="false" ht="15" hidden="false" customHeight="false" outlineLevel="0" collapsed="false">
      <c r="A21" s="23" t="n">
        <v>17</v>
      </c>
      <c r="B21" s="24" t="s">
        <v>121</v>
      </c>
      <c r="C21" s="25" t="s">
        <v>99</v>
      </c>
      <c r="D21" s="10" t="n">
        <v>0.0086</v>
      </c>
      <c r="E21" s="25" t="s">
        <v>115</v>
      </c>
      <c r="F21" s="27" t="s">
        <v>116</v>
      </c>
      <c r="G21" s="17" t="s">
        <v>91</v>
      </c>
      <c r="H21" s="26" t="n">
        <v>0</v>
      </c>
      <c r="I21" s="12" t="n">
        <f aca="false">-$D21</f>
        <v>-0.0086</v>
      </c>
    </row>
    <row r="22" customFormat="false" ht="15" hidden="false" customHeight="false" outlineLevel="0" collapsed="false">
      <c r="A22" s="23" t="n">
        <v>18</v>
      </c>
      <c r="B22" s="24" t="s">
        <v>122</v>
      </c>
      <c r="C22" s="25" t="s">
        <v>88</v>
      </c>
      <c r="D22" s="10" t="n">
        <v>0.0027</v>
      </c>
      <c r="E22" s="25" t="s">
        <v>123</v>
      </c>
      <c r="F22" s="27" t="s">
        <v>116</v>
      </c>
      <c r="G22" s="17" t="s">
        <v>91</v>
      </c>
      <c r="H22" s="26" t="n">
        <v>0</v>
      </c>
      <c r="I22" s="12" t="n">
        <f aca="false">-$D22</f>
        <v>-0.0027</v>
      </c>
    </row>
    <row r="23" customFormat="false" ht="15" hidden="false" customHeight="false" outlineLevel="0" collapsed="false">
      <c r="A23" s="23" t="n">
        <v>19</v>
      </c>
      <c r="B23" s="24" t="s">
        <v>124</v>
      </c>
      <c r="C23" s="25" t="s">
        <v>102</v>
      </c>
      <c r="D23" s="10" t="n">
        <v>0.0006</v>
      </c>
      <c r="E23" s="25" t="s">
        <v>125</v>
      </c>
      <c r="F23" s="27" t="s">
        <v>116</v>
      </c>
      <c r="G23" s="17" t="s">
        <v>91</v>
      </c>
      <c r="H23" s="26" t="n">
        <v>0</v>
      </c>
      <c r="I23" s="12" t="n">
        <f aca="false">-$D23</f>
        <v>-0.0006</v>
      </c>
    </row>
    <row r="24" customFormat="false" ht="15" hidden="false" customHeight="false" outlineLevel="0" collapsed="false">
      <c r="A24" s="29"/>
      <c r="B24" s="30" t="s">
        <v>126</v>
      </c>
      <c r="C24" s="29"/>
      <c r="D24" s="31" t="n">
        <f aca="false">SUM($D$5:$D$23)</f>
        <v>1</v>
      </c>
      <c r="E24" s="29"/>
      <c r="F24" s="32" t="str">
        <f aca="false">COUNTIF($G$5:$G$23,"KEEP")&amp;" keep / "&amp;COUNTIF($G$5:$G$23,"EXIT")&amp;" exit"</f>
        <v>7 keep / 12 exit</v>
      </c>
      <c r="G24" s="29"/>
      <c r="H24" s="33" t="n">
        <f aca="false">SUM($H$5:$H$23)</f>
        <v>1</v>
      </c>
      <c r="I24" s="29"/>
    </row>
  </sheetData>
  <autoFilter ref="A4:I23"/>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4"/>
    <col collapsed="false" customWidth="true" hidden="false" outlineLevel="0" max="4" min="4" style="0" width="38"/>
    <col collapsed="false" customWidth="true" hidden="false" outlineLevel="0" max="5" min="5" style="0" width="52"/>
  </cols>
  <sheetData>
    <row r="1" customFormat="false" ht="25.5" hidden="false" customHeight="true" outlineLevel="0" collapsed="false">
      <c r="A1" s="1" t="s">
        <v>127</v>
      </c>
      <c r="B1" s="1"/>
      <c r="C1" s="1"/>
      <c r="D1" s="1"/>
      <c r="E1" s="1"/>
    </row>
    <row r="2" customFormat="false" ht="15.75" hidden="false" customHeight="true" outlineLevel="0" collapsed="false">
      <c r="A2" s="2" t="s">
        <v>128</v>
      </c>
      <c r="B2" s="2"/>
      <c r="C2" s="2"/>
      <c r="D2" s="2"/>
      <c r="E2" s="2"/>
    </row>
    <row r="4" customFormat="false" ht="15" hidden="false" customHeight="false" outlineLevel="0" collapsed="false">
      <c r="A4" s="3" t="s">
        <v>129</v>
      </c>
    </row>
    <row r="5" customFormat="false" ht="30" hidden="false" customHeight="true" outlineLevel="0" collapsed="false">
      <c r="A5" s="22" t="s">
        <v>82</v>
      </c>
      <c r="B5" s="22" t="s">
        <v>130</v>
      </c>
      <c r="C5" s="22" t="s">
        <v>81</v>
      </c>
      <c r="D5" s="22" t="s">
        <v>131</v>
      </c>
      <c r="E5" s="22"/>
    </row>
    <row r="6" customFormat="false" ht="15" hidden="false" customHeight="false" outlineLevel="0" collapsed="false">
      <c r="A6" s="25" t="s">
        <v>89</v>
      </c>
      <c r="B6" s="7" t="n">
        <f aca="false">COUNTIF(Holdings!$E$5:$E$23,$A6)</f>
        <v>2</v>
      </c>
      <c r="C6" s="11" t="n">
        <f aca="false">SUMIF(Holdings!$E$5:$E$23,$A6,Holdings!$D$5:$D$23)</f>
        <v>0.2091</v>
      </c>
      <c r="D6" s="11" t="n">
        <f aca="false">IF($C$16=0,"",$C6/$C$16)</f>
        <v>0.2091</v>
      </c>
    </row>
    <row r="7" customFormat="false" ht="15" hidden="false" customHeight="false" outlineLevel="0" collapsed="false">
      <c r="A7" s="25" t="s">
        <v>103</v>
      </c>
      <c r="B7" s="7" t="n">
        <f aca="false">COUNTIF(Holdings!$E$5:$E$23,$A7)</f>
        <v>1</v>
      </c>
      <c r="C7" s="11" t="n">
        <f aca="false">SUMIF(Holdings!$E$5:$E$23,$A7,Holdings!$D$5:$D$23)</f>
        <v>0.0699</v>
      </c>
      <c r="D7" s="11" t="n">
        <f aca="false">IF($C$16=0,"",$C7/$C$16)</f>
        <v>0.0699</v>
      </c>
    </row>
    <row r="8" customFormat="false" ht="15" hidden="false" customHeight="false" outlineLevel="0" collapsed="false">
      <c r="A8" s="25" t="s">
        <v>106</v>
      </c>
      <c r="B8" s="7" t="n">
        <f aca="false">COUNTIF(Holdings!$E$5:$E$23,$A8)</f>
        <v>1</v>
      </c>
      <c r="C8" s="11" t="n">
        <f aca="false">SUMIF(Holdings!$E$5:$E$23,$A8,Holdings!$D$5:$D$23)</f>
        <v>0.0573</v>
      </c>
      <c r="D8" s="11" t="n">
        <f aca="false">IF($C$16=0,"",$C8/$C$16)</f>
        <v>0.0573</v>
      </c>
    </row>
    <row r="9" customFormat="false" ht="15" hidden="false" customHeight="false" outlineLevel="0" collapsed="false">
      <c r="A9" s="25" t="s">
        <v>113</v>
      </c>
      <c r="B9" s="7" t="n">
        <f aca="false">COUNTIF(Holdings!$E$5:$E$23,$A9)</f>
        <v>4</v>
      </c>
      <c r="C9" s="11" t="n">
        <f aca="false">SUMIF(Holdings!$E$5:$E$23,$A9,Holdings!$D$5:$D$23)</f>
        <v>0.1121</v>
      </c>
      <c r="D9" s="11" t="n">
        <f aca="false">IF($C$16=0,"",$C9/$C$16)</f>
        <v>0.1121</v>
      </c>
    </row>
    <row r="10" customFormat="false" ht="15" hidden="false" customHeight="false" outlineLevel="0" collapsed="false">
      <c r="A10" s="25" t="s">
        <v>109</v>
      </c>
      <c r="B10" s="7" t="n">
        <f aca="false">COUNTIF(Holdings!$E$5:$E$23,$A10)</f>
        <v>1</v>
      </c>
      <c r="C10" s="11" t="n">
        <f aca="false">SUMIF(Holdings!$E$5:$E$23,$A10,Holdings!$D$5:$D$23)</f>
        <v>0.0561</v>
      </c>
      <c r="D10" s="11" t="n">
        <f aca="false">IF($C$16=0,"",$C10/$C$16)</f>
        <v>0.0561</v>
      </c>
    </row>
    <row r="11" customFormat="false" ht="15" hidden="false" customHeight="false" outlineLevel="0" collapsed="false">
      <c r="A11" s="25" t="s">
        <v>94</v>
      </c>
      <c r="B11" s="7" t="n">
        <f aca="false">COUNTIF(Holdings!$E$5:$E$23,$A11)</f>
        <v>1</v>
      </c>
      <c r="C11" s="11" t="n">
        <f aca="false">SUMIF(Holdings!$E$5:$E$23,$A11,Holdings!$D$5:$D$23)</f>
        <v>0.1132</v>
      </c>
      <c r="D11" s="11" t="n">
        <f aca="false">IF($C$16=0,"",$C11/$C$16)</f>
        <v>0.1132</v>
      </c>
    </row>
    <row r="12" customFormat="false" ht="15" hidden="false" customHeight="false" outlineLevel="0" collapsed="false">
      <c r="A12" s="25" t="s">
        <v>97</v>
      </c>
      <c r="B12" s="7" t="n">
        <f aca="false">COUNTIF(Holdings!$E$5:$E$23,$A12)</f>
        <v>4</v>
      </c>
      <c r="C12" s="11" t="n">
        <f aca="false">SUMIF(Holdings!$E$5:$E$23,$A12,Holdings!$D$5:$D$23)</f>
        <v>0.3103</v>
      </c>
      <c r="D12" s="11" t="n">
        <f aca="false">IF($C$16=0,"",$C12/$C$16)</f>
        <v>0.3103</v>
      </c>
    </row>
    <row r="13" customFormat="false" ht="15" hidden="false" customHeight="false" outlineLevel="0" collapsed="false">
      <c r="A13" s="25" t="s">
        <v>115</v>
      </c>
      <c r="B13" s="7" t="n">
        <f aca="false">COUNTIF(Holdings!$E$5:$E$23,$A13)</f>
        <v>3</v>
      </c>
      <c r="C13" s="11" t="n">
        <f aca="false">SUMIF(Holdings!$E$5:$E$23,$A13,Holdings!$D$5:$D$23)</f>
        <v>0.0687</v>
      </c>
      <c r="D13" s="11" t="n">
        <f aca="false">IF($C$16=0,"",$C13/$C$16)</f>
        <v>0.0687</v>
      </c>
    </row>
    <row r="14" customFormat="false" ht="15" hidden="false" customHeight="false" outlineLevel="0" collapsed="false">
      <c r="A14" s="25" t="s">
        <v>123</v>
      </c>
      <c r="B14" s="7" t="n">
        <f aca="false">COUNTIF(Holdings!$E$5:$E$23,$A14)</f>
        <v>1</v>
      </c>
      <c r="C14" s="11" t="n">
        <f aca="false">SUMIF(Holdings!$E$5:$E$23,$A14,Holdings!$D$5:$D$23)</f>
        <v>0.0027</v>
      </c>
      <c r="D14" s="11" t="n">
        <f aca="false">IF($C$16=0,"",$C14/$C$16)</f>
        <v>0.0027</v>
      </c>
    </row>
    <row r="15" customFormat="false" ht="15" hidden="false" customHeight="false" outlineLevel="0" collapsed="false">
      <c r="A15" s="25" t="s">
        <v>125</v>
      </c>
      <c r="B15" s="7" t="n">
        <f aca="false">COUNTIF(Holdings!$E$5:$E$23,$A15)</f>
        <v>1</v>
      </c>
      <c r="C15" s="11" t="n">
        <f aca="false">SUMIF(Holdings!$E$5:$E$23,$A15,Holdings!$D$5:$D$23)</f>
        <v>0.0006</v>
      </c>
      <c r="D15" s="11" t="n">
        <f aca="false">IF($C$16=0,"",$C15/$C$16)</f>
        <v>0.0006</v>
      </c>
    </row>
    <row r="16" customFormat="false" ht="15" hidden="false" customHeight="false" outlineLevel="0" collapsed="false">
      <c r="A16" s="30" t="s">
        <v>132</v>
      </c>
      <c r="B16" s="34" t="n">
        <f aca="false">SUM(B6:B15)</f>
        <v>19</v>
      </c>
      <c r="C16" s="31" t="n">
        <f aca="false">SUM(C6:C15)</f>
        <v>1</v>
      </c>
      <c r="D16" s="29"/>
    </row>
    <row r="18" customFormat="false" ht="15" hidden="false" customHeight="false" outlineLevel="0" collapsed="false">
      <c r="A18" s="3" t="s">
        <v>133</v>
      </c>
    </row>
    <row r="19" customFormat="false" ht="15" hidden="false" customHeight="false" outlineLevel="0" collapsed="false">
      <c r="A19" s="22" t="s">
        <v>134</v>
      </c>
      <c r="B19" s="22" t="s">
        <v>135</v>
      </c>
      <c r="C19" s="22" t="s">
        <v>130</v>
      </c>
      <c r="D19" s="22" t="s">
        <v>136</v>
      </c>
      <c r="E19" s="22" t="s">
        <v>137</v>
      </c>
    </row>
    <row r="20" customFormat="false" ht="27.75" hidden="false" customHeight="true" outlineLevel="0" collapsed="false">
      <c r="A20" s="25" t="s">
        <v>89</v>
      </c>
      <c r="B20" s="10" t="n">
        <v>0.269</v>
      </c>
      <c r="C20" s="23" t="n">
        <v>3</v>
      </c>
      <c r="D20" s="9" t="s">
        <v>138</v>
      </c>
      <c r="E20" s="35" t="s">
        <v>139</v>
      </c>
    </row>
    <row r="21" customFormat="false" ht="27.75" hidden="false" customHeight="true" outlineLevel="0" collapsed="false">
      <c r="A21" s="25" t="s">
        <v>140</v>
      </c>
      <c r="B21" s="10" t="n">
        <v>0.2589</v>
      </c>
      <c r="C21" s="23" t="n">
        <v>3</v>
      </c>
      <c r="D21" s="9" t="s">
        <v>141</v>
      </c>
      <c r="E21" s="35" t="s">
        <v>142</v>
      </c>
    </row>
    <row r="22" customFormat="false" ht="27.75" hidden="false" customHeight="true" outlineLevel="0" collapsed="false">
      <c r="A22" s="25" t="s">
        <v>113</v>
      </c>
      <c r="B22" s="10" t="n">
        <v>0.1121</v>
      </c>
      <c r="C22" s="23" t="n">
        <v>4</v>
      </c>
      <c r="D22" s="9" t="s">
        <v>143</v>
      </c>
      <c r="E22" s="35" t="s">
        <v>144</v>
      </c>
    </row>
    <row r="23" customFormat="false" ht="27.75" hidden="false" customHeight="true" outlineLevel="0" collapsed="false">
      <c r="A23" s="25" t="s">
        <v>145</v>
      </c>
      <c r="B23" s="10" t="n">
        <v>0.1132</v>
      </c>
      <c r="C23" s="23" t="n">
        <v>2</v>
      </c>
      <c r="D23" s="9" t="s">
        <v>146</v>
      </c>
      <c r="E23" s="35" t="s">
        <v>147</v>
      </c>
    </row>
    <row r="24" customFormat="false" ht="27.75" hidden="false" customHeight="true" outlineLevel="0" collapsed="false">
      <c r="A24" s="25" t="s">
        <v>106</v>
      </c>
      <c r="B24" s="10" t="n">
        <v>0.1272</v>
      </c>
      <c r="C24" s="23" t="n">
        <v>2</v>
      </c>
      <c r="D24" s="9" t="s">
        <v>148</v>
      </c>
      <c r="E24" s="35" t="s">
        <v>149</v>
      </c>
    </row>
    <row r="25" customFormat="false" ht="27.75" hidden="false" customHeight="true" outlineLevel="0" collapsed="false">
      <c r="A25" s="25" t="s">
        <v>150</v>
      </c>
      <c r="B25" s="10" t="n">
        <v>0.0714</v>
      </c>
      <c r="C25" s="23" t="n">
        <v>4</v>
      </c>
      <c r="D25" s="9" t="s">
        <v>151</v>
      </c>
      <c r="E25" s="35" t="s">
        <v>152</v>
      </c>
    </row>
    <row r="26" customFormat="false" ht="15" hidden="false" customHeight="false" outlineLevel="0" collapsed="false">
      <c r="A26" s="30" t="s">
        <v>153</v>
      </c>
      <c r="B26" s="31" t="n">
        <f aca="false">SUM(B20:B25)</f>
        <v>0.9518</v>
      </c>
      <c r="C26" s="34" t="n">
        <f aca="false">SUM(C20:C25)</f>
        <v>18</v>
      </c>
      <c r="D26" s="29"/>
      <c r="E26" s="30" t="s">
        <v>154</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5" min="3" style="0" width="12"/>
    <col collapsed="false" customWidth="true" hidden="false" outlineLevel="0" max="6" min="6" style="0" width="52"/>
  </cols>
  <sheetData>
    <row r="1" customFormat="false" ht="25.5" hidden="false" customHeight="true" outlineLevel="0" collapsed="false">
      <c r="A1" s="1" t="s">
        <v>155</v>
      </c>
      <c r="B1" s="1"/>
      <c r="C1" s="1"/>
      <c r="D1" s="1"/>
      <c r="E1" s="1"/>
      <c r="F1" s="1"/>
    </row>
    <row r="2" customFormat="false" ht="15.75" hidden="false" customHeight="true" outlineLevel="0" collapsed="false">
      <c r="A2" s="2" t="s">
        <v>156</v>
      </c>
      <c r="B2" s="2"/>
      <c r="C2" s="2"/>
      <c r="D2" s="2"/>
      <c r="E2" s="2"/>
      <c r="F2" s="2"/>
    </row>
    <row r="4" customFormat="false" ht="30" hidden="false" customHeight="true" outlineLevel="0" collapsed="false">
      <c r="A4" s="22" t="s">
        <v>157</v>
      </c>
      <c r="B4" s="22" t="s">
        <v>50</v>
      </c>
      <c r="C4" s="22" t="s">
        <v>158</v>
      </c>
      <c r="D4" s="22" t="s">
        <v>85</v>
      </c>
      <c r="E4" s="22" t="s">
        <v>86</v>
      </c>
      <c r="F4" s="22" t="s">
        <v>159</v>
      </c>
    </row>
    <row r="5" customFormat="false" ht="15" hidden="false" customHeight="false" outlineLevel="0" collapsed="false">
      <c r="A5" s="36" t="s">
        <v>160</v>
      </c>
      <c r="B5" s="36"/>
      <c r="C5" s="36"/>
      <c r="D5" s="36"/>
      <c r="E5" s="36"/>
      <c r="F5" s="36"/>
    </row>
    <row r="6" customFormat="false" ht="15" hidden="false" customHeight="false" outlineLevel="0" collapsed="false">
      <c r="A6" s="16" t="s">
        <v>161</v>
      </c>
      <c r="B6" s="24" t="s">
        <v>162</v>
      </c>
      <c r="C6" s="10" t="n">
        <v>0.0247</v>
      </c>
      <c r="D6" s="26" t="n">
        <v>0.25</v>
      </c>
      <c r="E6" s="12" t="n">
        <f aca="false">$D6-$C6</f>
        <v>0.2253</v>
      </c>
      <c r="F6" s="9" t="s">
        <v>163</v>
      </c>
    </row>
    <row r="7" customFormat="false" ht="15" hidden="false" customHeight="false" outlineLevel="0" collapsed="false">
      <c r="A7" s="16" t="s">
        <v>161</v>
      </c>
      <c r="B7" s="24" t="s">
        <v>164</v>
      </c>
      <c r="C7" s="10" t="n">
        <v>0.0572</v>
      </c>
      <c r="D7" s="26" t="n">
        <v>0.15</v>
      </c>
      <c r="E7" s="12" t="n">
        <f aca="false">$D7-$C7</f>
        <v>0.0928</v>
      </c>
      <c r="F7" s="9" t="s">
        <v>165</v>
      </c>
    </row>
    <row r="8" customFormat="false" ht="15" hidden="false" customHeight="false" outlineLevel="0" collapsed="false">
      <c r="A8" s="16" t="s">
        <v>161</v>
      </c>
      <c r="B8" s="24" t="s">
        <v>166</v>
      </c>
      <c r="C8" s="10" t="n">
        <v>0.0699</v>
      </c>
      <c r="D8" s="26" t="n">
        <v>0.2</v>
      </c>
      <c r="E8" s="12" t="n">
        <f aca="false">$D8-$C8</f>
        <v>0.1301</v>
      </c>
      <c r="F8" s="9" t="s">
        <v>167</v>
      </c>
    </row>
    <row r="9" customFormat="false" ht="15" hidden="false" customHeight="false" outlineLevel="0" collapsed="false">
      <c r="A9" s="37"/>
      <c r="B9" s="38" t="s">
        <v>168</v>
      </c>
      <c r="C9" s="39" t="n">
        <f aca="false">SUM(C6:C8)</f>
        <v>0.1518</v>
      </c>
      <c r="D9" s="40" t="n">
        <f aca="false">SUM(D6:D8)</f>
        <v>0.6</v>
      </c>
      <c r="E9" s="41" t="n">
        <f aca="false">$D9-$C9</f>
        <v>0.4482</v>
      </c>
      <c r="F9" s="42" t="s">
        <v>169</v>
      </c>
    </row>
    <row r="11" customFormat="false" ht="15" hidden="false" customHeight="false" outlineLevel="0" collapsed="false">
      <c r="A11" s="36" t="s">
        <v>170</v>
      </c>
      <c r="B11" s="36"/>
      <c r="C11" s="36"/>
      <c r="D11" s="36"/>
      <c r="E11" s="36"/>
      <c r="F11" s="36"/>
    </row>
    <row r="12" customFormat="false" ht="15" hidden="false" customHeight="false" outlineLevel="0" collapsed="false">
      <c r="A12" s="16" t="s">
        <v>171</v>
      </c>
      <c r="B12" s="24" t="s">
        <v>172</v>
      </c>
      <c r="C12" s="10" t="n">
        <v>0.0573</v>
      </c>
      <c r="D12" s="26" t="n">
        <v>0.15</v>
      </c>
      <c r="E12" s="12" t="n">
        <f aca="false">$D12-$C12</f>
        <v>0.0927</v>
      </c>
      <c r="F12" s="9" t="s">
        <v>173</v>
      </c>
    </row>
    <row r="13" customFormat="false" ht="15" hidden="false" customHeight="false" outlineLevel="0" collapsed="false">
      <c r="A13" s="16" t="s">
        <v>171</v>
      </c>
      <c r="B13" s="24" t="s">
        <v>174</v>
      </c>
      <c r="C13" s="10" t="n">
        <v>0.0561</v>
      </c>
      <c r="D13" s="26" t="n">
        <v>0.07</v>
      </c>
      <c r="E13" s="12" t="n">
        <f aca="false">$D13-$C13</f>
        <v>0.0139</v>
      </c>
      <c r="F13" s="9" t="s">
        <v>175</v>
      </c>
    </row>
    <row r="14" customFormat="false" ht="15" hidden="false" customHeight="false" outlineLevel="0" collapsed="false">
      <c r="A14" s="37"/>
      <c r="B14" s="38" t="s">
        <v>176</v>
      </c>
      <c r="C14" s="39" t="n">
        <f aca="false">SUM(C12:C13)</f>
        <v>0.1134</v>
      </c>
      <c r="D14" s="40" t="n">
        <f aca="false">SUM(D12:D13)</f>
        <v>0.22</v>
      </c>
      <c r="E14" s="41" t="n">
        <f aca="false">$D14-$C14</f>
        <v>0.1066</v>
      </c>
      <c r="F14" s="42" t="s">
        <v>177</v>
      </c>
    </row>
    <row r="16" customFormat="false" ht="15" hidden="false" customHeight="false" outlineLevel="0" collapsed="false">
      <c r="A16" s="36" t="s">
        <v>178</v>
      </c>
      <c r="B16" s="36"/>
      <c r="C16" s="36"/>
      <c r="D16" s="36"/>
      <c r="E16" s="36"/>
      <c r="F16" s="36"/>
    </row>
    <row r="17" customFormat="false" ht="15" hidden="false" customHeight="false" outlineLevel="0" collapsed="false">
      <c r="A17" s="16" t="s">
        <v>179</v>
      </c>
      <c r="B17" s="24" t="s">
        <v>60</v>
      </c>
      <c r="C17" s="10" t="n">
        <v>0.1001</v>
      </c>
      <c r="D17" s="26" t="n">
        <v>0.1</v>
      </c>
      <c r="E17" s="12" t="n">
        <f aca="false">$D17-$C17</f>
        <v>-9.9999999999989E-005</v>
      </c>
      <c r="F17" s="9" t="s">
        <v>180</v>
      </c>
    </row>
    <row r="18" customFormat="false" ht="15" hidden="false" customHeight="false" outlineLevel="0" collapsed="false">
      <c r="A18" s="16" t="s">
        <v>179</v>
      </c>
      <c r="B18" s="24" t="s">
        <v>181</v>
      </c>
      <c r="C18" s="10" t="n">
        <v>0.029</v>
      </c>
      <c r="D18" s="26" t="n">
        <v>0.08</v>
      </c>
      <c r="E18" s="12" t="n">
        <f aca="false">$D18-$C18</f>
        <v>0.051</v>
      </c>
      <c r="F18" s="9" t="s">
        <v>182</v>
      </c>
    </row>
    <row r="19" customFormat="false" ht="15" hidden="false" customHeight="false" outlineLevel="0" collapsed="false">
      <c r="A19" s="37"/>
      <c r="B19" s="38" t="s">
        <v>183</v>
      </c>
      <c r="C19" s="39" t="n">
        <f aca="false">SUM(C17:C18)</f>
        <v>0.1291</v>
      </c>
      <c r="D19" s="40" t="n">
        <f aca="false">SUM(D17:D18)</f>
        <v>0.18</v>
      </c>
      <c r="E19" s="41" t="n">
        <f aca="false">$D19-$C19</f>
        <v>0.0509</v>
      </c>
      <c r="F19" s="42" t="s">
        <v>184</v>
      </c>
    </row>
    <row r="21" customFormat="false" ht="15" hidden="false" customHeight="false" outlineLevel="0" collapsed="false">
      <c r="A21" s="29"/>
      <c r="B21" s="30" t="s">
        <v>185</v>
      </c>
      <c r="C21" s="31" t="n">
        <f aca="false">C6+C7+C8+C12+C13+C17+C18</f>
        <v>0.3943</v>
      </c>
      <c r="D21" s="33" t="n">
        <f aca="false">D6+D7+D8+D12+D13+D17+D18</f>
        <v>1</v>
      </c>
      <c r="E21" s="43" t="n">
        <f aca="false">$D21-$C21</f>
        <v>0.6057</v>
      </c>
      <c r="F21" s="30" t="s">
        <v>186</v>
      </c>
    </row>
  </sheetData>
  <mergeCells count="5">
    <mergeCell ref="A1:F1"/>
    <mergeCell ref="A2:F2"/>
    <mergeCell ref="A5:F5"/>
    <mergeCell ref="A11:F11"/>
    <mergeCell ref="A16:F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62"/>
    <col collapsed="false" customWidth="true" hidden="false" outlineLevel="0" max="4" min="4" style="0" width="18"/>
    <col collapsed="false" customWidth="true" hidden="false" outlineLevel="0" max="5" min="5" style="0" width="10"/>
  </cols>
  <sheetData>
    <row r="1" customFormat="false" ht="25.5" hidden="false" customHeight="true" outlineLevel="0" collapsed="false">
      <c r="A1" s="1" t="s">
        <v>187</v>
      </c>
      <c r="B1" s="1"/>
      <c r="C1" s="1"/>
      <c r="D1" s="1"/>
      <c r="E1" s="1"/>
    </row>
    <row r="2" customFormat="false" ht="15.75" hidden="false" customHeight="true" outlineLevel="0" collapsed="false">
      <c r="A2" s="2" t="s">
        <v>188</v>
      </c>
      <c r="B2" s="2"/>
      <c r="C2" s="2"/>
      <c r="D2" s="2"/>
      <c r="E2" s="2"/>
    </row>
    <row r="4" customFormat="false" ht="15" hidden="false" customHeight="false" outlineLevel="0" collapsed="false">
      <c r="A4" s="36" t="s">
        <v>189</v>
      </c>
      <c r="B4" s="36"/>
      <c r="C4" s="36"/>
      <c r="D4" s="36"/>
      <c r="E4" s="36"/>
    </row>
    <row r="5" customFormat="false" ht="15" hidden="false" customHeight="false" outlineLevel="0" collapsed="false">
      <c r="A5" s="44" t="s">
        <v>190</v>
      </c>
      <c r="B5" s="44"/>
      <c r="C5" s="44"/>
      <c r="D5" s="44"/>
      <c r="E5" s="44"/>
    </row>
    <row r="6" customFormat="false" ht="21.75" hidden="false" customHeight="true" outlineLevel="0" collapsed="false">
      <c r="A6" s="25"/>
      <c r="B6" s="45" t="s">
        <v>191</v>
      </c>
      <c r="C6" s="45"/>
      <c r="D6" s="24"/>
      <c r="E6" s="46"/>
    </row>
    <row r="7" customFormat="false" ht="21.75" hidden="false" customHeight="true" outlineLevel="0" collapsed="false">
      <c r="A7" s="25"/>
      <c r="B7" s="45" t="s">
        <v>192</v>
      </c>
      <c r="C7" s="45"/>
      <c r="D7" s="24"/>
      <c r="E7" s="46"/>
    </row>
    <row r="8" customFormat="false" ht="21.75" hidden="false" customHeight="true" outlineLevel="0" collapsed="false">
      <c r="A8" s="25"/>
      <c r="B8" s="45" t="s">
        <v>193</v>
      </c>
      <c r="C8" s="45"/>
      <c r="D8" s="24"/>
      <c r="E8" s="46"/>
    </row>
    <row r="9" customFormat="false" ht="21.75" hidden="false" customHeight="true" outlineLevel="0" collapsed="false">
      <c r="A9" s="25"/>
      <c r="B9" s="45" t="s">
        <v>194</v>
      </c>
      <c r="C9" s="45"/>
      <c r="D9" s="24"/>
      <c r="E9" s="46"/>
    </row>
    <row r="11" customFormat="false" ht="15" hidden="false" customHeight="false" outlineLevel="0" collapsed="false">
      <c r="A11" s="36" t="s">
        <v>195</v>
      </c>
      <c r="B11" s="36"/>
      <c r="C11" s="36"/>
      <c r="D11" s="36"/>
      <c r="E11" s="36"/>
    </row>
    <row r="12" customFormat="false" ht="15" hidden="false" customHeight="false" outlineLevel="0" collapsed="false">
      <c r="A12" s="44" t="s">
        <v>196</v>
      </c>
      <c r="B12" s="44"/>
      <c r="C12" s="44"/>
      <c r="D12" s="44"/>
      <c r="E12" s="44"/>
    </row>
    <row r="13" customFormat="false" ht="21.75" hidden="false" customHeight="true" outlineLevel="0" collapsed="false">
      <c r="A13" s="25"/>
      <c r="B13" s="45" t="s">
        <v>197</v>
      </c>
      <c r="C13" s="45"/>
      <c r="D13" s="24"/>
      <c r="E13" s="46"/>
    </row>
    <row r="14" customFormat="false" ht="21.75" hidden="false" customHeight="true" outlineLevel="0" collapsed="false">
      <c r="A14" s="25"/>
      <c r="B14" s="45" t="s">
        <v>198</v>
      </c>
      <c r="C14" s="45"/>
      <c r="D14" s="24"/>
      <c r="E14" s="46"/>
    </row>
    <row r="15" customFormat="false" ht="21.75" hidden="false" customHeight="true" outlineLevel="0" collapsed="false">
      <c r="A15" s="25"/>
      <c r="B15" s="45" t="s">
        <v>199</v>
      </c>
      <c r="C15" s="45"/>
      <c r="D15" s="24"/>
      <c r="E15" s="46"/>
    </row>
    <row r="16" customFormat="false" ht="21.75" hidden="false" customHeight="true" outlineLevel="0" collapsed="false">
      <c r="A16" s="25"/>
      <c r="B16" s="45" t="s">
        <v>200</v>
      </c>
      <c r="C16" s="45"/>
      <c r="D16" s="24"/>
      <c r="E16" s="46"/>
    </row>
    <row r="18" customFormat="false" ht="15" hidden="false" customHeight="false" outlineLevel="0" collapsed="false">
      <c r="A18" s="36" t="s">
        <v>201</v>
      </c>
      <c r="B18" s="36"/>
      <c r="C18" s="36"/>
      <c r="D18" s="36"/>
      <c r="E18" s="36"/>
    </row>
    <row r="19" customFormat="false" ht="15" hidden="false" customHeight="false" outlineLevel="0" collapsed="false">
      <c r="A19" s="44" t="s">
        <v>202</v>
      </c>
      <c r="B19" s="44"/>
      <c r="C19" s="44"/>
      <c r="D19" s="44"/>
      <c r="E19" s="44"/>
    </row>
    <row r="20" customFormat="false" ht="21.75" hidden="false" customHeight="true" outlineLevel="0" collapsed="false">
      <c r="A20" s="25"/>
      <c r="B20" s="45" t="s">
        <v>203</v>
      </c>
      <c r="C20" s="45"/>
      <c r="D20" s="24"/>
      <c r="E20" s="46"/>
    </row>
    <row r="21" customFormat="false" ht="21.75" hidden="false" customHeight="true" outlineLevel="0" collapsed="false">
      <c r="A21" s="25"/>
      <c r="B21" s="45" t="s">
        <v>204</v>
      </c>
      <c r="C21" s="45"/>
      <c r="D21" s="24"/>
      <c r="E21" s="46"/>
    </row>
    <row r="22" customFormat="false" ht="21.75" hidden="false" customHeight="true" outlineLevel="0" collapsed="false">
      <c r="A22" s="25"/>
      <c r="B22" s="45" t="s">
        <v>205</v>
      </c>
      <c r="C22" s="45"/>
      <c r="D22" s="24"/>
      <c r="E22" s="46"/>
    </row>
    <row r="23" customFormat="false" ht="21.75" hidden="false" customHeight="true" outlineLevel="0" collapsed="false">
      <c r="A23" s="25"/>
      <c r="B23" s="45" t="s">
        <v>206</v>
      </c>
      <c r="C23" s="45"/>
      <c r="D23" s="24"/>
      <c r="E23" s="46"/>
    </row>
    <row r="25" customFormat="false" ht="15" hidden="false" customHeight="false" outlineLevel="0" collapsed="false">
      <c r="A25" s="36" t="s">
        <v>207</v>
      </c>
      <c r="B25" s="36"/>
      <c r="C25" s="36"/>
      <c r="D25" s="36"/>
      <c r="E25" s="36"/>
    </row>
    <row r="26" customFormat="false" ht="15" hidden="false" customHeight="false" outlineLevel="0" collapsed="false">
      <c r="A26" s="44" t="s">
        <v>208</v>
      </c>
      <c r="B26" s="44"/>
      <c r="C26" s="44"/>
      <c r="D26" s="44"/>
      <c r="E26" s="44"/>
    </row>
    <row r="27" customFormat="false" ht="21.75" hidden="false" customHeight="true" outlineLevel="0" collapsed="false">
      <c r="A27" s="25"/>
      <c r="B27" s="45" t="s">
        <v>209</v>
      </c>
      <c r="C27" s="45"/>
      <c r="D27" s="24"/>
      <c r="E27" s="46"/>
    </row>
    <row r="28" customFormat="false" ht="21.75" hidden="false" customHeight="true" outlineLevel="0" collapsed="false">
      <c r="A28" s="25"/>
      <c r="B28" s="45" t="s">
        <v>210</v>
      </c>
      <c r="C28" s="45"/>
      <c r="D28" s="24"/>
      <c r="E28" s="46"/>
    </row>
    <row r="29" customFormat="false" ht="21.75" hidden="false" customHeight="true" outlineLevel="0" collapsed="false">
      <c r="A29" s="25"/>
      <c r="B29" s="45" t="s">
        <v>211</v>
      </c>
      <c r="C29" s="45"/>
      <c r="D29" s="24"/>
      <c r="E29" s="46"/>
    </row>
    <row r="30" customFormat="false" ht="21.75" hidden="false" customHeight="true" outlineLevel="0" collapsed="false">
      <c r="A30" s="25"/>
      <c r="B30" s="45" t="s">
        <v>212</v>
      </c>
      <c r="C30" s="45"/>
      <c r="D30" s="24"/>
      <c r="E30" s="46"/>
    </row>
    <row r="32" customFormat="false" ht="15" hidden="false" customHeight="false" outlineLevel="0" collapsed="false">
      <c r="A32" s="3" t="s">
        <v>213</v>
      </c>
    </row>
    <row r="33" customFormat="false" ht="15" hidden="false" customHeight="false" outlineLevel="0" collapsed="false">
      <c r="A33" s="4" t="s">
        <v>214</v>
      </c>
      <c r="B33" s="4" t="s">
        <v>215</v>
      </c>
      <c r="C33" s="4"/>
      <c r="D33" s="4" t="s">
        <v>216</v>
      </c>
      <c r="E33" s="4" t="s">
        <v>217</v>
      </c>
    </row>
    <row r="34" customFormat="false" ht="24" hidden="false" customHeight="true" outlineLevel="0" collapsed="false">
      <c r="A34" s="47" t="s">
        <v>218</v>
      </c>
      <c r="B34" s="45" t="s">
        <v>219</v>
      </c>
      <c r="C34" s="45"/>
      <c r="D34" s="24"/>
      <c r="E34" s="46"/>
    </row>
    <row r="35" customFormat="false" ht="24" hidden="false" customHeight="true" outlineLevel="0" collapsed="false">
      <c r="A35" s="47" t="s">
        <v>218</v>
      </c>
      <c r="B35" s="45" t="s">
        <v>220</v>
      </c>
      <c r="C35" s="45"/>
      <c r="D35" s="24"/>
      <c r="E35" s="46"/>
    </row>
    <row r="36" customFormat="false" ht="24" hidden="false" customHeight="true" outlineLevel="0" collapsed="false">
      <c r="A36" s="47" t="s">
        <v>221</v>
      </c>
      <c r="B36" s="45" t="s">
        <v>222</v>
      </c>
      <c r="C36" s="45"/>
      <c r="D36" s="24"/>
      <c r="E36" s="46"/>
    </row>
    <row r="37" customFormat="false" ht="24" hidden="false" customHeight="true" outlineLevel="0" collapsed="false">
      <c r="A37" s="47" t="s">
        <v>223</v>
      </c>
      <c r="B37" s="45" t="s">
        <v>224</v>
      </c>
      <c r="C37" s="45"/>
      <c r="D37" s="24"/>
      <c r="E37" s="46"/>
    </row>
    <row r="38" customFormat="false" ht="24" hidden="false" customHeight="true" outlineLevel="0" collapsed="false">
      <c r="A38" s="47" t="s">
        <v>225</v>
      </c>
      <c r="B38" s="45" t="s">
        <v>226</v>
      </c>
      <c r="C38" s="45"/>
      <c r="D38" s="24"/>
      <c r="E38" s="46"/>
    </row>
    <row r="39" customFormat="false" ht="24" hidden="false" customHeight="true" outlineLevel="0" collapsed="false">
      <c r="A39" s="47" t="s">
        <v>227</v>
      </c>
      <c r="B39" s="45" t="s">
        <v>228</v>
      </c>
      <c r="C39" s="45"/>
      <c r="D39" s="24"/>
      <c r="E39" s="46"/>
    </row>
    <row r="40" customFormat="false" ht="24" hidden="false" customHeight="true" outlineLevel="0" collapsed="false">
      <c r="A40" s="47" t="s">
        <v>229</v>
      </c>
      <c r="B40" s="45" t="s">
        <v>230</v>
      </c>
      <c r="C40" s="45"/>
      <c r="D40" s="24"/>
      <c r="E40" s="46"/>
    </row>
    <row r="42" customFormat="false" ht="15" hidden="false" customHeight="true" outlineLevel="0" collapsed="false">
      <c r="A42" s="48" t="s">
        <v>231</v>
      </c>
      <c r="B42" s="48"/>
      <c r="C42" s="48"/>
      <c r="D42" s="48"/>
      <c r="E42" s="48"/>
    </row>
    <row r="43" customFormat="false" ht="15" hidden="false" customHeight="false" outlineLevel="0" collapsed="false">
      <c r="A43" s="48"/>
      <c r="B43" s="48"/>
      <c r="C43" s="48"/>
      <c r="D43" s="48"/>
      <c r="E43" s="48"/>
    </row>
  </sheetData>
  <mergeCells count="34">
    <mergeCell ref="A1:E1"/>
    <mergeCell ref="A2:E2"/>
    <mergeCell ref="A4:E4"/>
    <mergeCell ref="A5:E5"/>
    <mergeCell ref="B6:C6"/>
    <mergeCell ref="B7:C7"/>
    <mergeCell ref="B8:C8"/>
    <mergeCell ref="B9:C9"/>
    <mergeCell ref="A11:E11"/>
    <mergeCell ref="A12:E12"/>
    <mergeCell ref="B13:C13"/>
    <mergeCell ref="B14:C14"/>
    <mergeCell ref="B15:C15"/>
    <mergeCell ref="B16:C16"/>
    <mergeCell ref="A18:E18"/>
    <mergeCell ref="A19:E19"/>
    <mergeCell ref="B20:C20"/>
    <mergeCell ref="B21:C21"/>
    <mergeCell ref="B22:C22"/>
    <mergeCell ref="B23:C23"/>
    <mergeCell ref="A25:E25"/>
    <mergeCell ref="A26:E26"/>
    <mergeCell ref="B27:C27"/>
    <mergeCell ref="B28:C28"/>
    <mergeCell ref="B29:C29"/>
    <mergeCell ref="B30:C30"/>
    <mergeCell ref="B34:C34"/>
    <mergeCell ref="B35:C35"/>
    <mergeCell ref="B36:C36"/>
    <mergeCell ref="B37:C37"/>
    <mergeCell ref="B38:C38"/>
    <mergeCell ref="B39:C39"/>
    <mergeCell ref="B40:C40"/>
    <mergeCell ref="A42:E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2026-09-04T05:36:39Z</dcterms:created>
  <dc:creator>openpyxl</dc:creator>
  <dc:description/>
  <dc:language>en-US</dc:language>
  <cp:lastModifiedBy/>
  <dcterms:modified xsi:type="dcterms:W3CDTF">2026-09-04T05:36:42Z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