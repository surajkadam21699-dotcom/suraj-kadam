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definedNames>
    <definedName function="false" hidden="false" localSheetId="0" name="_xlnm.Print_Area" vbProcedure="false">Review!$A$1:$H$38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<sst xmlns="http://schemas.openxmlformats.org/spreadsheetml/2006/main" count="55" uniqueCount="50">
  <si>
    <t xml:space="preserve">FUND PERFORMANCE REVIEW  -  YOGESH SHARAD GAVANKAR</t>
  </si>
  <si>
    <t xml:space="preserve">As on 4 September 2026   |   11 comparisons, 10 distinct funds   |   each fund against its own benchmark</t>
  </si>
  <si>
    <t xml:space="preserve">Eight of eleven fund-benchmark comparisons are ahead of their index and three are behind. Five funds clear the 13% bar. The three laggards are Focused, Flexi Cap and Consumption - Focused most of all, at 1.14%.</t>
  </si>
  <si>
    <t xml:space="preserve">READ THIS FIRST:  the same index appears with different returns across rows - Nifty 500 TRI at 7.56%, 6.39%, 5.79% and 5.83%. One index over one period has one return, so each row covers its own window. Compare each fund with its own benchmark; do not rank the gaps against each other.</t>
  </si>
  <si>
    <t xml:space="preserve">EVERY FUND AGAINST ITS BENCHMARK</t>
  </si>
  <si>
    <t xml:space="preserve">#</t>
  </si>
  <si>
    <t xml:space="preserve">Fund</t>
  </si>
  <si>
    <t xml:space="preserve">Benchmark</t>
  </si>
  <si>
    <t xml:space="preserve">Fund Return</t>
  </si>
  <si>
    <t xml:space="preserve">Benchmark Return</t>
  </si>
  <si>
    <t xml:space="preserve">Gap</t>
  </si>
  <si>
    <t xml:space="preserve">Against benchmark</t>
  </si>
  <si>
    <t xml:space="preserve">Clears 13%?</t>
  </si>
  <si>
    <t xml:space="preserve">Mahindra Manulife Small Cap Fund - Regular Plan - Growth</t>
  </si>
  <si>
    <t xml:space="preserve">Nifty Smallcap 250 TRI</t>
  </si>
  <si>
    <t xml:space="preserve">Mahindra Manulife Multi Cap Fund - Regular Plan - Growth</t>
  </si>
  <si>
    <t xml:space="preserve">Nifty500 Multicap 50:25:25 TRI</t>
  </si>
  <si>
    <t xml:space="preserve">HDFC Innovation Fund - Regular Plan - Growth</t>
  </si>
  <si>
    <t xml:space="preserve">Nifty 500 TRI</t>
  </si>
  <si>
    <t xml:space="preserve">Mahindra Manulife Banking and Financial Services Fund - Regular Plan - Growth</t>
  </si>
  <si>
    <t xml:space="preserve">Nifty Financial Services TRI</t>
  </si>
  <si>
    <t xml:space="preserve">Mahindra Manulife Value Fund - Regular Plan - Growth</t>
  </si>
  <si>
    <t xml:space="preserve">HDFC Mid Cap Fund - Regular Plan - Growth</t>
  </si>
  <si>
    <t xml:space="preserve">Nifty Midcap 150 TRI</t>
  </si>
  <si>
    <t xml:space="preserve">Mahindra Manulife Large and Mid Cap Fund - Regular Plan - Growth</t>
  </si>
  <si>
    <t xml:space="preserve">NIFTY LargeMidcap 250 TRI</t>
  </si>
  <si>
    <t xml:space="preserve">Mahindra Manulife Consumption Fund - Regular Plan - Growth</t>
  </si>
  <si>
    <t xml:space="preserve">(not stated)</t>
  </si>
  <si>
    <t xml:space="preserve">Mahindra Manulife Flexi Cap Fund - Regular Plan - Growth</t>
  </si>
  <si>
    <t xml:space="preserve">Mahindra Manulife Focused Fund - Regular Plan - Growth</t>
  </si>
  <si>
    <t xml:space="preserve">AVERAGE  (11 comparisons)</t>
  </si>
  <si>
    <t xml:space="preserve">WHAT STANDS OUT</t>
  </si>
  <si>
    <t xml:space="preserve">Three funds trail their benchmark</t>
  </si>
  <si>
    <t xml:space="preserve">Focused -4.65 pts, Flexi Cap -1.52 pts, Consumption -1.09 pts.</t>
  </si>
  <si>
    <t xml:space="preserve">Focused Fund is the one to act on</t>
  </si>
  <si>
    <t xml:space="preserve">1.14% against a benchmark that returned 5.79% - widest shortfall, lowest absolute return.</t>
  </si>
  <si>
    <t xml:space="preserve">A wide gap is not always a good return</t>
  </si>
  <si>
    <t xml:space="preserve">Banking and Financial Services beat its index by 19.94 and 9.26 points but returned 9.58% and 8.06%; the index itself fell. Below the 13% bar on both rows.</t>
  </si>
  <si>
    <t xml:space="preserve">Five of eleven clear 13%</t>
  </si>
  <si>
    <t xml:space="preserve">Small Cap 53.51%, Multi Cap 32.40%, HDFC Innovation 28.84%, HDFC Mid Cap 15.52%, Value 15.24%.</t>
  </si>
  <si>
    <t xml:space="preserve">FIX BEFORE THIS GOES TO THE CLIENT</t>
  </si>
  <si>
    <t xml:space="preserve">Banking and Financial Services appears twice</t>
  </si>
  <si>
    <t xml:space="preserve">Two rows, same fund and same benchmark, different figures (9.58% vs -10.36%, and 8.06% vs -1.20%). Two folios, or two periods - confirm which before this reaches the client.</t>
  </si>
  <si>
    <t xml:space="preserve">One fund has no data</t>
  </si>
  <si>
    <t xml:space="preserve">Mahindra Manulife Low Duration Fund is listed with no return, benchmark or gap.</t>
  </si>
  <si>
    <t xml:space="preserve">One benchmark is missing</t>
  </si>
  <si>
    <t xml:space="preserve">Mahindra Manulife Consumption Fund shows 2.87% against 3.96%, but the index it is measured against was not given.</t>
  </si>
  <si>
    <t xml:space="preserve">The underperformer list may be cut short</t>
  </si>
  <si>
    <t xml:space="preserve">The source table ends at Consumption Fund with no total, so confirm nothing below it was lost.</t>
  </si>
  <si>
    <t xml:space="preserve">Past performance is not indicative of future returns. This review compares each fund with its stated benchmark only and does not account for the amount invested in each, so it does not show what the portfolio as a whole returned. Mutual fund investments are subject to market risks; read all scheme-related documents carefully.</t>
  </si>
</sst>
</file>

<file path=xl/styles.xml><?xml version="1.0" encoding="utf-8"?>
<styleSheet xmlns="http://schemas.openxmlformats.org/spreadsheetml/2006/main">
  <numFmts count="4">
    <numFmt numFmtId="164" formatCode="General"/>
    <numFmt numFmtId="165" formatCode="#,##0;\(#,##0\);\-"/>
    <numFmt numFmtId="166" formatCode="0.00%;\(0.00%\);\-"/>
    <numFmt numFmtId="167" formatCode="\+0.00&quot;  pts&quot;;\-0.00&quot;  pts&quot;;\-"/>
  </numFmts>
  <fonts count="1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404040"/>
      <name val="Arial"/>
      <family val="0"/>
      <charset val="1"/>
    </font>
    <font>
      <sz val="11"/>
      <name val="Arial"/>
      <family val="0"/>
      <charset val="1"/>
    </font>
    <font>
      <sz val="10"/>
      <color rgb="FF9C5700"/>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00FF"/>
      <name val="Arial"/>
      <family val="0"/>
      <charset val="1"/>
    </font>
    <font>
      <sz val="10"/>
      <color rgb="FF000000"/>
      <name val="Arial"/>
      <family val="0"/>
      <charset val="1"/>
    </font>
    <font>
      <sz val="10"/>
      <color rgb="FF006100"/>
      <name val="Arial"/>
      <family val="0"/>
      <charset val="1"/>
    </font>
    <font>
      <sz val="10"/>
      <color rgb="FF9C0006"/>
      <name val="Arial"/>
      <family val="0"/>
      <charset val="1"/>
    </font>
    <font>
      <b val="true"/>
      <sz val="10"/>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FF2CC"/>
        <bgColor rgb="FFF2F2F2"/>
      </patternFill>
    </fill>
    <fill>
      <patternFill patternType="solid">
        <fgColor rgb="FF2E75B6"/>
        <bgColor rgb="FF0066CC"/>
      </patternFill>
    </fill>
    <fill>
      <patternFill patternType="solid">
        <fgColor rgb="FFC6EFCE"/>
        <bgColor rgb="FFCCFFFF"/>
      </patternFill>
    </fill>
    <fill>
      <patternFill patternType="solid">
        <fgColor rgb="FFFFEB9C"/>
        <bgColor rgb="FFFFF2CC"/>
      </patternFill>
    </fill>
    <fill>
      <patternFill patternType="solid">
        <fgColor rgb="FFFFC7CE"/>
        <bgColor rgb="FFFFEB9C"/>
      </patternFill>
    </fill>
  </fills>
  <borders count="4">
    <border diagonalUp="false" diagonalDown="false">
      <left/>
      <right/>
      <top/>
      <bottom/>
      <diagonal/>
    </border>
    <border diagonalUp="false" diagonalDown="false">
      <left style="thin">
        <color rgb="FFBFBFBF"/>
      </left>
      <right/>
      <top style="thin">
        <color rgb="FFBFBFBF"/>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5" fontId="10"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7" fontId="12" fillId="6"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13"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false" applyProtection="false">
      <alignment horizontal="general" vertical="bottom" textRotation="0" wrapText="false" indent="0" shrinkToFit="false"/>
      <protection locked="true" hidden="false"/>
    </xf>
    <xf numFmtId="167" fontId="12" fillId="8"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6" fontId="9" fillId="2" borderId="2" xfId="0" applyFont="true" applyBorder="true" applyAlignment="true" applyProtection="false">
      <alignment horizontal="center" vertical="center" textRotation="0" wrapText="false" indent="0" shrinkToFit="false"/>
      <protection locked="true" hidden="false"/>
    </xf>
    <xf numFmtId="167" fontId="9" fillId="2" borderId="2"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center" textRotation="0" wrapText="true" indent="0" shrinkToFit="false"/>
      <protection locked="true" hidden="false"/>
    </xf>
    <xf numFmtId="164" fontId="10" fillId="0" borderId="3" xfId="0" applyFont="true" applyBorder="true" applyAlignment="true" applyProtection="false">
      <alignment horizontal="general" vertical="center" textRotation="0" wrapText="true" indent="0" shrinkToFit="false"/>
      <protection locked="true" hidden="false"/>
    </xf>
    <xf numFmtId="164" fontId="15" fillId="4" borderId="2" xfId="0" applyFont="true" applyBorder="true" applyAlignment="true" applyProtection="false">
      <alignment horizontal="general" vertical="center" textRotation="0" wrapText="true" indent="0" shrinkToFit="false"/>
      <protection locked="true" hidden="false"/>
    </xf>
    <xf numFmtId="164" fontId="10" fillId="4" borderId="3"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3" min="3" style="0" width="30"/>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7" min="7" style="0" width="21"/>
    <col collapsed="false" customWidth="true" hidden="false" outlineLevel="0" max="8" min="8" style="0" width="12"/>
  </cols>
  <sheetData>
    <row r="1" customFormat="false" ht="27.75" hidden="false" customHeight="true" outlineLevel="0" collapsed="false">
      <c r="A1" s="1" t="s">
        <v>0</v>
      </c>
      <c r="B1" s="1"/>
      <c r="C1" s="1"/>
      <c r="D1" s="1"/>
      <c r="E1" s="1"/>
      <c r="F1" s="1"/>
      <c r="G1" s="1"/>
      <c r="H1" s="1"/>
    </row>
    <row r="2" customFormat="false" ht="16.5" hidden="false" customHeight="true" outlineLevel="0" collapsed="false">
      <c r="A2" s="2" t="s">
        <v>1</v>
      </c>
      <c r="B2" s="2"/>
      <c r="C2" s="2"/>
      <c r="D2" s="2"/>
      <c r="E2" s="2"/>
      <c r="F2" s="2"/>
      <c r="G2" s="2"/>
      <c r="H2" s="2"/>
    </row>
    <row r="4" customFormat="false" ht="19.5" hidden="false" customHeight="true" outlineLevel="0" collapsed="false">
      <c r="A4" s="3" t="s">
        <v>2</v>
      </c>
      <c r="B4" s="3"/>
      <c r="C4" s="3"/>
      <c r="D4" s="3"/>
      <c r="E4" s="3"/>
      <c r="F4" s="3"/>
      <c r="G4" s="3"/>
      <c r="H4" s="3"/>
    </row>
    <row r="5" customFormat="false" ht="19.5" hidden="false" customHeight="true" outlineLevel="0" collapsed="false">
      <c r="A5" s="3"/>
      <c r="B5" s="3"/>
      <c r="C5" s="3"/>
      <c r="D5" s="3"/>
      <c r="E5" s="3"/>
      <c r="F5" s="3"/>
      <c r="G5" s="3"/>
      <c r="H5" s="3"/>
    </row>
    <row r="7" customFormat="false" ht="19.5" hidden="false" customHeight="true" outlineLevel="0" collapsed="false">
      <c r="A7" s="4" t="s">
        <v>3</v>
      </c>
      <c r="B7" s="4"/>
      <c r="C7" s="4"/>
      <c r="D7" s="4"/>
      <c r="E7" s="4"/>
      <c r="F7" s="4"/>
      <c r="G7" s="4"/>
      <c r="H7" s="4"/>
    </row>
    <row r="8" customFormat="false" ht="19.5" hidden="false" customHeight="true" outlineLevel="0" collapsed="false">
      <c r="A8" s="4"/>
      <c r="B8" s="4"/>
      <c r="C8" s="4"/>
      <c r="D8" s="4"/>
      <c r="E8" s="4"/>
      <c r="F8" s="4"/>
      <c r="G8" s="4"/>
      <c r="H8" s="4"/>
    </row>
    <row r="10" customFormat="false" ht="15" hidden="false" customHeight="false" outlineLevel="0" collapsed="false">
      <c r="A10" s="5" t="s">
        <v>4</v>
      </c>
    </row>
    <row r="11" customFormat="false" ht="30" hidden="false" customHeight="true" outlineLevel="0" collapsed="false">
      <c r="A11" s="6" t="s">
        <v>5</v>
      </c>
      <c r="B11" s="7" t="s">
        <v>6</v>
      </c>
      <c r="C11" s="7" t="s">
        <v>7</v>
      </c>
      <c r="D11" s="6" t="s">
        <v>8</v>
      </c>
      <c r="E11" s="6" t="s">
        <v>9</v>
      </c>
      <c r="F11" s="6" t="s">
        <v>10</v>
      </c>
      <c r="G11" s="7" t="s">
        <v>11</v>
      </c>
      <c r="H11" s="6" t="s">
        <v>12</v>
      </c>
    </row>
    <row r="12" customFormat="false" ht="15" hidden="false" customHeight="false" outlineLevel="0" collapsed="false">
      <c r="A12" s="8" t="n">
        <v>1</v>
      </c>
      <c r="B12" s="9" t="s">
        <v>13</v>
      </c>
      <c r="C12" s="9" t="s">
        <v>14</v>
      </c>
      <c r="D12" s="10" t="n">
        <v>0.5351</v>
      </c>
      <c r="E12" s="10" t="n">
        <v>0.1801</v>
      </c>
      <c r="F12" s="11" t="n">
        <f aca="false">($D12-$E12)*100</f>
        <v>35.5</v>
      </c>
      <c r="G12" s="12" t="str">
        <f aca="false">IF($D12&gt;$E12,"Ahead of benchmark","Behind benchmark")</f>
        <v>Ahead of benchmark</v>
      </c>
      <c r="H12" s="13" t="str">
        <f aca="false">IF($D12&gt;=0.13,"Yes","No")</f>
        <v>Yes</v>
      </c>
    </row>
    <row r="13" customFormat="false" ht="15" hidden="false" customHeight="false" outlineLevel="0" collapsed="false">
      <c r="A13" s="8" t="n">
        <v>2</v>
      </c>
      <c r="B13" s="9" t="s">
        <v>15</v>
      </c>
      <c r="C13" s="9" t="s">
        <v>16</v>
      </c>
      <c r="D13" s="10" t="n">
        <v>0.324</v>
      </c>
      <c r="E13" s="10" t="n">
        <v>0.0203</v>
      </c>
      <c r="F13" s="11" t="n">
        <f aca="false">($D13-$E13)*100</f>
        <v>30.37</v>
      </c>
      <c r="G13" s="12" t="str">
        <f aca="false">IF($D13&gt;$E13,"Ahead of benchmark","Behind benchmark")</f>
        <v>Ahead of benchmark</v>
      </c>
      <c r="H13" s="13" t="str">
        <f aca="false">IF($D13&gt;=0.13,"Yes","No")</f>
        <v>Yes</v>
      </c>
    </row>
    <row r="14" customFormat="false" ht="15" hidden="false" customHeight="false" outlineLevel="0" collapsed="false">
      <c r="A14" s="8" t="n">
        <v>3</v>
      </c>
      <c r="B14" s="9" t="s">
        <v>17</v>
      </c>
      <c r="C14" s="9" t="s">
        <v>18</v>
      </c>
      <c r="D14" s="10" t="n">
        <v>0.2884</v>
      </c>
      <c r="E14" s="10" t="n">
        <v>0.0756</v>
      </c>
      <c r="F14" s="11" t="n">
        <f aca="false">($D14-$E14)*100</f>
        <v>21.28</v>
      </c>
      <c r="G14" s="12" t="str">
        <f aca="false">IF($D14&gt;$E14,"Ahead of benchmark","Behind benchmark")</f>
        <v>Ahead of benchmark</v>
      </c>
      <c r="H14" s="13" t="str">
        <f aca="false">IF($D14&gt;=0.13,"Yes","No")</f>
        <v>Yes</v>
      </c>
    </row>
    <row r="15" customFormat="false" ht="15" hidden="false" customHeight="false" outlineLevel="0" collapsed="false">
      <c r="A15" s="8" t="n">
        <v>4</v>
      </c>
      <c r="B15" s="9" t="s">
        <v>19</v>
      </c>
      <c r="C15" s="9" t="s">
        <v>20</v>
      </c>
      <c r="D15" s="10" t="n">
        <v>0.0958</v>
      </c>
      <c r="E15" s="10" t="n">
        <v>-0.1036</v>
      </c>
      <c r="F15" s="11" t="n">
        <f aca="false">($D15-$E15)*100</f>
        <v>19.94</v>
      </c>
      <c r="G15" s="12" t="str">
        <f aca="false">IF($D15&gt;$E15,"Ahead of benchmark","Behind benchmark")</f>
        <v>Ahead of benchmark</v>
      </c>
      <c r="H15" s="14" t="str">
        <f aca="false">IF($D15&gt;=0.13,"Yes","No")</f>
        <v>No</v>
      </c>
    </row>
    <row r="16" customFormat="false" ht="15" hidden="false" customHeight="false" outlineLevel="0" collapsed="false">
      <c r="A16" s="8" t="n">
        <v>5</v>
      </c>
      <c r="B16" s="9" t="s">
        <v>19</v>
      </c>
      <c r="C16" s="9" t="s">
        <v>20</v>
      </c>
      <c r="D16" s="10" t="n">
        <v>0.0806</v>
      </c>
      <c r="E16" s="10" t="n">
        <v>-0.012</v>
      </c>
      <c r="F16" s="11" t="n">
        <f aca="false">($D16-$E16)*100</f>
        <v>9.26</v>
      </c>
      <c r="G16" s="12" t="str">
        <f aca="false">IF($D16&gt;$E16,"Ahead of benchmark","Behind benchmark")</f>
        <v>Ahead of benchmark</v>
      </c>
      <c r="H16" s="14" t="str">
        <f aca="false">IF($D16&gt;=0.13,"Yes","No")</f>
        <v>No</v>
      </c>
    </row>
    <row r="17" customFormat="false" ht="15" hidden="false" customHeight="false" outlineLevel="0" collapsed="false">
      <c r="A17" s="8" t="n">
        <v>6</v>
      </c>
      <c r="B17" s="9" t="s">
        <v>21</v>
      </c>
      <c r="C17" s="9" t="s">
        <v>18</v>
      </c>
      <c r="D17" s="10" t="n">
        <v>0.1524</v>
      </c>
      <c r="E17" s="10" t="n">
        <v>0.0639</v>
      </c>
      <c r="F17" s="11" t="n">
        <f aca="false">($D17-$E17)*100</f>
        <v>8.85</v>
      </c>
      <c r="G17" s="12" t="str">
        <f aca="false">IF($D17&gt;$E17,"Ahead of benchmark","Behind benchmark")</f>
        <v>Ahead of benchmark</v>
      </c>
      <c r="H17" s="13" t="str">
        <f aca="false">IF($D17&gt;=0.13,"Yes","No")</f>
        <v>Yes</v>
      </c>
    </row>
    <row r="18" customFormat="false" ht="15" hidden="false" customHeight="false" outlineLevel="0" collapsed="false">
      <c r="A18" s="8" t="n">
        <v>7</v>
      </c>
      <c r="B18" s="9" t="s">
        <v>22</v>
      </c>
      <c r="C18" s="9" t="s">
        <v>23</v>
      </c>
      <c r="D18" s="10" t="n">
        <v>0.1552</v>
      </c>
      <c r="E18" s="10" t="n">
        <v>0.0862</v>
      </c>
      <c r="F18" s="11" t="n">
        <f aca="false">($D18-$E18)*100</f>
        <v>6.9</v>
      </c>
      <c r="G18" s="12" t="str">
        <f aca="false">IF($D18&gt;$E18,"Ahead of benchmark","Behind benchmark")</f>
        <v>Ahead of benchmark</v>
      </c>
      <c r="H18" s="13" t="str">
        <f aca="false">IF($D18&gt;=0.13,"Yes","No")</f>
        <v>Yes</v>
      </c>
    </row>
    <row r="19" customFormat="false" ht="15" hidden="false" customHeight="false" outlineLevel="0" collapsed="false">
      <c r="A19" s="8" t="n">
        <v>8</v>
      </c>
      <c r="B19" s="9" t="s">
        <v>24</v>
      </c>
      <c r="C19" s="9" t="s">
        <v>25</v>
      </c>
      <c r="D19" s="10" t="n">
        <v>0.1126</v>
      </c>
      <c r="E19" s="10" t="n">
        <v>0.0727</v>
      </c>
      <c r="F19" s="11" t="n">
        <f aca="false">($D19-$E19)*100</f>
        <v>3.99</v>
      </c>
      <c r="G19" s="12" t="str">
        <f aca="false">IF($D19&gt;$E19,"Ahead of benchmark","Behind benchmark")</f>
        <v>Ahead of benchmark</v>
      </c>
      <c r="H19" s="14" t="str">
        <f aca="false">IF($D19&gt;=0.13,"Yes","No")</f>
        <v>No</v>
      </c>
    </row>
    <row r="20" customFormat="false" ht="15" hidden="false" customHeight="false" outlineLevel="0" collapsed="false">
      <c r="A20" s="8" t="n">
        <v>9</v>
      </c>
      <c r="B20" s="9" t="s">
        <v>26</v>
      </c>
      <c r="C20" s="15" t="s">
        <v>27</v>
      </c>
      <c r="D20" s="10" t="n">
        <v>0.0287</v>
      </c>
      <c r="E20" s="10" t="n">
        <v>0.0396</v>
      </c>
      <c r="F20" s="16" t="n">
        <f aca="false">($D20-$E20)*100</f>
        <v>-1.09</v>
      </c>
      <c r="G20" s="17" t="str">
        <f aca="false">IF($D20&gt;$E20,"Ahead of benchmark","Behind benchmark")</f>
        <v>Behind benchmark</v>
      </c>
      <c r="H20" s="14" t="str">
        <f aca="false">IF($D20&gt;=0.13,"Yes","No")</f>
        <v>No</v>
      </c>
    </row>
    <row r="21" customFormat="false" ht="15" hidden="false" customHeight="false" outlineLevel="0" collapsed="false">
      <c r="A21" s="8" t="n">
        <v>10</v>
      </c>
      <c r="B21" s="9" t="s">
        <v>28</v>
      </c>
      <c r="C21" s="9" t="s">
        <v>18</v>
      </c>
      <c r="D21" s="10" t="n">
        <v>0.0431</v>
      </c>
      <c r="E21" s="10" t="n">
        <v>0.0583</v>
      </c>
      <c r="F21" s="16" t="n">
        <f aca="false">($D21-$E21)*100</f>
        <v>-1.52</v>
      </c>
      <c r="G21" s="17" t="str">
        <f aca="false">IF($D21&gt;$E21,"Ahead of benchmark","Behind benchmark")</f>
        <v>Behind benchmark</v>
      </c>
      <c r="H21" s="14" t="str">
        <f aca="false">IF($D21&gt;=0.13,"Yes","No")</f>
        <v>No</v>
      </c>
    </row>
    <row r="22" customFormat="false" ht="15" hidden="false" customHeight="false" outlineLevel="0" collapsed="false">
      <c r="A22" s="8" t="n">
        <v>11</v>
      </c>
      <c r="B22" s="9" t="s">
        <v>29</v>
      </c>
      <c r="C22" s="9" t="s">
        <v>18</v>
      </c>
      <c r="D22" s="10" t="n">
        <v>0.0114</v>
      </c>
      <c r="E22" s="10" t="n">
        <v>0.0579</v>
      </c>
      <c r="F22" s="16" t="n">
        <f aca="false">($D22-$E22)*100</f>
        <v>-4.65</v>
      </c>
      <c r="G22" s="17" t="str">
        <f aca="false">IF($D22&gt;$E22,"Ahead of benchmark","Behind benchmark")</f>
        <v>Behind benchmark</v>
      </c>
      <c r="H22" s="14" t="str">
        <f aca="false">IF($D22&gt;=0.13,"Yes","No")</f>
        <v>No</v>
      </c>
    </row>
    <row r="23" customFormat="false" ht="15" hidden="false" customHeight="false" outlineLevel="0" collapsed="false">
      <c r="A23" s="18"/>
      <c r="B23" s="19" t="s">
        <v>30</v>
      </c>
      <c r="C23" s="18"/>
      <c r="D23" s="20" t="n">
        <f aca="false">AVERAGE(D12:D22)</f>
        <v>0.166118181818182</v>
      </c>
      <c r="E23" s="20" t="n">
        <f aca="false">AVERAGE(E12:E22)</f>
        <v>0.049</v>
      </c>
      <c r="F23" s="21" t="n">
        <f aca="false">($D23-$E23)*100</f>
        <v>11.7118181818182</v>
      </c>
      <c r="G23" s="19" t="str">
        <f aca="false">COUNTIF(G12:G22,"Ahead of benchmark")&amp;" ahead / "&amp;COUNTIF(G12:G22,"Behind benchmark")&amp;" behind"</f>
        <v>8 ahead / 3 behind</v>
      </c>
      <c r="H23" s="22" t="str">
        <f aca="false">COUNTIF(H12:H22,"Yes")&amp;" of "&amp;COUNTA(H12:H22)</f>
        <v>5 of 11</v>
      </c>
    </row>
    <row r="25" customFormat="false" ht="15" hidden="false" customHeight="false" outlineLevel="0" collapsed="false">
      <c r="A25" s="5" t="s">
        <v>31</v>
      </c>
    </row>
    <row r="26" customFormat="false" ht="25.5" hidden="false" customHeight="true" outlineLevel="0" collapsed="false">
      <c r="A26" s="23"/>
      <c r="B26" s="24" t="s">
        <v>32</v>
      </c>
      <c r="C26" s="25" t="s">
        <v>33</v>
      </c>
      <c r="D26" s="25"/>
      <c r="E26" s="25"/>
      <c r="F26" s="25"/>
      <c r="G26" s="25"/>
      <c r="H26" s="25"/>
    </row>
    <row r="27" customFormat="false" ht="25.5" hidden="false" customHeight="true" outlineLevel="0" collapsed="false">
      <c r="A27" s="23"/>
      <c r="B27" s="24" t="s">
        <v>34</v>
      </c>
      <c r="C27" s="25" t="s">
        <v>35</v>
      </c>
      <c r="D27" s="25"/>
      <c r="E27" s="25"/>
      <c r="F27" s="25"/>
      <c r="G27" s="25"/>
      <c r="H27" s="25"/>
    </row>
    <row r="28" customFormat="false" ht="25.5" hidden="false" customHeight="true" outlineLevel="0" collapsed="false">
      <c r="A28" s="23"/>
      <c r="B28" s="24" t="s">
        <v>36</v>
      </c>
      <c r="C28" s="25" t="s">
        <v>37</v>
      </c>
      <c r="D28" s="25"/>
      <c r="E28" s="25"/>
      <c r="F28" s="25"/>
      <c r="G28" s="25"/>
      <c r="H28" s="25"/>
    </row>
    <row r="29" customFormat="false" ht="25.5" hidden="false" customHeight="true" outlineLevel="0" collapsed="false">
      <c r="A29" s="23"/>
      <c r="B29" s="24" t="s">
        <v>38</v>
      </c>
      <c r="C29" s="25" t="s">
        <v>39</v>
      </c>
      <c r="D29" s="25"/>
      <c r="E29" s="25"/>
      <c r="F29" s="25"/>
      <c r="G29" s="25"/>
      <c r="H29" s="25"/>
    </row>
    <row r="31" customFormat="false" ht="15" hidden="false" customHeight="false" outlineLevel="0" collapsed="false">
      <c r="A31" s="5" t="s">
        <v>40</v>
      </c>
    </row>
    <row r="32" customFormat="false" ht="27.75" hidden="false" customHeight="true" outlineLevel="0" collapsed="false">
      <c r="A32" s="23"/>
      <c r="B32" s="26" t="s">
        <v>41</v>
      </c>
      <c r="C32" s="27" t="s">
        <v>42</v>
      </c>
      <c r="D32" s="27"/>
      <c r="E32" s="27"/>
      <c r="F32" s="27"/>
      <c r="G32" s="27"/>
      <c r="H32" s="27"/>
    </row>
    <row r="33" customFormat="false" ht="27.75" hidden="false" customHeight="true" outlineLevel="0" collapsed="false">
      <c r="A33" s="23"/>
      <c r="B33" s="26" t="s">
        <v>43</v>
      </c>
      <c r="C33" s="27" t="s">
        <v>44</v>
      </c>
      <c r="D33" s="27"/>
      <c r="E33" s="27"/>
      <c r="F33" s="27"/>
      <c r="G33" s="27"/>
      <c r="H33" s="27"/>
    </row>
    <row r="34" customFormat="false" ht="27.75" hidden="false" customHeight="true" outlineLevel="0" collapsed="false">
      <c r="A34" s="23"/>
      <c r="B34" s="26" t="s">
        <v>45</v>
      </c>
      <c r="C34" s="27" t="s">
        <v>46</v>
      </c>
      <c r="D34" s="27"/>
      <c r="E34" s="27"/>
      <c r="F34" s="27"/>
      <c r="G34" s="27"/>
      <c r="H34" s="27"/>
    </row>
    <row r="35" customFormat="false" ht="27.75" hidden="false" customHeight="true" outlineLevel="0" collapsed="false">
      <c r="A35" s="23"/>
      <c r="B35" s="26" t="s">
        <v>47</v>
      </c>
      <c r="C35" s="27" t="s">
        <v>48</v>
      </c>
      <c r="D35" s="27"/>
      <c r="E35" s="27"/>
      <c r="F35" s="27"/>
      <c r="G35" s="27"/>
      <c r="H35" s="27"/>
    </row>
    <row r="37" customFormat="false" ht="15" hidden="false" customHeight="true" outlineLevel="0" collapsed="false">
      <c r="A37" s="28" t="s">
        <v>49</v>
      </c>
      <c r="B37" s="28"/>
      <c r="C37" s="28"/>
      <c r="D37" s="28"/>
      <c r="E37" s="28"/>
      <c r="F37" s="28"/>
      <c r="G37" s="28"/>
      <c r="H37" s="28"/>
    </row>
    <row r="38" customFormat="false" ht="15" hidden="false" customHeight="false" outlineLevel="0" collapsed="false">
      <c r="A38" s="28"/>
      <c r="B38" s="28"/>
      <c r="C38" s="28"/>
      <c r="D38" s="28"/>
      <c r="E38" s="28"/>
      <c r="F38" s="28"/>
      <c r="G38" s="28"/>
      <c r="H38" s="28"/>
    </row>
  </sheetData>
  <mergeCells count="13">
    <mergeCell ref="A1:H1"/>
    <mergeCell ref="A2:H2"/>
    <mergeCell ref="A4:H5"/>
    <mergeCell ref="A7:H8"/>
    <mergeCell ref="C26:H26"/>
    <mergeCell ref="C27:H27"/>
    <mergeCell ref="C28:H28"/>
    <mergeCell ref="C29:H29"/>
    <mergeCell ref="C32:H32"/>
    <mergeCell ref="C33:H33"/>
    <mergeCell ref="C34:H34"/>
    <mergeCell ref="C35:H35"/>
    <mergeCell ref="A37:H38"/>
  </mergeCells>
  <conditionalFormatting sqref="D12:D22">
    <cfRule type="dataBar" priority="2">
      <dataBar showValue="1" minLength="10" maxLength="90">
        <cfvo type="num" val="0"/>
        <cfvo type="num" val="0.56"/>
        <color rgb="FF1F4E5F"/>
      </dataBar>
      <extLst>
        <ext xmlns:x14="http://schemas.microsoft.com/office/spreadsheetml/2009/9/main" uri="{B025F937-C7B1-47D3-B67F-A62EFF666E3E}">
          <x14:id>{1CA58FE8-ADC5-4F3A-982A-A8756BB0409B}</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CA58FE8-ADC5-4F3A-982A-A8756BB0409B}">
            <x14:dataBar minLength="10" maxLength="90" axisPosition="none" gradient="true">
              <x14:cfvo type="num">
                <xm:f>0</xm:f>
              </x14:cfvo>
              <x14:cfvo type="num">
                <xm:f>0.56</xm:f>
              </x14:cfvo>
              <x14:negativeFillColor rgb="FF1F4E5F"/>
              <x14:axisColor rgb="FF000000"/>
            </x14:dataBar>
          </x14:cfRule>
          <xm:sqref>D12:D22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2026-09-04T07:04:53Z</dcterms:created>
  <dc:creator>openpyxl</dc:creator>
  <dc:description/>
  <dc:language>en-US</dc:language>
  <cp:lastModifiedBy/>
  <dcterms:modified xsi:type="dcterms:W3CDTF">2026-09-04T07:04:53Z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