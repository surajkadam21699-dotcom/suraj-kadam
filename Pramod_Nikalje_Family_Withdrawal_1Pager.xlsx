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iew" sheetId="1" state="visible" r:id="rId1"/>
  </sheets>
  <definedNames>
    <definedName name="_xlnm.Print_Area" localSheetId="0">'Review'!$A$1:$J$36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[&gt;=10000000]₹ ##\,##\,##\,##0.00;[&gt;=100000]₹ ##\,##\,##0.00;₹ #,##0.00"/>
    <numFmt numFmtId="165" formatCode="#,##0.0000;(#,##0.0000);-"/>
    <numFmt numFmtId="166" formatCode="0.00%;(0.00%);-"/>
  </numFmts>
  <fonts count="13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404040"/>
      <sz val="9"/>
    </font>
    <font>
      <name val="Arial"/>
      <sz val="11"/>
    </font>
    <font>
      <name val="Arial"/>
      <b val="1"/>
      <color rgb="001F3864"/>
      <sz val="11"/>
    </font>
    <font>
      <name val="Arial"/>
      <b val="1"/>
      <color rgb="00FFFFFF"/>
      <sz val="10"/>
    </font>
    <font>
      <name val="Arial"/>
      <color rgb="00006100"/>
      <sz val="10"/>
    </font>
    <font>
      <name val="Arial"/>
      <sz val="10"/>
    </font>
    <font>
      <name val="Arial"/>
      <color rgb="00000000"/>
      <sz val="10"/>
    </font>
    <font>
      <name val="Arial"/>
      <b val="1"/>
      <sz val="10"/>
    </font>
    <font>
      <name val="Arial"/>
      <color rgb="009C5700"/>
      <sz val="10"/>
    </font>
    <font>
      <name val="Arial"/>
      <color rgb="009C0006"/>
      <sz val="10"/>
    </font>
    <font>
      <name val="Arial"/>
      <color rgb="000000FF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2E75B6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0" borderId="0" applyAlignment="1" pivotButton="0" quotePrefix="0" xfId="0">
      <alignment vertical="center" wrapText="1"/>
    </xf>
    <xf numFmtId="0" fontId="4" fillId="0" borderId="0" pivotButton="0" quotePrefix="0" xfId="0"/>
    <xf numFmtId="0" fontId="5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5" borderId="1" pivotButton="0" quotePrefix="0" xfId="0"/>
    <xf numFmtId="0" fontId="7" fillId="5" borderId="1" pivotButton="0" quotePrefix="0" xfId="0"/>
    <xf numFmtId="0" fontId="7" fillId="0" borderId="1" applyAlignment="1" pivotButton="0" quotePrefix="0" xfId="0">
      <alignment vertical="center" wrapText="1"/>
    </xf>
    <xf numFmtId="164" fontId="8" fillId="0" borderId="1" pivotButton="0" quotePrefix="0" xfId="0"/>
    <xf numFmtId="164" fontId="9" fillId="5" borderId="1" pivotButton="0" quotePrefix="0" xfId="0"/>
    <xf numFmtId="0" fontId="7" fillId="0" borderId="1" pivotButton="0" quotePrefix="0" xfId="0"/>
    <xf numFmtId="0" fontId="10" fillId="6" borderId="1" pivotButton="0" quotePrefix="0" xfId="0"/>
    <xf numFmtId="0" fontId="7" fillId="6" borderId="1" pivotButton="0" quotePrefix="0" xfId="0"/>
    <xf numFmtId="164" fontId="9" fillId="6" borderId="1" pivotButton="0" quotePrefix="0" xfId="0"/>
    <xf numFmtId="0" fontId="11" fillId="7" borderId="1" pivotButton="0" quotePrefix="0" xfId="0"/>
    <xf numFmtId="0" fontId="7" fillId="7" borderId="1" pivotButton="0" quotePrefix="0" xfId="0"/>
    <xf numFmtId="164" fontId="9" fillId="7" borderId="1" pivotButton="0" quotePrefix="0" xfId="0"/>
    <xf numFmtId="0" fontId="5" fillId="2" borderId="1" pivotButton="0" quotePrefix="0" xfId="0"/>
    <xf numFmtId="0" fontId="7" fillId="2" borderId="1" pivotButton="0" quotePrefix="0" xfId="0"/>
    <xf numFmtId="0" fontId="0" fillId="0" borderId="4" pivotButton="0" quotePrefix="0" xfId="0"/>
    <xf numFmtId="0" fontId="0" fillId="0" borderId="5" pivotButton="0" quotePrefix="0" xfId="0"/>
    <xf numFmtId="164" fontId="5" fillId="2" borderId="1" pivotButton="0" quotePrefix="0" xfId="0"/>
    <xf numFmtId="0" fontId="12" fillId="0" borderId="1" applyAlignment="1" pivotButton="0" quotePrefix="0" xfId="0">
      <alignment horizontal="center" vertical="center"/>
    </xf>
    <xf numFmtId="0" fontId="12" fillId="0" borderId="1" pivotButton="0" quotePrefix="0" xfId="0"/>
    <xf numFmtId="0" fontId="6" fillId="5" borderId="1" applyAlignment="1" pivotButton="0" quotePrefix="0" xfId="0">
      <alignment horizontal="center" vertical="center"/>
    </xf>
    <xf numFmtId="165" fontId="12" fillId="0" borderId="1" pivotButton="0" quotePrefix="0" xfId="0"/>
    <xf numFmtId="164" fontId="12" fillId="0" borderId="1" pivotButton="0" quotePrefix="0" xfId="0"/>
    <xf numFmtId="166" fontId="8" fillId="0" borderId="1" applyAlignment="1" pivotButton="0" quotePrefix="0" xfId="0">
      <alignment horizontal="center" vertical="center"/>
    </xf>
    <xf numFmtId="166" fontId="12" fillId="0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166" fontId="5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9" fillId="0" borderId="1" applyAlignment="1" pivotButton="0" quotePrefix="0" xfId="0">
      <alignment vertical="center" wrapText="1"/>
    </xf>
    <xf numFmtId="166" fontId="12" fillId="5" borderId="1" applyAlignment="1" pivotButton="0" quotePrefix="0" xfId="0">
      <alignment horizontal="center" vertical="center"/>
    </xf>
    <xf numFmtId="0" fontId="9" fillId="8" borderId="1" pivotButton="0" quotePrefix="0" xfId="0"/>
    <xf numFmtId="166" fontId="8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vertical="center" wrapText="1"/>
    </xf>
    <xf numFmtId="0" fontId="10" fillId="8" borderId="1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6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48" customWidth="1" min="3" max="3"/>
    <col width="17" customWidth="1" min="4" max="4"/>
    <col width="13" customWidth="1" min="5" max="5"/>
    <col width="15" customWidth="1" min="6" max="6"/>
    <col width="16" customWidth="1" min="7" max="7"/>
    <col width="15" customWidth="1" min="8" max="8"/>
    <col width="11" customWidth="1" min="9" max="9"/>
    <col width="10" customWidth="1" min="10" max="10"/>
  </cols>
  <sheetData>
    <row r="1" ht="28" customHeight="1">
      <c r="A1" s="1" t="inlineStr">
        <is>
          <t>WITHDRAWAL &amp; RETURNS REVIEW  -  PRAMOD NIKALJE FAMILY</t>
        </is>
      </c>
    </row>
    <row r="2" ht="17" customHeight="1">
      <c r="A2" s="2" t="inlineStr">
        <is>
          <t>As on 30 September 2026   |   Portfolio Rs 12,00,143.77   |   Opulencia Capital Private Limited  -  AMFI Registered Mutual Fund Distributor (ARN-207036)</t>
        </is>
      </c>
    </row>
    <row r="4" ht="20" customHeight="1">
      <c r="A4" s="3" t="inlineStr">
        <is>
          <t>Rs 7,55,796.64 can be withdrawn today with no exit load. A further Rs 1,15,026.64 can be withdrawn but is charged an exit load and is currently at a loss. Rs 3,29,320.48 is in ELSS and cannot be touched. The load-free money has earned 13.74% XIRR - almost all of it from one holding.</t>
        </is>
      </c>
    </row>
    <row r="5" ht="20" customHeight="1"/>
    <row r="7">
      <c r="A7" s="4" t="inlineStr">
        <is>
          <t>WHAT CAN BE WITHDRAWN</t>
        </is>
      </c>
    </row>
    <row r="8" ht="30" customHeight="1">
      <c r="A8" s="5" t="inlineStr">
        <is>
          <t>Bucket</t>
        </is>
      </c>
      <c r="B8" s="6" t="inlineStr"/>
      <c r="C8" s="5" t="inlineStr">
        <is>
          <t>What it means</t>
        </is>
      </c>
      <c r="D8" s="6" t="inlineStr"/>
      <c r="E8" s="6" t="inlineStr"/>
      <c r="F8" s="6" t="inlineStr">
        <is>
          <t>Pramod</t>
        </is>
      </c>
      <c r="G8" s="6" t="inlineStr">
        <is>
          <t>Amita</t>
        </is>
      </c>
      <c r="H8" s="6" t="inlineStr">
        <is>
          <t>Family</t>
        </is>
      </c>
      <c r="I8" s="6" t="inlineStr"/>
      <c r="J8" s="6" t="inlineStr"/>
    </row>
    <row r="9" ht="30" customHeight="1">
      <c r="A9" s="7" t="inlineStr">
        <is>
          <t>Load Free</t>
        </is>
      </c>
      <c r="B9" s="8" t="inlineStr"/>
      <c r="C9" s="9" t="inlineStr">
        <is>
          <t>Withdraw today. No exit load, no lock-in. Capital gains tax still applies.</t>
        </is>
      </c>
      <c r="F9" s="10">
        <f>SUMIFS($G$16:$G$23,$D$16:$D$23,$A9,$A$16:$A$23,"Pramod Nikalje")</f>
        <v/>
      </c>
      <c r="G9" s="10">
        <f>SUMIFS($G$16:$G$23,$D$16:$D$23,$A9,$A$16:$A$23,"Amita Pramod Nikalje")</f>
        <v/>
      </c>
      <c r="H9" s="11">
        <f>$F9+$G9</f>
        <v/>
      </c>
      <c r="I9" s="12" t="inlineStr"/>
      <c r="J9" s="12" t="inlineStr"/>
    </row>
    <row r="10" ht="30" customHeight="1">
      <c r="A10" s="13" t="inlineStr">
        <is>
          <t>Load Applicable</t>
        </is>
      </c>
      <c r="B10" s="14" t="inlineStr"/>
      <c r="C10" s="9" t="inlineStr">
        <is>
          <t>Can be withdrawn, but an exit load is charged. Both holdings here are at a loss, so exiting now means paying a charge to book a loss.</t>
        </is>
      </c>
      <c r="F10" s="10">
        <f>SUMIFS($G$16:$G$23,$D$16:$D$23,$A10,$A$16:$A$23,"Pramod Nikalje")</f>
        <v/>
      </c>
      <c r="G10" s="10">
        <f>SUMIFS($G$16:$G$23,$D$16:$D$23,$A10,$A$16:$A$23,"Amita Pramod Nikalje")</f>
        <v/>
      </c>
      <c r="H10" s="15">
        <f>$F10+$G10</f>
        <v/>
      </c>
      <c r="I10" s="12" t="inlineStr"/>
      <c r="J10" s="12" t="inlineStr"/>
    </row>
    <row r="11" ht="30" customHeight="1">
      <c r="A11" s="16" t="inlineStr">
        <is>
          <t>Lock In</t>
        </is>
      </c>
      <c r="B11" s="17" t="inlineStr"/>
      <c r="C11" s="9" t="inlineStr">
        <is>
          <t>Cannot be withdrawn. Both are ELSS funds inside the statutory three-year lock-in. No fee will release them early.</t>
        </is>
      </c>
      <c r="F11" s="10">
        <f>SUMIFS($G$16:$G$23,$D$16:$D$23,$A11,$A$16:$A$23,"Pramod Nikalje")</f>
        <v/>
      </c>
      <c r="G11" s="10">
        <f>SUMIFS($G$16:$G$23,$D$16:$D$23,$A11,$A$16:$A$23,"Amita Pramod Nikalje")</f>
        <v/>
      </c>
      <c r="H11" s="18">
        <f>$F11+$G11</f>
        <v/>
      </c>
      <c r="I11" s="12" t="inlineStr"/>
      <c r="J11" s="12" t="inlineStr"/>
    </row>
    <row r="12">
      <c r="A12" s="19" t="inlineStr">
        <is>
          <t>PORTFOLIO</t>
        </is>
      </c>
      <c r="B12" s="20" t="inlineStr"/>
      <c r="C12" s="20" t="inlineStr"/>
      <c r="D12" s="21" t="n"/>
      <c r="E12" s="22" t="n"/>
      <c r="F12" s="23">
        <f>SUM(F9:F11)</f>
        <v/>
      </c>
      <c r="G12" s="23">
        <f>SUM(G9:G11)</f>
        <v/>
      </c>
      <c r="H12" s="23">
        <f>SUM(H9:H11)</f>
        <v/>
      </c>
      <c r="I12" s="20" t="inlineStr"/>
      <c r="J12" s="20" t="inlineStr"/>
    </row>
    <row r="14">
      <c r="A14" s="4" t="inlineStr">
        <is>
          <t>EVERY HOLDING</t>
        </is>
      </c>
    </row>
    <row r="15" ht="30" customHeight="1">
      <c r="A15" s="5" t="inlineStr">
        <is>
          <t>Holder</t>
        </is>
      </c>
      <c r="B15" s="6" t="inlineStr">
        <is>
          <t>Folio</t>
        </is>
      </c>
      <c r="C15" s="5" t="inlineStr">
        <is>
          <t>Scheme</t>
        </is>
      </c>
      <c r="D15" s="6" t="inlineStr">
        <is>
          <t>Bucket</t>
        </is>
      </c>
      <c r="E15" s="6" t="inlineStr">
        <is>
          <t>Units</t>
        </is>
      </c>
      <c r="F15" s="6" t="inlineStr">
        <is>
          <t>Invested</t>
        </is>
      </c>
      <c r="G15" s="6" t="inlineStr">
        <is>
          <t>Current Value</t>
        </is>
      </c>
      <c r="H15" s="6" t="inlineStr">
        <is>
          <t>Gain / Loss</t>
        </is>
      </c>
      <c r="I15" s="6" t="inlineStr">
        <is>
          <t>Abs. Rtn.</t>
        </is>
      </c>
      <c r="J15" s="6" t="inlineStr">
        <is>
          <t>XIRR</t>
        </is>
      </c>
    </row>
    <row r="16">
      <c r="A16" s="12" t="inlineStr">
        <is>
          <t>Pramod Nikalje</t>
        </is>
      </c>
      <c r="B16" s="24" t="inlineStr">
        <is>
          <t>9713877/79</t>
        </is>
      </c>
      <c r="C16" s="25" t="inlineStr">
        <is>
          <t>HDFC Retirement Fund - Equity Plan - Regular Plan</t>
        </is>
      </c>
      <c r="D16" s="26" t="inlineStr">
        <is>
          <t>Load Free</t>
        </is>
      </c>
      <c r="E16" s="27" t="n">
        <v>9398.933000000001</v>
      </c>
      <c r="F16" s="28" t="n">
        <v>159997.25</v>
      </c>
      <c r="G16" s="28" t="n">
        <v>436157.49</v>
      </c>
      <c r="H16" s="10">
        <f>$G16-$F16</f>
        <v/>
      </c>
      <c r="I16" s="29">
        <f>IF($F16=0,"",$H16/$F16)</f>
        <v/>
      </c>
      <c r="J16" s="30" t="n">
        <v>0.1608</v>
      </c>
    </row>
    <row r="17">
      <c r="A17" s="12" t="inlineStr">
        <is>
          <t>Pramod Nikalje</t>
        </is>
      </c>
      <c r="B17" s="24" t="inlineStr">
        <is>
          <t>10868589</t>
        </is>
      </c>
      <c r="C17" s="25" t="inlineStr">
        <is>
          <t>Union Retirement Fund - Regular Plan</t>
        </is>
      </c>
      <c r="D17" s="26" t="inlineStr">
        <is>
          <t>Load Free</t>
        </is>
      </c>
      <c r="E17" s="27" t="n">
        <v>10772.438</v>
      </c>
      <c r="F17" s="28" t="n">
        <v>159992</v>
      </c>
      <c r="G17" s="28" t="n">
        <v>170850.87</v>
      </c>
      <c r="H17" s="10">
        <f>$G17-$F17</f>
        <v/>
      </c>
      <c r="I17" s="29">
        <f>IF($F17=0,"",$H17/$F17)</f>
        <v/>
      </c>
      <c r="J17" s="30" t="n">
        <v>0.0451</v>
      </c>
    </row>
    <row r="18">
      <c r="A18" s="12" t="inlineStr">
        <is>
          <t>Pramod Nikalje</t>
        </is>
      </c>
      <c r="B18" s="24" t="inlineStr">
        <is>
          <t>9713877/79</t>
        </is>
      </c>
      <c r="C18" s="25" t="inlineStr">
        <is>
          <t>HDFC Retirement Fund - Hybrid Equity Plan - Regular Plan</t>
        </is>
      </c>
      <c r="D18" s="26" t="inlineStr">
        <is>
          <t>Load Free</t>
        </is>
      </c>
      <c r="E18" s="27" t="n">
        <v>2921.694</v>
      </c>
      <c r="F18" s="28" t="n">
        <v>104994.75</v>
      </c>
      <c r="G18" s="28" t="n">
        <v>104281.1</v>
      </c>
      <c r="H18" s="10">
        <f>$G18-$F18</f>
        <v/>
      </c>
      <c r="I18" s="29">
        <f>IF($F18=0,"",$H18/$F18)</f>
        <v/>
      </c>
      <c r="J18" s="30" t="n">
        <v>-0.0034</v>
      </c>
    </row>
    <row r="19">
      <c r="A19" s="12" t="inlineStr">
        <is>
          <t>Amita Pramod Nikalje</t>
        </is>
      </c>
      <c r="B19" s="24" t="inlineStr">
        <is>
          <t>499249672482</t>
        </is>
      </c>
      <c r="C19" s="25" t="inlineStr">
        <is>
          <t>Nippon India Flexi Cap Fund - Regular Plan</t>
        </is>
      </c>
      <c r="D19" s="26" t="inlineStr">
        <is>
          <t>Load Free</t>
        </is>
      </c>
      <c r="E19" s="27" t="n">
        <v>2779.927</v>
      </c>
      <c r="F19" s="28" t="n">
        <v>44998</v>
      </c>
      <c r="G19" s="28" t="n">
        <v>44507.19</v>
      </c>
      <c r="H19" s="10">
        <f>$G19-$F19</f>
        <v/>
      </c>
      <c r="I19" s="29">
        <f>IF($F19=0,"",$H19/$F19)</f>
        <v/>
      </c>
      <c r="J19" s="30" t="n">
        <v>-0.0078</v>
      </c>
    </row>
    <row r="20">
      <c r="A20" s="12" t="inlineStr">
        <is>
          <t>Amita Pramod Nikalje</t>
        </is>
      </c>
      <c r="B20" s="24" t="inlineStr">
        <is>
          <t>499249672482</t>
        </is>
      </c>
      <c r="C20" s="25" t="inlineStr">
        <is>
          <t>Nippon India Flexi Cap Fund - Regular Plan</t>
        </is>
      </c>
      <c r="D20" s="31" t="inlineStr">
        <is>
          <t>Load Applicable</t>
        </is>
      </c>
      <c r="E20" s="27" t="n">
        <v>3649.398</v>
      </c>
      <c r="F20" s="28" t="n">
        <v>59997</v>
      </c>
      <c r="G20" s="28" t="n">
        <v>58427.59</v>
      </c>
      <c r="H20" s="10">
        <f>$G20-$F20</f>
        <v/>
      </c>
      <c r="I20" s="29">
        <f>IF($F20=0,"",$H20/$F20)</f>
        <v/>
      </c>
      <c r="J20" s="30" t="n">
        <v>-0.0522</v>
      </c>
    </row>
    <row r="21">
      <c r="A21" s="12" t="inlineStr">
        <is>
          <t>Pramod Nikalje</t>
        </is>
      </c>
      <c r="B21" s="24" t="inlineStr">
        <is>
          <t>9713877/79</t>
        </is>
      </c>
      <c r="C21" s="25" t="inlineStr">
        <is>
          <t>HDFC Retirement Fund - Hybrid Equity Plan - Regular Plan</t>
        </is>
      </c>
      <c r="D21" s="31" t="inlineStr">
        <is>
          <t>Load Applicable</t>
        </is>
      </c>
      <c r="E21" s="27" t="n">
        <v>1585.763</v>
      </c>
      <c r="F21" s="28" t="n">
        <v>59997</v>
      </c>
      <c r="G21" s="28" t="n">
        <v>56599.05</v>
      </c>
      <c r="H21" s="10">
        <f>$G21-$F21</f>
        <v/>
      </c>
      <c r="I21" s="29">
        <f>IF($F21=0,"",$H21/$F21)</f>
        <v/>
      </c>
      <c r="J21" s="30" t="n">
        <v>-0.1038</v>
      </c>
    </row>
    <row r="22">
      <c r="A22" s="12" t="inlineStr">
        <is>
          <t>Pramod Nikalje</t>
        </is>
      </c>
      <c r="B22" s="24" t="inlineStr">
        <is>
          <t>4710370</t>
        </is>
      </c>
      <c r="C22" s="25" t="inlineStr">
        <is>
          <t>Kotak ELSS Tax Saver Fund - Regular Plan</t>
        </is>
      </c>
      <c r="D22" s="32" t="inlineStr">
        <is>
          <t>Lock In</t>
        </is>
      </c>
      <c r="E22" s="27" t="n">
        <v>1502.628</v>
      </c>
      <c r="F22" s="28" t="n">
        <v>164992</v>
      </c>
      <c r="G22" s="28" t="n">
        <v>169712.82</v>
      </c>
      <c r="H22" s="10">
        <f>$G22-$F22</f>
        <v/>
      </c>
      <c r="I22" s="29">
        <f>IF($F22=0,"",$H22/$F22)</f>
        <v/>
      </c>
      <c r="J22" s="30" t="n">
        <v>0.0191</v>
      </c>
    </row>
    <row r="23">
      <c r="A23" s="12" t="inlineStr">
        <is>
          <t>Pramod Nikalje</t>
        </is>
      </c>
      <c r="B23" s="24" t="inlineStr">
        <is>
          <t>1000075469</t>
        </is>
      </c>
      <c r="C23" s="25" t="inlineStr">
        <is>
          <t>Mahindra Manulife ELSS Tax Saver Fund - Regular Plan</t>
        </is>
      </c>
      <c r="D23" s="32" t="inlineStr">
        <is>
          <t>Lock In</t>
        </is>
      </c>
      <c r="E23" s="27" t="n">
        <v>6138.662</v>
      </c>
      <c r="F23" s="28" t="n">
        <v>164992</v>
      </c>
      <c r="G23" s="28" t="n">
        <v>159607.67</v>
      </c>
      <c r="H23" s="10">
        <f>$G23-$F23</f>
        <v/>
      </c>
      <c r="I23" s="29">
        <f>IF($F23=0,"",$H23/$F23)</f>
        <v/>
      </c>
      <c r="J23" s="30" t="n">
        <v>-0.0222</v>
      </c>
    </row>
    <row r="24">
      <c r="A24" s="20" t="inlineStr"/>
      <c r="B24" s="20" t="inlineStr"/>
      <c r="C24" s="19" t="inlineStr">
        <is>
          <t>FAMILY TOTAL</t>
        </is>
      </c>
      <c r="D24" s="20" t="inlineStr"/>
      <c r="E24" s="20" t="inlineStr"/>
      <c r="F24" s="23">
        <f>SUM(F16:F23)</f>
        <v/>
      </c>
      <c r="G24" s="23">
        <f>SUM(G16:G23)</f>
        <v/>
      </c>
      <c r="H24" s="23">
        <f>SUM(H16:H23)</f>
        <v/>
      </c>
      <c r="I24" s="33">
        <f>$H24/$F24</f>
        <v/>
      </c>
      <c r="J24" s="34" t="inlineStr">
        <is>
          <t>see note</t>
        </is>
      </c>
    </row>
    <row r="26">
      <c r="A26" s="4" t="inlineStr">
        <is>
          <t>WHAT XIRR HE GOT</t>
        </is>
      </c>
    </row>
    <row r="27" ht="28" customHeight="1">
      <c r="A27" s="35" t="inlineStr">
        <is>
          <t>Load-free money (Pramod)</t>
        </is>
      </c>
      <c r="B27" s="36" t="n">
        <v>0.1374</v>
      </c>
      <c r="C27" s="9" t="inlineStr">
        <is>
          <t>Rs 4,24,984 invested, now Rs 7,11,289.45. The headline number - and it covers that bucket only.</t>
        </is>
      </c>
    </row>
    <row r="28" ht="28" customHeight="1">
      <c r="A28" s="35" t="inlineStr">
        <is>
          <t>HDFC Retirement Equity Plan</t>
        </is>
      </c>
      <c r="B28" s="36" t="n">
        <v>0.1608</v>
      </c>
      <c r="C28" s="9" t="inlineStr">
        <is>
          <t>172.60% absolute over roughly 6.7 years. Rs 2,76,160 of the family's Rs 2,80,184 total gain comes from this one fund.</t>
        </is>
      </c>
    </row>
    <row r="29" ht="28" customHeight="1">
      <c r="A29" s="35" t="inlineStr">
        <is>
          <t>Everything else</t>
        </is>
      </c>
      <c r="B29" s="30" t="n"/>
      <c r="C29" s="9" t="inlineStr">
        <is>
          <t>Load-applicable -10.38% (Pramod) and -5.22% (Amita); lock-in -0.14%; Amita's load-free -0.78%. Five of the eight holdings are below cost.</t>
        </is>
      </c>
    </row>
    <row r="30">
      <c r="A30" s="37" t="inlineStr">
        <is>
          <t>Family, absolute</t>
        </is>
      </c>
      <c r="B30" s="38">
        <f>$I$24</f>
        <v/>
      </c>
      <c r="C30" s="39" t="inlineStr">
        <is>
          <t>Rs 9,19,960 invested is now Rs 12,00,143.77. There is no single portfolio XIRR on the report, and bucket XIRRs cannot be averaged.</t>
        </is>
      </c>
    </row>
    <row r="32" ht="20" customHeight="1">
      <c r="A32" s="40" t="inlineStr">
        <is>
          <t>BEFORE REDEEMING:  Rs 2.86 lakh of gain sits in the load-free money and capital gains tax will apply - the tax will exceed any exit load elsewhere. Confirm the rates in force with the CA and plan the timing before placing the redemption.</t>
        </is>
      </c>
    </row>
    <row r="33" ht="20" customHeight="1"/>
    <row r="35">
      <c r="A35" s="41" t="inlineStr">
        <is>
          <t>Mutual fund investments are subject to market risk. Read all scheme-related documents carefully. Capital gains tax treatment depends on the rates in force and on each investor's position - confirm with a CA before redeeming.</t>
        </is>
      </c>
    </row>
    <row r="36"/>
  </sheetData>
  <mergeCells count="13">
    <mergeCell ref="A1:J1"/>
    <mergeCell ref="C11:E11"/>
    <mergeCell ref="C29:J29"/>
    <mergeCell ref="C30:J30"/>
    <mergeCell ref="A32:J33"/>
    <mergeCell ref="A35:J36"/>
    <mergeCell ref="C9:E9"/>
    <mergeCell ref="C28:J28"/>
    <mergeCell ref="C27:J27"/>
    <mergeCell ref="A4:J5"/>
    <mergeCell ref="A2:J2"/>
    <mergeCell ref="C12:E12"/>
    <mergeCell ref="C10:E10"/>
  </mergeCells>
  <conditionalFormatting sqref="G16:G23">
    <cfRule type="dataBar" priority="1">
      <dataBar showValue="1">
        <cfvo type="num" val="0"/>
        <cfvo type="num" val="450000"/>
        <color rgb="001F4E5F"/>
      </dataBar>
    </cfRule>
  </conditionalFormatting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2026-09-30T11:49:43Z</dcterms:created>
  <dcterms:modified xsi:type="dcterms:W3CDTF">2026-09-30T11:49:43Z</dcterms:modified>
</cp:coreProperties>
</file>